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Metodologia" sheetId="1" r:id="rId4"/>
    <sheet state="visible" name="1_Resumen_TIPO" sheetId="2" r:id="rId5"/>
    <sheet state="visible" name="2_Objetivos_por_TIPO" sheetId="3" r:id="rId6"/>
    <sheet state="visible" name="3_Intencion_transversal" sheetId="4" r:id="rId7"/>
    <sheet state="visible" name="4_Brechas" sheetId="5" r:id="rId8"/>
    <sheet state="visible" name="5_Ejemplos" sheetId="6" r:id="rId9"/>
    <sheet state="visible" name="6_Detalle_clasificado" sheetId="7" r:id="rId10"/>
  </sheets>
  <definedNames>
    <definedName hidden="1" localSheetId="2" name="_xlnm._FilterDatabase">'2_Objetivos_por_TIPO'!$A$4:$L$162</definedName>
    <definedName hidden="1" localSheetId="6" name="_xlnm._FilterDatabase">'6_Detalle_clasificado'!$A$1:$O$1879</definedName>
  </definedNames>
  <calcPr/>
  <extLst>
    <ext uri="GoogleSheetsCustomDataVersion2">
      <go:sheetsCustomData xmlns:go="http://customooxmlschemas.google.com/" r:id="rId11" roundtripDataChecksum="+D07sRjEDyLBgXEXksEWETqI+RqKjQxpMYvyheGJqd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
ID#AAACGVxeW38
Mario Martin Fernandez Moscoso (LATAM)    (2026-09-02 19:19:44)
Estado de Consultas</t>
      </text>
    </comment>
  </commentList>
  <extLst>
    <ext uri="GoogleSheetsCustomDataVersion2">
      <go:sheetsCustomData xmlns:go="http://customooxmlschemas.google.com/" r:id="rId1" roundtripDataSignature="AMtx7mjDG7E6HJ+bh3R2qFMR6kXe7m9SeA=="/>
    </ext>
  </extLst>
</comments>
</file>

<file path=xl/sharedStrings.xml><?xml version="1.0" encoding="utf-8"?>
<sst xmlns="http://schemas.openxmlformats.org/spreadsheetml/2006/main" count="25397" uniqueCount="7202">
  <si>
    <t>1. Volumen de consultas por TIPO</t>
  </si>
  <si>
    <t>2. Objetivo real de la consulta, dentro de cada TIPO</t>
  </si>
  <si>
    <t>3. Intención transversal — comparable entre TIPOS y entre filiales</t>
  </si>
  <si>
    <t>Análisis de consultas — Soporte SAB LP (pestaña Resumen_LP)</t>
  </si>
  <si>
    <t>Ordenado de mayor a menor. Los % se calculan sobre el total de registros.</t>
  </si>
  <si>
    <t>Ordenado por volumen de TIPO y, dentro de cada TIPO, por volumen de objetivo.</t>
  </si>
  <si>
    <t>Alcance</t>
  </si>
  <si>
    <t>Qué está haciendo el tripulante cuando escribe, con independencia del tema.</t>
  </si>
  <si>
    <t>TIPO</t>
  </si>
  <si>
    <t>1,878 registros de la pestaña Resumen_LP. Rango de fechas: 31/10/2025 a 01/09/2026.</t>
  </si>
  <si>
    <t>INTENCIÓN</t>
  </si>
  <si>
    <t>Casos</t>
  </si>
  <si>
    <t>Consultas</t>
  </si>
  <si>
    <t>% del total</t>
  </si>
  <si>
    <t>Columnas usadas</t>
  </si>
  <si>
    <t>Respondida completamente</t>
  </si>
  <si>
    <t>TIPO (clasificación de origen del formulario), CONSULTA (texto libre del tripulante) y RESPUESTA (texto registrado por el equipo de soporte).</t>
  </si>
  <si>
    <t>% acumulado</t>
  </si>
  <si>
    <t>OBJETIVO DE LA CONSULTA</t>
  </si>
  <si>
    <t>Respondida parcialmente</t>
  </si>
  <si>
    <t>Nivel 1 — TIPO</t>
  </si>
  <si>
    <t>Intención</t>
  </si>
  <si>
    <t>Se conserva el TIPO tal como viene en el archivo, sin reagrupar.</t>
  </si>
  <si>
    <t>No respondida</t>
  </si>
  <si>
    <t>Nivel 2 — OBJETIVO</t>
  </si>
  <si>
    <t>Sin respuesta</t>
  </si>
  <si>
    <t>Dentro de cada TIPO se leyó el contenido de la consulta y se identificó qué buscaba realmente la persona (no el tema, sino el propósito). Consultas del mismo tema con propósitos distintos quedan en objetivos separados: por ejemplo, dentro de Apto Médico, "reprogramar por periodo menstrual", "reprogramar por enfermedad", "solicitar programación por vencimiento" y "hacer seguimiento del recojo del documento" son cuatro objetivos distintos.</t>
  </si>
  <si>
    <t>% del TIPO</t>
  </si>
  <si>
    <t>Nivel 3 — INTENCIÓN</t>
  </si>
  <si>
    <t>Respuesta no relacionada</t>
  </si>
  <si>
    <t>Capa transversal comparable entre TIPOS y entre filiales (LP / 4C / XL): solicitar gestión, consultar información, validar, hacer seguimiento, reportar problema, reclamar, notificar.</t>
  </si>
  <si>
    <t>% correctamente respondidas</t>
  </si>
  <si>
    <t>Doble objetivo</t>
  </si>
  <si>
    <t>Cuando una consulta persigue dos propósitos distintos se registra el objetivo principal y el secundario (columnas OBJETIVO y OBJETIVO_SECUNDARIO en la hoja de detalle).</t>
  </si>
  <si>
    <t>Solicitar gestión/acción</t>
  </si>
  <si>
    <t>Calidad de respuesta</t>
  </si>
  <si>
    <t>Apto Médico</t>
  </si>
  <si>
    <t>Cada respuesta se evaluó contra el objetivo de su propia consulta, en las cinco categorías solicitadas. El criterio de suficiencia depende del objetivo: si el tripulante solo notificaba un impedimento, un compromiso de gestión ("te reprogramaremos") resuelve la consulta; si preguntaba una fecha o un dato concreto, el mismo texto es solo una respuesta parcial.</t>
  </si>
  <si>
    <t>Mecanismo de respuesta</t>
  </si>
  <si>
    <t>Columna auxiliar que describe CÓMO se respondió: resolución concreta, compromiso de gestión futura, derivación a otro canal, solicitud de más información, acuse genérico, registro interno o sin contenido. Es la que mejor explica dónde están las brechas.</t>
  </si>
  <si>
    <t>Registro interno</t>
  </si>
  <si>
    <t>Respuestas cuyo contenido es únicamente una etiqueta de gestión ("Informativo", "Duplicado", texto de prueba). No constituyen una respuesta dirigida al tripulante dentro del canal, por lo que se clasifican como "Respuesta no relacionada". Es posible que parte de ellas se hayan atendido por correo fuera del registro.</t>
  </si>
  <si>
    <t>Limitación</t>
  </si>
  <si>
    <t>La clasificación es automática por reglas construidas a partir de la lectura del corpus. Los objetivos de tipo "sin detalle especificado" agrupan consultas de una sola línea (p. ej. "Apto Médico") en las que el propio texto no permite inferir el propósito: son el 7% del total y en sí mismos son un hallazgo sobre la calidad del input.</t>
  </si>
  <si>
    <t>Reprogramación del examen por periodo menstrual</t>
  </si>
  <si>
    <t>Verificación de Competencia / Chequeo en línea / Hands on (LCK)</t>
  </si>
  <si>
    <t>Consultar información/procedimiento</t>
  </si>
  <si>
    <t>Reprogramación del examen por condición de salud o medicación</t>
  </si>
  <si>
    <t>Vacaciones (VAC/VC)</t>
  </si>
  <si>
    <t>Hacer seguimiento</t>
  </si>
  <si>
    <t>Curso Entrenamiento Periódico (Reva)</t>
  </si>
  <si>
    <t>Notificación de cruce con código RTI/ME en el día del examen</t>
  </si>
  <si>
    <t>Notificar / informar</t>
  </si>
  <si>
    <t>Reportar problema o error</t>
  </si>
  <si>
    <t>Experiencia reciente 90 días / Re-entrenamiento Vuelo</t>
  </si>
  <si>
    <t>4. Dónde están las brechas de respuesta</t>
  </si>
  <si>
    <t>Objetivos con al menos 10 casos, ordenados por menor % de consultas resueltas.</t>
  </si>
  <si>
    <t>Validar / confirmar</t>
  </si>
  <si>
    <t>Seguimiento de la entrega o recojo del apto médico</t>
  </si>
  <si>
    <t>Licencia Local / Convalidación Licencia Chilena</t>
  </si>
  <si>
    <t>OBJETIVO</t>
  </si>
  <si>
    <t>Reclamar por incumplimiento/discrepancia</t>
  </si>
  <si>
    <t>Roles</t>
  </si>
  <si>
    <t>% resueltas</t>
  </si>
  <si>
    <t>Parcial</t>
  </si>
  <si>
    <t>Solicitud de programación o renovación por vencimiento próximo</t>
  </si>
  <si>
    <t>Derivación a otro canal</t>
  </si>
  <si>
    <t>Brecha (casos no resueltos)</t>
  </si>
  <si>
    <t>Control de Lectura</t>
  </si>
  <si>
    <t>OSSA</t>
  </si>
  <si>
    <t>Reporte de falla técnica en la plataforma o el examen</t>
  </si>
  <si>
    <t>Sin objetivo identificable</t>
  </si>
  <si>
    <t>Vale de Alimentación: Edenred - Solo Perú (Tripulación LP)</t>
  </si>
  <si>
    <t>Consulta sobre observación, no apto, dispensa o levantamiento</t>
  </si>
  <si>
    <t>Otro / no tipificado</t>
  </si>
  <si>
    <t>Reporte de falla técnica en plataforma o evaluación e-learning</t>
  </si>
  <si>
    <t>Natalidad (NAT/LP)</t>
  </si>
  <si>
    <t>Consulta general sobre el apto médico sin detalle especificado</t>
  </si>
  <si>
    <t>Mecanismo con el que se respondió</t>
  </si>
  <si>
    <t>Curso Transición Flota (Bi o Tri-habilitación) - Solo Perú</t>
  </si>
  <si>
    <t>MECANISMO DE RESPUESTA</t>
  </si>
  <si>
    <t>Resolución concreta</t>
  </si>
  <si>
    <t>Solicitud de reprogramación sin motivo especificado</t>
  </si>
  <si>
    <t>Consulta operativa que corresponde a otro tipo (apto, reva, vacaciones, rol)</t>
  </si>
  <si>
    <t>Reprogramación por cruce con rol, vuelo, vacaciones o día libre</t>
  </si>
  <si>
    <t>Descanso Médico Prolongado (DMP/SICK)</t>
  </si>
  <si>
    <t>Inscripción o consulta sobre el taller voluntario de seguridad</t>
  </si>
  <si>
    <t>Compromiso de gestión futura</t>
  </si>
  <si>
    <t>Consulta sobre documentación requerida (F-001, DNI, informes)</t>
  </si>
  <si>
    <t>Curso Recalificación (Inicial al 50%)</t>
  </si>
  <si>
    <t>Solicitud de reconocimiento de vale por espera o demora no programada</t>
  </si>
  <si>
    <t>Solicitud de más información al tripulante</t>
  </si>
  <si>
    <t>Notificación de vencimiento próximo del apto médico</t>
  </si>
  <si>
    <t>Licencia sin sueldo (LSG/LNP)</t>
  </si>
  <si>
    <t>Acuse genérico sin contenido</t>
  </si>
  <si>
    <t>Registro interno (informativo/duplicado)</t>
  </si>
  <si>
    <t>GEX</t>
  </si>
  <si>
    <t>Sin contenido</t>
  </si>
  <si>
    <t>Propuesta de una nueva fecha específica para el examen</t>
  </si>
  <si>
    <t>Solicitud o seguimiento de programación de reentrenamiento o recalificación</t>
  </si>
  <si>
    <t>Cancelación de vacaciones por maternidad</t>
  </si>
  <si>
    <t>Consulta sobre detalles de la cita (fecha, hora, lugar, indicaciones)</t>
  </si>
  <si>
    <t>Problema para cargar o registrar el descanso médico en el sistema</t>
  </si>
  <si>
    <t>TOTAL</t>
  </si>
  <si>
    <t>Seguimiento de una reprogramación ya solicitada</t>
  </si>
  <si>
    <t>Consulta sobre significado de códigos o asignaciones del rol</t>
  </si>
  <si>
    <t>Consulta sobre vigencia del apto médico</t>
  </si>
  <si>
    <t>Consulta sobre días libres, descansos y legalidad</t>
  </si>
  <si>
    <t>Validación de si corresponde realizar o renovar el examen</t>
  </si>
  <si>
    <t>Reclamo por monto depositado menor al esperado</t>
  </si>
  <si>
    <t>Sin objetivo identificable / registro de prueba</t>
  </si>
  <si>
    <t>Solicitud o seguimiento de protección de rol</t>
  </si>
  <si>
    <t>Reporte de error o inconsistencia en el documento emitido</t>
  </si>
  <si>
    <t>Seguimiento de la entrega de la licencia renovada</t>
  </si>
  <si>
    <t>Otro objetivo no tipificado</t>
  </si>
  <si>
    <t>Reporte de falla de acceso a plataformas o sistemas</t>
  </si>
  <si>
    <t>Confirmación de recepción o respuesta a un requerimiento previo</t>
  </si>
  <si>
    <t>Solicitud de actualización de datos en la licencia</t>
  </si>
  <si>
    <t>Consulta de información no especificada</t>
  </si>
  <si>
    <t>Validación de actividades de instrucción asignadas en el rol</t>
  </si>
  <si>
    <t>Consulta sobre licencia chilena u otro documento asociado</t>
  </si>
  <si>
    <t>Solicitud de cambio de clínica o sede del examen</t>
  </si>
  <si>
    <t>5. Ejemplos representativos por objetivo</t>
  </si>
  <si>
    <t>Hasta tres consultas reales por objetivo, para entender qué incluye cada agrupación.</t>
  </si>
  <si>
    <t>Ejemplo de consulta</t>
  </si>
  <si>
    <t>Respuesta registrada</t>
  </si>
  <si>
    <t>Clasificación</t>
  </si>
  <si>
    <t>Reporte de error en los datos de la licencia emitida</t>
  </si>
  <si>
    <t>Debo reprogramar mi EMO por menstruación.</t>
  </si>
  <si>
    <t>Hola, Piera: Esperamos que tengas un excelente día. Muchas gracias por comunicarte con nosotros y por ponernos en conocimiento de tu situación actual. Con respecto a tu mensaje, te confirmamos que procederemos a solicitar la reprogramación de tu EMO. saludos</t>
  </si>
  <si>
    <t>Reprogramación por pérdida del chequeo por causa operacional</t>
  </si>
  <si>
    <t>Tengo apto medico y me encuentro terminado mi periodo.</t>
  </si>
  <si>
    <t>"¡Gracias por la información! Te comentamos que tenemos mapeado tu caso, por lo que te estaremos enviando por correo la programación de tu nueva fecha de apto médico. Esperamos que la respuesta te haya sido de gran ayuda."</t>
  </si>
  <si>
    <t>No puedo realizar el apto médico 17.08 por estar con el periodo</t>
  </si>
  <si>
    <t>Estimada, Se reprograma para el 26 de agosto. Gracias</t>
  </si>
  <si>
    <t>Reprogramacion,debido a que me reporte por estar refriada ,adjunto DM</t>
  </si>
  <si>
    <t>Informativo</t>
  </si>
  <si>
    <t>Examen medico ocupacional el dia 03/09 , pero tengo sintomas de gripe</t>
  </si>
  <si>
    <t>Estimada, Se reprogramará una nueva fecha de su EMO. El equipo de programación lo tiene tomado para asignarlo antes del término del presente año. Gracias</t>
  </si>
  <si>
    <t>Segun lo indicado no cumplo con los requisitos para rendir el apto medico</t>
  </si>
  <si>
    <t>Solicitud de programación por vencimiento próximo o falta de asignación</t>
  </si>
  <si>
    <t>Tengo código RTI el día de mi examen médico ocupacional</t>
  </si>
  <si>
    <t>"¡Gracias por la información! Te informamos que, dado que tu revalidación se encuentra agendada para este mes y a fin de homologar las fechas, se ha visto necesario agendar tu exámen médico ocupacional en tu días de RTI. Esperamos que la respuesta te haya sido de gran ayuda."</t>
  </si>
  <si>
    <t>Consulta sobre fecha de programación, vencimiento o vigencia del chequeo</t>
  </si>
  <si>
    <t>Tengo asignado RTI el día 8 de abril y ese dia tengo apto medico</t>
  </si>
  <si>
    <t>Estimada Valeria, esperamos te encuentres bien Te comentamos que el Apto Médico mencionado es parte del RTI por lo que no habria problema en la programación. Esperamos haberte ayudado</t>
  </si>
  <si>
    <t>El día 11/05 tengo examen medico ocupacional y por rol tengo rti</t>
  </si>
  <si>
    <t>Hola, Gabriela: Esperamos que hayas tenido un excelente día. Muchas gracias por tu consulta. Al respecto, te confirmamos que la programación de tu Examen Médico Ocupacional (EMO) para el día 11/05 forma parte de las actividades consideradas dentro de tu programación de RTI. Por lo tanto, puedes proceder con tu examen médico según lo planificado, ya que ambos registros son compatibles en tu rol. Esperamos haberte ayudado.</t>
  </si>
  <si>
    <t>Reprogramación por descanso médico o condición de salud</t>
  </si>
  <si>
    <t>Recojo de mi apto medico, aun no recibo el email para el recojo, y realice el tramite en marzo.</t>
  </si>
  <si>
    <t>Estimada, Espero que se encuentre bien. Se estará pidiendo el recojo de su Apto médico renovado antes de su vencimiento febrero 2027. Muchas gracias</t>
  </si>
  <si>
    <t>Estimados, perdí mi apto médico y quisiera solicitar el duplicado. Podrían ayudarme diciéndome cómo hacerlo por favor</t>
  </si>
  <si>
    <t>Estimada Celeste Te comentamos que el procedimiento para solicitar el duplicado es acercarse al MTC (Zorritos 1203), abonar el monto por duplicado 45.90 y esperar que se lo emitan. Saludos Cordiales!</t>
  </si>
  <si>
    <t>Buenas tardes, la presente para consultar cuanto demora la entrega del apto médico, ya que el 31 de agosto del año en curso se vence.</t>
  </si>
  <si>
    <t>Estimado, espero que te encuentres bien Efectivamente está pendiente enviarlo a Plaza Olivar para que lo recoja. Estaremos actualizando su información el día de mañana. Gracias</t>
  </si>
  <si>
    <t>Mi apto vence 2027 y me enviaron correo que debo renovar. Es correcto?</t>
  </si>
  <si>
    <t>"¡Gracias por la información! Te informamos que, dado que tu revalidación se encuentra agendada para este mes y a fin de homologar las fechas, se ha visto necesario agendar tu exámen médico ocupacional y/o apto médico. En Soporte SAB, llevamos el control y seguimiento de todas las licencias y habilitaciones, por lo que no es necesario que te preocupes. Solo te pedimos que nos contactes si faltan menos de 72 horas para el vencimiento y aún no recibes novedades. ¡Agradecemos mucho tu colaboración y comprensión!"</t>
  </si>
  <si>
    <t>Mi apto médico vence el 31/03/2026 , quisiera saber como haré para que lo puedan renovar</t>
  </si>
  <si>
    <t xml:space="preserve">"¡Gracias por la información! Te comentamos que la programación de tu apto médico se realizará antes de la fecha de vencimiento, el cual se enviará a tu correo.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t>
  </si>
  <si>
    <t>Apto médico no realizado en la fecha programada para el 07/04 debido a recomendación del Área de Medicina Aeronáutica</t>
  </si>
  <si>
    <t>Estimada Ursula Te comentamos que contamos con la información y se buscará una reprogramación de la actividad para las próximas fechas Saludos !</t>
  </si>
  <si>
    <t>Validación de la actividad de chequeo asignada en el rol</t>
  </si>
  <si>
    <t>No apto para realizar examen medico en la fecha programada de acuerdo a recomendación del área de Medicina Aeronáutica</t>
  </si>
  <si>
    <t>Estimada Ursula, esperamos te encuentres bien Por favor, confírmanos si no te fue posible asistir a tu EMO. Necesitamos que valides esta información mediante una nueva consulta para poder gestionar la reprogramación en caso corresponda. Estaremos atentos!!</t>
  </si>
  <si>
    <t>La clínica del trabajador, me mando un correo indicándome que estoy no apto, debido a que tengo una observación en mi apto</t>
  </si>
  <si>
    <t>Estimada Karen Te comentamos que contamos con la información y se buscará una reprogramación de la actividad para las próximas fechas Saludos !</t>
  </si>
  <si>
    <t>Solicitud o consulta sobre prórroga / mes de extensión</t>
  </si>
  <si>
    <t>El día programado para mi apto médico 21/04 tengo asignado RT en rol</t>
  </si>
  <si>
    <t>Estimada Geraldine, esperamos te encuentres muy bien Te comentamos que ese Apto Médico forma parte del RTI por lo que no es un error en el codigo de tu Rol. Esperamos haberte ayudado!</t>
  </si>
  <si>
    <t>Notificación de vencimiento próximo para consideración</t>
  </si>
  <si>
    <t>Apto Médico programado 12/08 habiendo realizado en Marzo los dos exámenes cuando hice Reva.</t>
  </si>
  <si>
    <t>¡Gracias por la información! Te comentamos que la programación de tu apto médico se realizá antes de la fecha de vencimiento. (30 Septiembre 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t>
  </si>
  <si>
    <t>El día 20 de junio tengo por rol ME y el día de ayer me ha llegado un correo dqe confirmación del examen médico ocupacional</t>
  </si>
  <si>
    <t>"¡Gracias por la información! Te comentamos que el código ME corresponde a evaluación médica por lo que es correcto que te haya llegado la invitación el exámen médico ocupacional. Esperamos que la respuesta te haya sido de gran ayuda."</t>
  </si>
  <si>
    <t>No cumplo con las condiciones para apto medico, solicito reprogramacion..</t>
  </si>
  <si>
    <t>Informativo se reagendo</t>
  </si>
  <si>
    <t>No puedo asistir al examen medico de mañana por lo que se tensra que hacer una reprogramación de dicho examen</t>
  </si>
  <si>
    <t>Buenas noches noches en octubre envíe un formulario postergando mi examen ocupacional y apto médico , quería saber para cuando me podrían reprogramar</t>
  </si>
  <si>
    <t>"¡Gracias por la información! Te informamos que tenemos mapeado tu caso, por lo que verificaremos la programacion en los siguientes roles y te estaremos notificando por correo. ¡Agradecemos mucho tu colaboración y comprensión!"</t>
  </si>
  <si>
    <t>Tengo REVA del 25 al 28 y vi que no me programaron Apto Medico, quisiera saber si es correcto o tal vez se equivocaron</t>
  </si>
  <si>
    <t>Estimada, dado que su apto y EMO vencen en febrero 2027 se deberá programar ese mes o un mes previo a su vencimiento. Esto debido a que sus documentos vencen cada 6 meses. Gracias</t>
  </si>
  <si>
    <t>Me programaron Apto Medico el día de mañana 09 de Junio, pero me encuentro de vacaciones desde el día hoy 08 hasta el día 30 de Junio. Me mantendré atenta a su respuesta. Muchas gracias.</t>
  </si>
  <si>
    <t>Solicitud de asignación de vuelo para no perder experiencia reciente</t>
  </si>
  <si>
    <t>Consulta general sobre el chequeo sin detalle especificado</t>
  </si>
  <si>
    <t>Me han programado apto médico el día 10/03/2026 pero ese día tengo por rol mi segundo día L legal de una secuencia de 5×2 y por ser un libre legal no puedo tener ninguna asignación. Quedo atenta a su respuesta.</t>
  </si>
  <si>
    <t>"¡Gracias por la información! Te comentamos que ya se encuentra corregido en tu rol de marzo la fecha correcta para tu apto médico, el cual es el 11/03. Esperamos que la respuesta te haya sido de gran ayuda."</t>
  </si>
  <si>
    <t>BUENOS DÌAS, NO ME ENVIARON ADJUNTO EL FORMULARIO F001 ORIGINAL, SOLO EL EJEMPLO PORFAVOR PODRIAN ENVIARMELO.</t>
  </si>
  <si>
    <t>Buenas tardes, el día 16 de febrero tengo mi apto médico y quisiera saber si es posible que yo pueda dejar el formato 001 el día 4 de febrero que tengo curso de servicio?, muchas gracias.</t>
  </si>
  <si>
    <t>"¡Gracias por la información! Nos gustaría reforzar la información enviada previamente por correo electrónico: el plazo para entregar la documentación requerida es de hasta 2 días hábiles posteriores a la obtención del apto médico. Esto significa que deben presentar el formato F-001 y una copia de su DNI actualizado dentro de este periodo de 2 días hábiles tras haber completado su evaluación médica. Esperamos que la respuesta te haya sido de gran ayuda."</t>
  </si>
  <si>
    <t>Solicitud de activación o carga de cursos en la academia</t>
  </si>
  <si>
    <t>Buenas tardes, Sirva la presente para consultar si puedo dejar el formulario F001 y copia de DNI antes del apto médico, cuento con días libres antes de la fecha y quisiera acercarme con tiempo a dejarlos documentos. Gracias.</t>
  </si>
  <si>
    <t>"¡Gracias por la información! Te comentamos que el plazo para dejar el documento es hasta 2 días hábiles después de la fecha de tu apto médico. Esperamos que la respuesta te haya sido de gran ayuda."</t>
  </si>
  <si>
    <t>Buenas tardes mi licencia chilena vence el 31_12_25,quedo atenta para la revalidación</t>
  </si>
  <si>
    <t>¡Gracias por la información! Comentarte que tenemos mapeado la fecha de tu licencia y te estaremos enviando antes de la fecha de tu vencimiento. ¡Agradecemos mucho tu colaboración y comprensión!</t>
  </si>
  <si>
    <t>Buenas noches, escribo para comunicar que mi apto médico está por vencer a fin de mes y tengo asignaciones el 1 de agosto. Quisiera saber cuándo puedo ir a recogerlo. Gracias</t>
  </si>
  <si>
    <t>¡Gracias por la información! Te comentamos que debido a una inconsistencia por parte de la clínica se ha demorado la emisión de tu documento. Estamos gestionando la prioridad a fin de emitirlo y solicitar la convalidación chilena. En cuanto tengamos la documentación te será comunicado por este medio. Esperamos que la respuesta te haya sido de gran ayuda.</t>
  </si>
  <si>
    <t>Confirmación o aceptación de la programación propuesta</t>
  </si>
  <si>
    <t>Actualización de datos personales o documentos de viaje</t>
  </si>
  <si>
    <t>Buenos días ,mi licencia chilena está próxima a vencer estoy enviando esto ya que el lunes 30 salgo de pernocte retornando el 01/04 y mi licencia chilena y apto médico vencen el 31/03</t>
  </si>
  <si>
    <t>INFORMATIVO</t>
  </si>
  <si>
    <t>Por favor podría hacer mi apto medico el lunes 27???</t>
  </si>
  <si>
    <t>Podría mover la fecha para mañana 01 de abril por favor.</t>
  </si>
  <si>
    <t>"¡Gracias por la información! Te comentamos que la programación de tu apto médico sera el 13 de abril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t>
  </si>
  <si>
    <t>Cambiar de fecha me toca lunes 15 pasarlo para el viernes 26 por favor</t>
  </si>
  <si>
    <t>Seguimiento de programación o reprogramación pendiente</t>
  </si>
  <si>
    <t>Tengo apto médico mañana 28nov , pero aún tengo las indicaciones , el lugar ni la hora , agradeceria información</t>
  </si>
  <si>
    <t>Siguiento las indicaciones informo que hoy presento un cuadro de resfrio con dolor de garganta, el dolor de garganta inicio hace dos dias.</t>
  </si>
  <si>
    <t>Estimad@, Se reprogramará su apto médico + emo para el 25 de agosto. Gracias</t>
  </si>
  <si>
    <t>Buenas tardes, considerando las indicaciones que nos enviaron por correo no me encuentro apta para pasar la consulta debido a que me ha llegado el periodo.</t>
  </si>
  <si>
    <t>Hola, Ariana: Esperamos que hayas tenido un excelente día. Muchas gracias por comunicarte con nosotros e informarnos sobre tu situación. No te preocupes, comprendemos perfectamente el inconveniente. Al respecto, te confirmamos que hemos procedido con la reprogramación de tu evaluación para el mes de junio. Los detalles de la nueva fecha y hora se los enviaremos por el correo. Esperamos haberte ayudado.</t>
  </si>
  <si>
    <t>Pasé el examen médico en Junio; aún no recibo respuesta y mi licencia y apto médico vencen el 31 de julio.</t>
  </si>
  <si>
    <t>¡Gracias por la información! Verificamos que el apto médico fue enviado e 16 de julio. Esperamos que la respuesta te haya sido de gran ayuda.</t>
  </si>
  <si>
    <t>Solicitud de asignación de vuelos o activación de reservas</t>
  </si>
  <si>
    <t>Buenos días soy Jesús Giancarlo Ramírez Zavaleta BP 6000716 tripulante de Latam Perú, pasé mi apto médico y Emo en el mes de Noviembre 2025, me mantengo a la espera para el recojo del mismo. GRACIAS.</t>
  </si>
  <si>
    <t>"¡Gracias por la información! Te comentamos que estamos regularizando tu apto médico y te lo estaremos enviando antes de tu fecha de vencimiento. Esperamos que la respuesta te haya sido de gran ayuda."</t>
  </si>
  <si>
    <t>Buenas tardes. Mi nombre es pamela chavez rios co bp 1169105. l dia 1 de diciembre pase mi apto medico y aun no me avisan para pasar a recogerlo. Ya que tendria tb mi direccion actualizada . Quedo atenta ppr favor</t>
  </si>
  <si>
    <t>Buenas tardes estimad@s . Perdón la molestia. Así fue. Confirmo que tengo mi apto médico vigente .</t>
  </si>
  <si>
    <t>Notificación de vencimiento próximo de experiencia reciente</t>
  </si>
  <si>
    <t>No se programó para el mes de setiembre el apto médico. La licencia tiene vigencia hasta el 30 de setiembre.</t>
  </si>
  <si>
    <t>Estimada, Muchas gracias por la observación, se procedió a programar su Apto médico para que el 11 de septiembre. Gracias</t>
  </si>
  <si>
    <t>Reporte de problema documental o logístico asociado al chequeo</t>
  </si>
  <si>
    <t>Apto médico realizado el 28 nov , me protegieron el rol para la obtención del nuevo apto , tengo asignación mañana puedo volar con mi antiguo apto que se vence en el 2028 ???</t>
  </si>
  <si>
    <t>Gestión de vacaciones durante o al final del periodo de maternidad</t>
  </si>
  <si>
    <t>¡Gracias por la información! Te comentamos que es necesario el recojo de tu nuevo apto médico actualizado para volar, por tal motivo, se te estará retirando tu vuelo del día de mañana. Asimismo, te informamos que te notificaremos por correo el recojo de tu apto médico para que puedas operar en la línea. ¡Agradecemos mucho tu colaboración y comprensión!</t>
  </si>
  <si>
    <t>Buenas tardes el noviembre tuve el apto medico en la clínica el trabajador, ahora el 4 se marzo me han programado también, quisiera saber si tengo que volverlo a pasar ?</t>
  </si>
  <si>
    <t>¡Gracias por la información! Te informamos que, dado que tu revalidación se encuentra agendada para este mes y a fin de homologar las fechas, se ha visto necesario agendar tu exámen médico ocupacional. En Soporte SAB, llevamos el control y seguimiento de todas las licencias y habilitaciones, por lo que no es necesario que te preocupes. Solo te pedimos que nos contactes si faltan menos de 72 horas para el vencimiento y aún no recibes novedades. Esperamos que la respuesta te haya sido de gran ayuda."</t>
  </si>
  <si>
    <t>Solicitud de cambio de fecha por cruce con vacaciones, rol o preferencia</t>
  </si>
  <si>
    <t>Buenas tardes, tengo programado apto médico ME con fecha 14/05; sin embargo mi apto actual se encuentra con fecha de emisión 21/01/2026 y válido hasta el 31/08/2028. Agradeceré su apoyo indicando si corresponde pasar nuevo Apto médico o solo EMO. Gracias.</t>
  </si>
  <si>
    <t>Hola, Aldo: Esperamos que hayas tenido un excelente día. Muchas gracias por tu observación y por ayudarnos a validar la vigencia de tus documentos. Efectivamente, al contar con tu apto vigente hasta agosto de 2028, hemos procedido con la cancelación de la cita para el apto médico programada para el 14/05. En su lugar, se te asignará la condición de reserva en el día indicado, para que tu programación se mantenga alineada con tus requerimientos actuales. Te agradecemos por comunicarte con nosotros para regularizar este registro. Esperamos haberte ayudado.</t>
  </si>
  <si>
    <t>Buenas noches, acabo de pasar apto medico y examen ocupacional el 27 de noviembre del 2025 y ya me otorgaron mi nuevo apto médico. Tengo nuevamente programado el apto médico y examen ocupacional el 29 de abril quisiera saber si lo debo realizar nuevamente.</t>
  </si>
  <si>
    <t>"¡Gracias por la información! No es necesario que vuelvas a realizar nuevamente tu apto médico; por ello, se te va a retirar la asignación de ME por rol. Tu apto médico junto con tu EMO serán asignados dentro de la programación de tu curso de Revalidación de Seguridad (mes base noviembre) ¡Agradecemos mucho tu colaboración y comprensión!</t>
  </si>
  <si>
    <t>hola</t>
  </si>
  <si>
    <t>wrsgfaewrdgbfs</t>
  </si>
  <si>
    <t>sdgffdsfsg</t>
  </si>
  <si>
    <t>assa</t>
  </si>
  <si>
    <t>Hoy recojí mi apto médico según el mail que me enviaron y hay error en la fecha de vencimiento 31/07/2026</t>
  </si>
  <si>
    <t>¡Gracias por la información! Respecto a la fecha de vencimiento, te confirmamos que no hay errores. La clínica reportó el vencimiento del apto médico para el 31 de julio de 2026. Dado que acabas de terminar el curso y retornarás a la línea, se deberá agendar un nuevo examen para renovar el documento antes de su próximo vencimiento. Considera que el apto lo tuviste en enero y la clínica está dando una validez solo de 6 meses, en este caso en el próximo agendamiento de apto debes considerar lo indicado por la clínica y llevar la documentación necesaria en caso te hayan solicitado presentar. Espe</t>
  </si>
  <si>
    <t>Renové mi apto el día 24 de julio y el día 27 de julio me llegó un correo de la clínica indicando que estaba apta pero hasta ahora sigo figurando como licencia suspendida en la página de la dgac y soporte no se ha contactado conmigo</t>
  </si>
  <si>
    <t>Estimada, Espero que se encuentre bien. Lamentamos los inconvenientes, actualmente se encuentra Apta es por ello que se ha programado su curso RTI del 8 al 11 de septiembre. Durante los próximos días daremos más detalle de su curso. Muchas gracias</t>
  </si>
  <si>
    <t>Notificación o informe no especificado</t>
  </si>
  <si>
    <t>Buenas tardes , normalmente dentro de mi programación de Reva me ponen APTO MÉDICO y esta vez no fue asi, quisiera saber por favor si es un error y me lo van a programar dentro de las mismas fecha de mi Reva o será despues para el otro año. Muchas gracias .</t>
  </si>
  <si>
    <t>"¡Gracias por la información! Te comentamos que la programación de tu apto médico se agendará cerca a la fecha de vencimiento (antes de marzo 2026). ¡Agradecemos mucho tu colaboración y comprensión!"</t>
  </si>
  <si>
    <t>Me encuentro tomando fluimicil (acetilcisteina) eso es para poder expectorar</t>
  </si>
  <si>
    <t>Confirmo la recepción de mi Apto médico Renovado</t>
  </si>
  <si>
    <t>informativo</t>
  </si>
  <si>
    <t>Validación de la programación de Reva asignada en el rol</t>
  </si>
  <si>
    <t>Recibí Apto Médico Conforme, el.mail indicaba que había que responder para confirmación de la recepción</t>
  </si>
  <si>
    <t>(sin respuesta)</t>
  </si>
  <si>
    <t>Consulta de saldo de días disponibles y fechas de vencimiento</t>
  </si>
  <si>
    <t>Hola! Que tal Hace unos dias envie el formulario actualizando mi pasaporte Queria saber si es que lo pudieron recibir okey? Quedo atenta Saludos cordiales</t>
  </si>
  <si>
    <t>NO ENVIAR</t>
  </si>
  <si>
    <t>Buenas Tardes, Rendí mi examen de suficiencia del idioma Inglés en Go fluent y quería consultarles cómo podría tramitar la inclusión de la bandera del idioma Inglés en mi piocha. Adjunto resultado obtenido. Gracias por su orientación</t>
  </si>
  <si>
    <t>Hola Ethel: Te comentamos que para poder actualizar tu piocha debes enviar un correo a "meyling.delcarpio@latam.com" enviandole la captura de tu nota en go fluent. Esperamos poder haberte ayudado!</t>
  </si>
  <si>
    <t>Buenas noches, estimados quería consultar si existe la posibilidad de que mi apto médico + examen ocupacional que fue programado para el 08/09 en la clínica Tezza, podría ser cambiado para la clínica del trabajador, ya que mi domicilio es en el callao y por la zona donde vivo están haciendo reparación de las vías y me demoraría un aproximado de 3 horas en llegar a la clínica tezza, en cambio a la clinica del trabajador no demoraría tanto en llegar, pido su colaboración si es posible realizar este cambio sin necesidad de cambiar mi programación de mi reva, quedo atento a su pronta respuesta, sa</t>
  </si>
  <si>
    <t>Estimado, Espero que se encuentre bien. Claro que sí, acabamos de enviar un correo actualizando la clínica a la que deberá asistir. Gracias</t>
  </si>
  <si>
    <t>Solicitud o seguimiento de programación de chequeos LATAM/DGAC</t>
  </si>
  <si>
    <t>Perdí mi line check día 5 enero, para 787</t>
  </si>
  <si>
    <t>"¡Gracias por la información! Te informamos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Si tienes alguna otra consulta, estamos aquí para ayudarte. Te recordamos que en Soporte SAB llevamos el control y seguimiento de tus licencias y habilitaciones, por lo que te pedimos tenerlo presente para futuras</t>
  </si>
  <si>
    <t>Reclamo por discrepancia entre lo solicitado y lo asignado</t>
  </si>
  <si>
    <t>Mi LCK fue cambiado de Aqp a cuz no hay instructor</t>
  </si>
  <si>
    <t>Linecheck 767 cancelado por cambio de avión a última hora</t>
  </si>
  <si>
    <t>Consulta sobre documentación de viaje y su efecto en el rol</t>
  </si>
  <si>
    <t>Buenos días, no me han programado mi linecheck de airbus este mes.</t>
  </si>
  <si>
    <t>¡Gracias por la información! Te informamos que, dado que tu mes base es agosto y según lo establecido en la RAP 63, esta actividad puede ser programada dentro de un período de elegibilidad que comprende 30 días antes, durante y después de tu mes base. Por lo tanto, tu verificación de competencia podrá ser agendada en septiembre, junto con la prórroga correspondiente. Si tienes alguna otra consulta, estamos aquí para ayudarte. Si tu actividad no fue agendada durante el mes base, aún puedes ser programado durante el mes de prórroga, sin que esto implique la pérdida de tu chequeo. Te recordamos q</t>
  </si>
  <si>
    <t>Solicito chequeo de competencia A320 ya que estoy proxima a vencimiento</t>
  </si>
  <si>
    <t>Cesión o intercambio de vacaciones entre tripulantes</t>
  </si>
  <si>
    <t>Hola, mi LCK B767 vence el 28/02 y aún no me lo han programado. Gracias</t>
  </si>
  <si>
    <t>Solicitud de vacaciones adicionales o fuera del proceso</t>
  </si>
  <si>
    <t>No tuve linecheck en junio por tener DM, pensé que me lo reprogramarían para julio.</t>
  </si>
  <si>
    <t>¡Gracias por la información! Te informamos que, dado que tu mes base de LCK B767 es julio y según lo establecido en la RAP 63, esta actividad puede ser programada dentro de un período de elegibilidad que comprende 30 días antes, durante y después de tu mes base. Por lo tanto, tu verificación de competencia podrá ser agendada en agosto, junto con la prórroga correspondiente. Si tienes alguna otra consulta, estamos aquí para ayudarte. Si tu actividad no fue agendada durante el mes base, aún puedes ser programado durante el mes de prórroga, sin que esto implique la pérdida de tu chequeo. Te recor</t>
  </si>
  <si>
    <t>Buenas tardes, por descanso médico, perdí mi Linecheck B767 programado para el 21 de marzo.</t>
  </si>
  <si>
    <t>"¡Gracias por la información! Te comentamos que tenemos mapeado tu caso y se te estará programando tu chequeo para el mes de febrero. Esperamos que la respuesta te haya sido de gran ayuda."</t>
  </si>
  <si>
    <t>Por descanso médico perdí mi línea check en el mes de marzo y estoy próxima a vencerme en 767</t>
  </si>
  <si>
    <t>"¡Gracias por la información! Te informamos que, dado que tu mes base en la flota B767 es abril y según lo establecido en la RAP 63, esta actividad puede ser programada dentro de un período de elegibilidad que comprende 30 días antes, durante y después de tu mes base. Por lo tanto, tu verificación de competencia podrá ser agendada tanto en marzo como en mayo, junto con la prórroga correspondiente. Si tienes alguna otra consulta, estamos aquí para ayudarte. Si tu actividad no fue agendada durante el mes base, aún puedes ser programado durante el mes de prórroga, sin que esto implique la pérdida</t>
  </si>
  <si>
    <t>Queria confirmar el 11 de Junio para la reprogramacion de mi LCK.</t>
  </si>
  <si>
    <t>TC quiere reconfimar que aceptó el cambio en su rol para recuperación de LCK, pero ya se encuentra asignado en su rol (LCK A320F).</t>
  </si>
  <si>
    <t>CODIGO_OPERACION</t>
  </si>
  <si>
    <t>Deseo saber en que fecha estoy programada para mi line check de Airbus y Boeing 767</t>
  </si>
  <si>
    <t>FECHA_HORA</t>
  </si>
  <si>
    <t>CATEGORIA</t>
  </si>
  <si>
    <t>Por favor deseo saber la programación de mi vuelos de rectificación en la flota Airbus</t>
  </si>
  <si>
    <t>Estimado TC: Tomando en cuenta tu periodo de vacaciones, coordinaremos con el área de Roles para que tu programación de recalificación en la flota Airbus se realice durante el mes de mayo. De esta manera, aseguramos que tus días de descanso se cumplan según lo previsto. Te notificaremos en cuanto la fecha esté confirmada.</t>
  </si>
  <si>
    <t>CONSULTA</t>
  </si>
  <si>
    <t>COD_OBJETIVO</t>
  </si>
  <si>
    <t>Consulta general sobre vacaciones sin detalle especificado</t>
  </si>
  <si>
    <t>Ya se realizó el Hands on en B767 el día 12/02/26 el mismo día que el LineCheck</t>
  </si>
  <si>
    <t>INTENCION</t>
  </si>
  <si>
    <t>OBJETIVO_SECUNDARIO</t>
  </si>
  <si>
    <t>Buenos días, acabo de generar mi Certiadulto para llevarlo mañana al hands on y la página no me permite visualizarlo ni descargarlo, que debo hacer?</t>
  </si>
  <si>
    <t>N_OBJETIVOS</t>
  </si>
  <si>
    <t>RESPUESTA</t>
  </si>
  <si>
    <t>CALIDAD_RESPUESTA</t>
  </si>
  <si>
    <t>MECANISMO_RESPUESTA</t>
  </si>
  <si>
    <t>ESTADO_RPTA</t>
  </si>
  <si>
    <t>Buenas noches, quisiera saber si el día 13/03 es mi chequeo de competencia ya que mi chequeo de 767 vence el 30/04 y veo q me aparece en rol REC EXP-T</t>
  </si>
  <si>
    <t>SLA_DIAS</t>
  </si>
  <si>
    <t>"¡Gracias por la información! El 13/03 tienes asignado vuelo de experiencia reciente. Asimismo, reforzamos la información en cuanto a tu mes base, el cual es en el mes de abril y según lo establecido en la RAP 63, esta actividad puede ser programada dentro de un período de elegibilidad que comprende 30 días antes, durante y después de tu mes base. Por lo tanto, tu verificación de competencia en la flota B767 podrá ser agendada tanto en marzo como en mayo, junto con la prórroga correspondiente. Te recordamos que en Soporte SAB llevamos el control y seguimiento de tus licencias y habilitaciones,</t>
  </si>
  <si>
    <t>7de3a11c-LATAM-LP</t>
  </si>
  <si>
    <t>31/10/2025 15:31</t>
  </si>
  <si>
    <t>Cancelación, anulación o devolución de vacaciones a la bolsa</t>
  </si>
  <si>
    <t>Jsb</t>
  </si>
  <si>
    <t>LCK AIRBUS PENDIENTE. VENCIMIENTO 31 DE MAYO</t>
  </si>
  <si>
    <t>Buenas tardes. Quisiera saber la fecha de vencimiento de mi linecheck en flota wb ya que no la tengo programado en noviembre por favor.</t>
  </si>
  <si>
    <t>LK03</t>
  </si>
  <si>
    <t>Vencimiento verificación de competencia A320F 28/02/26</t>
  </si>
  <si>
    <t>¡Gracias por la información! Te informamos que, dado que tu mes base es diciembre y según lo establecido en la RAP 63, esta actividad puede ser programada dentro de un período de elegibilidad que comprende 30 días antes, durante y después de tu mes base. Por lo tanto, tu verificación de la competencia podrá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</si>
  <si>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"¡Gracias por la información! Te informamos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Te recordamos que en Soporte SAB llevamos el control y seguimiento de tus licencias y habilitaciones, por lo que te pedimos tenerlo presente para futuras ocasiones; entendemos que puedas preocuparte cuando se acer</t>
  </si>
  <si>
    <t>Completado</t>
  </si>
  <si>
    <t>404365d9-LATAM-LP</t>
  </si>
  <si>
    <t>Mi linechek se vence el 28 de febrero del 2026 en Airbus</t>
  </si>
  <si>
    <t>01/11/2025 16:24</t>
  </si>
  <si>
    <t>Reprogramación de la Reva por descanso médico, salud u otra causa</t>
  </si>
  <si>
    <t>Tc</t>
  </si>
  <si>
    <t>Solicitud de cambio de fechas de vacaciones asignadas</t>
  </si>
  <si>
    <t>Buenas tardes. Tengo mi apto medico el dia 3. Pero me encuentro tomando medicacion para el resfrio. Segun el documento enviando no podria dar el examen medico.</t>
  </si>
  <si>
    <t>AM02</t>
  </si>
  <si>
    <t>Solicitud de adelanto de LCK 767 por vencimiento de prorroga</t>
  </si>
  <si>
    <t>Consulta duplicada</t>
  </si>
  <si>
    <t>¡Gracias por tu mensaje!. Te comentamos que estaremos reprogramando tu apto médico para el 11/11. ¡Agradecemos mucho tu colaboración y comprensión!</t>
  </si>
  <si>
    <t>Buenas tardes, para solicitar me reprogramen la verificación de competencia este mes ya que estoy en el mes de prórroga, gracias</t>
  </si>
  <si>
    <t>ba8d4b6e-LATAM-LP</t>
  </si>
  <si>
    <t>03/11/2025 05:17</t>
  </si>
  <si>
    <t>Jsbs</t>
  </si>
  <si>
    <t>Me encuentro en mes de prórroga del Line check del 787 y no me lo pusieron por rol. Por favor considerar cheque lo para el día 06 que tengo el vuelo 2697</t>
  </si>
  <si>
    <t>Estimados, estando a dias de iniciar dias L por bloque de 10, y empalme con vacaciones, aun no visualizo en rol noviembre, el vuelo de experiencia reciente, el cual deberia cumplir hasta antes del dia 22NOV. Les agradecere muchisimo se insista con mi caso, ya que he hecho referencia en mas de 3 ocasiones del tema. Así mismo, entiendo que según respuesta, ya se ne tenia mapeada en sistema, sin embargo, a la fecha, no tengo respuesta real del vuelo que haré para permanecer en línea en la flota 767. Agradeceré insistir con la gestión.</t>
  </si>
  <si>
    <t>"¡Gracias por la información! Te informamos que se te asignará el 6 de Feb tu chequeo para la flota B787. Esperamos que la respuesta te haya sido de gran ayuda."</t>
  </si>
  <si>
    <t>ER08</t>
  </si>
  <si>
    <t>Seguimiento de programación pendiente</t>
  </si>
  <si>
    <t>Solicitud o seguimiento de programación de la Reva</t>
  </si>
  <si>
    <t>Consulta por efecto de DM, maternidad o licencia sobre las vacaciones</t>
  </si>
  <si>
    <t>Checkeo 767. Hola, buen día, el mes pasado a través del PBS me figuraba Line check en 767 el día 26 de dic, pero ahora no figura. Se realizaráen enero? el año pasado también lo realicé en diciembre. Muchas gracias.</t>
  </si>
  <si>
    <t>"¡Gracias por la información! Te informamos que, dado que tu mes base es enero y según lo establecido en la RAP 63, esta actividad puede ser programada dentro de un período de elegibilidad que comprende 30 días antes, durante y después de tu mes base. Por lo tanto, tu verificación de competencia podrá ser agendada tanto en diciembre como en febrero, junto con la prórroga correspondiente. Si tienes alguna otra consulta, estamos aquí para ayudarte. Te recordamos que en Soporte SAB llevamos el control y seguimiento de tus licencias y habilitaciones, por lo que te pedimos tenerlo presente para fut</t>
  </si>
  <si>
    <t>09b2d8cd-LATAM-LP</t>
  </si>
  <si>
    <t>02/11/2025 14:51</t>
  </si>
  <si>
    <t>Buenas tardes: Me encontraba haciendo mi examen de b767 y la pantalla se quedó congelada y al actualizar la página salió automáticamente que había jalado el examen al 50%, solo había marcado 5 preguntas, el resto no fueron marcadas, por favor pido su apoyo para la revisión para que se pueda validar y volver a realizar mi examen sin perjudicarme con un sustitutorio</t>
  </si>
  <si>
    <t>Linecheck Airbus: Estimados se que ustedes tienen mapeado los LCK pendientes, solo para hacer un pequeño recordatorio, para que me programen en el mes de Marzo sin falta, ya que sino en Abril no podré volar el Airbuss</t>
  </si>
  <si>
    <t>RV01</t>
  </si>
  <si>
    <t>"¡Gracias por la información! Recuerda que, dado que tu mes base es febrero y según lo establecido en la RAP 63, esta actividad puede ser programada dentro de un período de elegibilidad que comprende 30 días antes, durante y después de tu mes base. Por lo tanto, tu verificación de competencia podría ser agendada tanto en enero como en marzo, junto con la prórroga correspondiente. Si tienes alguna otra consulta, estamos aquí para ayudarte Te recordamos que en Soporte SAB llevamos el control y seguimiento de tus licencias y habilitaciones, por lo que te pedimos tenerlo presente para futuras ocas</t>
  </si>
  <si>
    <t>¡Gracias por tu mensaje!. Te recordamos que las consultas sobre errores de plataforma, notas o problemas con la interfaz deben ser gestionadas a través del canal de Soporte de Academia LATAM. Además, durante las evaluaciones es importante seguir los lineamientos indicados para evitar posibles errores. Puedes acceder al formulario mediante el siguiente link: https://sites.google.com/latam.com/sscap-ssc/soporte-academia-corporativa ¡Agradecemos mucho tu colaboración y comprensión!</t>
  </si>
  <si>
    <t>Seguimiento o consulta de confirmación de vacaciones pendiente</t>
  </si>
  <si>
    <t>Estimados, buenos dias. Quería consultarles si el vuelo MIAMI que figura en mi PBS es mi linecheck de 767 ya que pongo en conocimiento quw tengo vacaciones del 23 al 30 de Junio. Me pueden confirmar si ese vuelo a Miami es mi LINECHECK?</t>
  </si>
  <si>
    <t>Hola, Alejandra: Esperamos que tengas un excelente día. Muchas gracias por comunicarte con nosotros y por ponernos en conocimiento sobre tus fechas de vacaciones. Respecto a tu consulta, te informamos que el equipo de planificación tiene plenamente mapeada la necesidad de tu habilitación. Al respecto, es probable que dicho vuelo a Miami sea el designado; sin embargo, debido a la dinámica y posibles variaciones en la malla, en este momento no podemos confirmártelo de manera definitiva como tu LCK B767. Saludos</t>
  </si>
  <si>
    <t>fac2a9d8-LATAM-LP</t>
  </si>
  <si>
    <t>01/11/2025 18:46</t>
  </si>
  <si>
    <t>Reprogramación de Verificación de Competencia para Abril 2026</t>
  </si>
  <si>
    <t>Buenas tardes! Me han programado REVA del 3 al 6 de noviembre y el día 5 y 6 me han puesto vuelos de recalificacion y reentrenamiento. Me urdo atenta a las modificaciones. Saludos, Diana León BP 4261266</t>
  </si>
  <si>
    <t>Te comentamos que tenemos mapeada tu Verificación de Competencia y tenemos la opción de solicitar la programación para el mes de abril o, si fuera necesario, gestionarla para mayo solicitando una prorroga</t>
  </si>
  <si>
    <t>ER03</t>
  </si>
  <si>
    <t>El 6 de noviembre me cancelaron mi Line check airbus. No visualizo en mi rol de diciembre nueva fecha de line check</t>
  </si>
  <si>
    <t>"¡Gracias por la información! Te informamos que, dado que tu mes base es diciembre y según lo establecido en la RAP 63, esta actividad puede ser programada dentro de un período de elegibilidad que comprende 30 días antes, durante y después de tu mes base. Por lo tanto, tu verificación de la competencia podrá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t>
  </si>
  <si>
    <t>6450589d-LATAM-LP</t>
  </si>
  <si>
    <t>03/11/2025 09:45</t>
  </si>
  <si>
    <t>El día 14 de mayo, tengo programado el linechck de B767 pero estoy fuera de vuelo hasta el día 23 de mayo por un accidente de trabajo, favor de reprogramar para el mes de junio. Muchas gracias.</t>
  </si>
  <si>
    <t xml:space="preserve">Hola, Cheryl: Esperamos que te encuentres muy bien y deseamos tu pronta recuperación. Muchas gracias por comunicarte con nosotros y por informarnos sobre tu situación médica actual. Respecto a tu consulta sobre el Line Check (LCK) B767 programado para el 14 de mayo, te informamos lo siguiente: Programación en Junio: Realizaremos la solicitud para que tu chequeo sea reprogramado durante el mes de junio, considerando tu retorno a vuelo el día 23 de mayo. Opción de Prórroga: En caso de que, por motivos de planificación, no sea posible asignarlo en junio, gestionaremos una prórroga para el mes de </t>
  </si>
  <si>
    <t>Realicé el curso del cuarto control de lecrura, pero al descargar el certificado dice "Tercer Control de Lectura 2025". Lo hice el 03/11/2025</t>
  </si>
  <si>
    <t>CL02</t>
  </si>
  <si>
    <t>Reclamo por curso no registrado como completado</t>
  </si>
  <si>
    <t>Estimados, acepto el chequeo en 787 el dia 21/01. Adjunto imagen del correo enviado con mi mensaje de aceptación.</t>
  </si>
  <si>
    <t>"¡Gracias por tu mensaje!. Te recordamos que las consultas sobre errores de plataforma, notas o problemas con la interfaz deben ser gestionadas a través del canal de Soporte de Academia LATAM. Además, durante las evaluaciones es importante seguir los lineamientos indicados para evitar posibles errores. Puedes acceder al formulario mediante el siguiente link: https://sites.google.com/latam.com/sscap-ssc/soporte-academia-corporativa ¡Agradecemos mucho tu colaboración y comprensión! "</t>
  </si>
  <si>
    <t>513dd2a0-LATAM-LP</t>
  </si>
  <si>
    <t>Me enviaron un correo sobre mi vencimiento de linecheck para este mes, acepto el cambio de vuelos para el 17 de agosto ,gracias</t>
  </si>
  <si>
    <t>03/11/2025 14:50</t>
  </si>
  <si>
    <t>Es informativo</t>
  </si>
  <si>
    <t>Tcj</t>
  </si>
  <si>
    <t>El link para el pedido de las vacaciones del semestre I 2026 cerraba el 31 de Octubre, sin embargo me encontraba de vacaciones todo el mes y no estaba pendiente de los correos enviados. El 01 de Noviembre por la madrugada recién pude leer el correo de las vacaciones y envié mi formulario esperando que sea válido debido a que me encontraba de vacaciones. Me gustaría saber si serán validadas o qué debo realizar para que así sea el caso. Muchas gracias.</t>
  </si>
  <si>
    <t>Problema con el formulario o plataforma de solicitud</t>
  </si>
  <si>
    <t>VA02</t>
  </si>
  <si>
    <t>Buenas tardes, estoy de acuerdo y conforme con el cambio el 16 de enero con los vuelos 2360/2361 para poder realizar mi LCK A320F. Muchas gracias.</t>
  </si>
  <si>
    <t>"¡Gracias por la información! Te informamos que tomaremos en consideración la respuesta que registraste en el formulario de vacaciones (01/11). ¡Agradecemos mucho tu colaboración!</t>
  </si>
  <si>
    <t>abe5354f-LATAM-LP</t>
  </si>
  <si>
    <t>03/11/2025 16:17</t>
  </si>
  <si>
    <t>Buenas tardes, informarles que mi lincencia chilena vence este mes, por lo que solicito la renovación de la misma.</t>
  </si>
  <si>
    <t>LC04</t>
  </si>
  <si>
    <t>Notificación de vencimiento próximo y solicitud de renovación</t>
  </si>
  <si>
    <t>Hola buenos días. Me confirmaron mi chequeo para el 2 de septiembre. Sin embargo, todavía no se ve reflejado en el Iflight . Muchas gracias</t>
  </si>
  <si>
    <t>¡Gracias por la información! De acuerdo a lo coordinado, el vuelo fue solicitado y ya se encuentra reflejado en tu rol. Esperamos que la respuesta te haya sido de gran ayuda.</t>
  </si>
  <si>
    <t>"¡Gracias por la información! Estamos gestionando el envío de tu licencia chilena actualizada para que la recibas antes de su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</si>
  <si>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Hola buen día el día de mañana 16/12 tengo mi reentrenamiento en vuelo temprano, pero aún no me a llegado mi provisional, espero me puedan ayudar, muchas gracias.</t>
  </si>
  <si>
    <t>Solicitud de reenvío del correo de pre publicación o confirmación</t>
  </si>
  <si>
    <t>34a0568d-LATAM-LP</t>
  </si>
  <si>
    <t>03/11/2025 15:36</t>
  </si>
  <si>
    <t>Hola buen día, espero se encuentren bien, el día de mañana 27 tengo mi chequeo de reca en vuelo, pero aún no me han enviado mi provisional, quedo atenta, muchas gracias</t>
  </si>
  <si>
    <t>Buenas tardes, estimados, Espero que mi mensaje los encuentre bien. El presente mensaje es para comentarles que solicité protección de rol para mi cita para la visa, así que me protegieron Octubre, ya obtuve mi visa y pasaporte, el martes 28 de Octubre ya lo ingresé a actualización de datos por medio del formulario respectivo, ya me llegaron los mensajes de confirmación de soporte el mismo 28 y 30 de Octubre tanto para mi pasaporte y visa, pero aún en mi Iflight me sigue apareciendo mi pasaporte restringido. Por favor, actualizarlo.</t>
  </si>
  <si>
    <t>RO01</t>
  </si>
  <si>
    <t>Consulta por mi fecha de line chek de b767</t>
  </si>
  <si>
    <t>9dfde75c-LATAM-LP</t>
  </si>
  <si>
    <t>Consulta sobre reglas y criterios del proceso de vacaciones</t>
  </si>
  <si>
    <t>03/11/2025 20:23</t>
  </si>
  <si>
    <t>Buenos dias .Queria consultar cuando me.tocaria mi line checa 767 por.favor? No lo tengo el pbs de abril.</t>
  </si>
  <si>
    <t>"¡Gracias por la información! Te informamos que tu mes base de LCK B767 es junio y según lo establecido en la RAP 63, esta actividad puede ser programada dentro de un período de elegibilidad que comprende 30 días antes, durante y después de tu mes base. Por lo tanto, tu verificación de competencia podrá ser agendada tanto en mayo como en julio, junto con la prórroga correspondiente. Si tienes alguna otra consulta, estamos aquí para ayudarte. Si tu actividad no fue agendada durante el mes base, aún puedes ser programado durante el mes de prórroga, sin que esto implique la pérdida de tu chequeo.</t>
  </si>
  <si>
    <t>MADRID 2484 06/11</t>
  </si>
  <si>
    <t>ZZ98</t>
  </si>
  <si>
    <t>Licencia provisional B767- Estimados , buenas tardes por la presente les hago mención que tanto Monica Arias y yo nos encontramos en Miami a la espera de que nos envíen la licencia provisional para nuestro re entrenamiento en el B767, el día sábado les llegó la licencia a todos excepto a nosotras dos , nos indicaron que nos llegaría hoy lunes y que la imprimiéramos en el hotel ; sin embargo , al momento no ha llegado aún. Muchas gracias</t>
  </si>
  <si>
    <t>¡Gracias por la información! Estamos atentos a la consulta que deseas ingresar ¡Agradecemos mucho tu colaboración y comprensión!</t>
  </si>
  <si>
    <t>49fee8f4-LATAM-LP</t>
  </si>
  <si>
    <t>03/11/2025 20:24</t>
  </si>
  <si>
    <t>No puedo descargar documento del ministerio de trabajo que solicitan para mañana. Me comentaron que podía utilizar mi certificado de antecedentes penales</t>
  </si>
  <si>
    <t>LA2484 (6/11)</t>
  </si>
  <si>
    <t>RO12</t>
  </si>
  <si>
    <t>Consulta general sobre el rol sin detalle especificado</t>
  </si>
  <si>
    <t>Hola buenas , me contacto para saber informacion sobre mi chequeo de competencias en 76 ya que veo que tambien sw esta realizando en SCL en 76 y no me logran poner y queria saber porque no cabe la posibilidad de ponerme ahi mis chequeos ya que no cuento con visa y asi poder volar el 76 en rutas como SCL o.BOG. Quedo artento saludos</t>
  </si>
  <si>
    <t>Consulta o reclamo por pago asociado a vacaciones</t>
  </si>
  <si>
    <t>Hola, Giancarlos: Esperamos que hayas tenido un excelente día. Muchas gracias por comunicarte con nosotros. Hemos recibido tu requerimiento respecto a la posibilidad de realizar tu chequeo de competencia en rutas que no requieran visa, como SCL o BOG. Al respecto, te informamos que validaremos con el área correspondiente y evaluaremos la disponibilidad de fechas para poder asignarte esta actividad de manera excepcional. No te preocupes, mantendremos tu caso en seguimiento y te estaremos notificando por este mismo medio en cuanto tengamos una confirmación. Saludos,</t>
  </si>
  <si>
    <t>5b0cfbd6-LATAM-LP</t>
  </si>
  <si>
    <t>Buenos dias, tengo una consulta, en mi reva del dia 10/10 estuvo el instructor Luis Bacigalupo y Gianfranco Celis y ahora el 11/12 me toca linecheck nuevamente con el intructor Bacigalupo, mi consulta era si hay un inconveniente con que sea el mismo intructor o en todo caso no hay problema alguno, solo deseo salir de dudas y avisarles con tiempo por cualquier cosa, muchas gracias!!.</t>
  </si>
  <si>
    <t>03/11/2025 20:25</t>
  </si>
  <si>
    <t>"¡Gracias por la información! Verificamos que el día de tu Reva, los instructores presentes fueron Kevin Segovia y Gianfranco Celiz. Por lo que no existe algún inconveniente que en el día de tu chequeo el instructor sea Luis Bacigalupo. ¡Agradecemos mucho tu colaboración y comprensión!"</t>
  </si>
  <si>
    <t>LA2484 (6.11)</t>
  </si>
  <si>
    <t>El mes de marzo estoy como High Rank y tengo vacaciones pre publicadas del 01 al 15 de abril. Mi último linecheck fue el 14 de abril de 2025. ¿Es posible colocarme el chequeo durante el mes de marzo para no perder mi habilitación?</t>
  </si>
  <si>
    <t>edf48542-LATAM-LP</t>
  </si>
  <si>
    <t>04/11/2025 03:44</t>
  </si>
  <si>
    <t>"¡Gracias por la información! Te comentamos que es importante que cuentes con la siguiente información: tu mes base para tu chequeo en la flota B767 es mayo y según lo establecido en la RAP 63, esta actividad puede ser programada dentro de un período de elegibilidad que comprende 30 días antes, durante y después de tu mes base. Por lo tanto, tu verificación de competencia podrá ser agendada tanto en abril como en junio, junto con la prórroga correspondiente. Es por ello que no se te podrá programar para el mes que solicites. Asimismo, solo es necesario que nos contactes si tu licencia o habili</t>
  </si>
  <si>
    <t>Buenos dias, tengo descanso medico el día de hoy 04/11 y mañana 05/11 , mañana tengo programado apto medico. Quería dejar la consulta para saber que fecha se podría reprogramar la cita . Gracias de antemano por la gestión. Saludos.</t>
  </si>
  <si>
    <t>Corrección de la solicitud de vacaciones registrada</t>
  </si>
  <si>
    <t>Buenas tardes respecto a la respuesta recibida me estarian programando linecheck el 1ro de julio segun PBS despues de mis vacaciones que es la ultima semana de Junio por lo que no se estaria respetando el nuevo convenio colectivo.</t>
  </si>
  <si>
    <t>¡Gracias por la información! Te comentamos que según el convenio "se debe programar el curso en tierra de Revalidación de Seguridad o Licencia al menos 7 días calendario después de la fecha en que el tripulante se reincorpore de sus vacaciones" por lo que no habría restricción con respecto a la programación de la Verificación de Competencia. Tener presente que también puedes conversar con tu CPL para solicitar alguna petición excepcional de reprogramación. Esperamos que la respuesta te haya sido de gran ayuda.</t>
  </si>
  <si>
    <t>¡Gracias por tu mensaje! Te informamos que estaremos programando una nueva fecha para tu apto médico. ¡Agradecemos mucho tu colaboración y comprensión!</t>
  </si>
  <si>
    <t>No llegó instructor para mi L check hoy día 18 de Agosto</t>
  </si>
  <si>
    <t>Se coordinó por correo de Soporte</t>
  </si>
  <si>
    <t>46ff6f6e-LATAM-LP</t>
  </si>
  <si>
    <t>04/11/2025 06:32</t>
  </si>
  <si>
    <t>Disculpen solo para comentarles el día de ayer 8 de junio me quitaron la programación de lincheck de airbus.</t>
  </si>
  <si>
    <t>Enviar licencia convalidación chilena. Buen dia, pido de su apoyo para que puedan enviarme mi convalidación de licencia chilena con la habilitación B767 ya que han pasado muchas semanas desde mi chequeo DGAC y en los próximos días tengo vuelos programados en B767 y quisiera evitar cualquier contratiempo.</t>
  </si>
  <si>
    <t>LC02</t>
  </si>
  <si>
    <t>¡Gracias por la información! Te informamos que, dado que tu mes base es julio y según lo establecido en la RAP 63, esta actividad puede ser programada dentro de un período de elegibilidad que comprende 30 días antes, durante y después de tu mes base. Por lo tanto, tu verificación de competencia podrá ser agendada en agosto, junto con la prórroga correspondiente. Si tienes alguna otra consulta, estamos aquí para ayudarte. Si tu actividad no fue agendada durante el mes base, aún puedes ser programado durante el mes de prórroga, sin que esto implique la pérdida de tu chequeo. Te recordamos que en</t>
  </si>
  <si>
    <t>Regresar a bolsa vacaciones por natalidad</t>
  </si>
  <si>
    <t>"""Hola María, Esperamos que te encuentres muy bien. Muchas gracias por comunicarte con nosotros y por hacernos llegar tu consulta para verificar tu estado en el sistema. De acuerdo a lo solicitado, se procede a cancelar tus vacaciones pre publicadas de julio y agosto, las cuales retornarán a tu bolsa de vacaciones. Saludos cordiales,"""</t>
  </si>
  <si>
    <t>743e2efe-LATAM-LP</t>
  </si>
  <si>
    <t>04/11/2025 09:46</t>
  </si>
  <si>
    <t>Tcs</t>
  </si>
  <si>
    <t>Buenos dias, quería comentarles que el dia de ayer pase un cambio del 12 al 14 con mi compañero Marlon Risco para tener un vuelo en 76 a Atlanta. Quería mantenerlos informados ya que al pasar el cambio ya no sería necesario que roles mueva mis asignaciones programadas. Gracias por el apoyo, estamos en comunicación</t>
  </si>
  <si>
    <t>Cuantos dias de vacaciones tengo disponible</t>
  </si>
  <si>
    <t>ER01</t>
  </si>
  <si>
    <t>"¡Gracias por la información! Por favor te pedimos canalizar esta información con el equipo de Roles. movimiento.trip@lan.com ¡Agradecemos mucho tu colaboración y comprensión!"</t>
  </si>
  <si>
    <t>Hola, me gustaría saber si tengo días disponibles este año.</t>
  </si>
  <si>
    <t>""Hola María, Esperamos que te encuentres muy bien. Muchas gracias por comunicarte con nosotros y por hacernos llegar tu consulta para verificar tu estado en el sistema. Informarte que no cuentas con saldo disponible de vacaciones hasta tu fecha de aniversario (01-dic). Posterior a dicha fecha, se te aperturará una nueva bolsa de 45 días. Saludos cordiales,"""</t>
  </si>
  <si>
    <t>cd91ea53-LATAM-LP</t>
  </si>
  <si>
    <t>04/11/2025 09:48</t>
  </si>
  <si>
    <t>Solicitud de gestión no especificada</t>
  </si>
  <si>
    <t>Estimado Equipo Operacional Soporte SAB, he recibido la confirmación para el Examen Médico Ocupacional programado para el 10 de noviembre de 2025. Mi consulta es la siguiente: El último Examen Médico Ocupacional que realicé junto con mi Apto Médico, se llevó a cabo el 13 de agosto y los resultados me fueron enviados el 9 de octubre. Considerando que solo han transcurrido poco más de 2 meses desde la evaluación anterior, ¿Es necesario que me realice el EMO nuevamente en noviembre? Agradezco de antemano su aclaración. Saludos cordiales.o</t>
  </si>
  <si>
    <t>OS07</t>
  </si>
  <si>
    <t>Estimados solicite dos semanas de vacaciones en el mes de julio del 1 hasta el 16 sin embargo en la pre publicacion solo me llego una sola semana</t>
  </si>
  <si>
    <t>Hola, Micaela: Esperamos que te encuentres muy bien. Muchas gracias por comunicarte con nosotros y por hacernos llegar tu consulta para poder revisar tu caso. Al respecto, el pasado 26 de mayo se te remitió una comunicación aclaratoria a tu bandeja de entrada. Te solicitamos cordialmente revisar dicho mensaje, el cual lleva por título: "Fe de Erratas: Micaela, te enviamos la pre publicación de tus vacaciones SAB LP 2026-02 (JUL-DIC)", donde podrás constatar el detalle correcto y el estado de tus periodos asignados para este semestre. Quedamos a tu disposición en caso de que presentes alguna du</t>
  </si>
  <si>
    <t>¡Gracias por la información! Te informamos que, dado que tu revalidación se encuentra agendada para este mes y a fin de homologar las fechas, se ha visto necesario agendar tu exámen médico ocupacional. En Soporte SAB, llevamos el control y seguimiento de todas las licencias y habilitaciones, por lo que no es necesario que te preocupes. Solo te pedimos que nos contactes si faltan menos de 72 horas para el vencimiento y aún no recibes novedades. ¡Agradecemos mucho tu colaboración y comprensión!</t>
  </si>
  <si>
    <t>Buen dia me llegó una prepublicacion de vacaciones para el semestre 2026-1 los cuales no había solicitado. No se porque me asiganaron esas fechas.</t>
  </si>
  <si>
    <t>"¡Gracias por tu mensaje! Te informamos que no ha procedido tu única prioridad de vacaciones del 22 al 28-feb, ya que no cuentas con bolsa de vacaciones hasta el 18-mar (F. Vencimiento). Debido a los cupos disponibles y escalafón, te hemos pre publicado un solo bloque de vacaciones del 24 al 31-mar. En caso que desees cancelarlo, te recomendamos cederlo con otro compañero e ingresarlo a través del formulario de Vacaciones SAB LP para realizar la evaluación respectiva. ¡Agradecemos mucho tu colaboración y comprensión!"</t>
  </si>
  <si>
    <t>98539fc5-LATAM-LP</t>
  </si>
  <si>
    <t>04/11/2025 10:26</t>
  </si>
  <si>
    <t>Buenas tardes, tuve programacion de reva en el mes de Septiembre, desarrolle todos los cursos de Academia Latam, debido al fallecimiento de un familiar tuve una reprogramacion para el mes de Noviembre, es necesario completar todos los cursos nuevamente? Agradezco su pronta respuesta.</t>
  </si>
  <si>
    <t>Quisiera confirmar mis vacaciones pre publicadas hasta el día 15/09 ya que solo me llegó un correo confirmando hasta el 7/09 y dice inicio 24/08 fin 7/09</t>
  </si>
  <si>
    <t>""Hola Connie, Esperamos que te encuentres muy bien. Muchas gracias por comunicarte con nosotros y por hacernos llegar tu consulta para verificar tu estado en el sistema. Informarte que tus vacaciones pre publicadas del 08 al 15-sep serán confirmadas con 22 días de anticipación al inicio de las mismas. Saludos cordiales,"""</t>
  </si>
  <si>
    <t>¡Gracias por tu mensaje! Lamentamos profundamente tu pérdida. Te comentamos que es necesario completar nuevamente los cursos de Academia LATAM para tu revalidación de noviembre. ¡Agradecemos mucho tu colaboración y comprensión!</t>
  </si>
  <si>
    <t>Error en solicitud de cesión de vacaciones</t>
  </si>
  <si>
    <t>3e9c93d7-LATAM-LP</t>
  </si>
  <si>
    <t>04/11/2025 10:28</t>
  </si>
  <si>
    <t>Cambio de fecha solicitada para reprogramación de semana del 24 al 31 Dic cedida</t>
  </si>
  <si>
    <t>Buenas tardes, tuve programada mi reva el mes de Setiembre, por el fallecimiento de un familiar me reprogramaron para el mes de Noviembre, es necesario completar los cursos de Academia Latam nuevamente? Agradezco su pronta respuesta.</t>
  </si>
  <si>
    <t>Reconfirmo (mail ya enviado) la fecha a la que solicité reprogramar mis vacaciones del 24-31Dic cedidas.Adjunto foto de Mail enviado.</t>
  </si>
  <si>
    <t>"¡Gracias por la información! Te comentamos que tenemos mapeado tu caso y te estaremos notificando por correo la confirmación de tus vacaciones. ¡Agradecemos mucho tu colaboración y comprensión!"</t>
  </si>
  <si>
    <t>2e7a6a26-LATAM-LP</t>
  </si>
  <si>
    <t>04/11/2025 11:54</t>
  </si>
  <si>
    <t>Estimados quisiera llenar un estimado de prepublicacion de vacaciones ya que estuve de vacaciones y no pude llenar el formulario. Les doy la fecha estimada del 16 al 30 junio (2026)</t>
  </si>
  <si>
    <t>SOLICITO VACACIONES ADICIONALES 8-12 DE MAYO.</t>
  </si>
  <si>
    <t>VA08</t>
  </si>
  <si>
    <t>¡Gracias por la información! Te informamos que, para solicitar vacaciones adicionales debes hacerlo a través del formulario ""Pedido, Cesión e Intercambio de Vacaciones LP 2026-01"". Puedes acceder al formulario mediante el siguiente link: https://docs.google.com/forms/d/e/1FAIpQLSdmXt-iSndWo5_kb3Bithorzgp7OTZOBAa-lYgrbwGZuQBVcw/viewform Asimismo, te recordamos que la confirmación de tus vacaciones serán notificadas con 30 días de anticipación del inicio de las mismas. Esperamos que la respuesta te haya sido de gran ayuda.</t>
  </si>
  <si>
    <t>¡Gracias por la información! Vamos a tener mapeado tu intencion de vacaciones en las fechas mencionadas. ¡Agradecemos mucho tu colaboración!</t>
  </si>
  <si>
    <t>DUPLICADO</t>
  </si>
  <si>
    <t>9437d224-LATAM-LP</t>
  </si>
  <si>
    <t>04/11/2025 12:31</t>
  </si>
  <si>
    <t>Estimados espero se encuentren bien, por favor deseo saber qué significa OPC en mi rol, también consultar por qué sale entrenamiento pendiente si culmine la reva, chequeos de competencia y solo está pendiente mi line check del 767 que vence en diciembre de este año. Estoy a la espera que me envíen la licencia chilena (ya tengo el apto médico) es la única documentación que está pendiente. Gracias</t>
  </si>
  <si>
    <t>Extensión de bloque de vacaciones - Octubre 2026</t>
  </si>
  <si>
    <t>RO02</t>
  </si>
  <si>
    <t>""Hola Alejandra, Esperamos que te encuentres muy bien. Muchas gracias por comunicarte con nosotros y por hacernos llegar tu consulta para verificar tu estado en el sistema. El flujo correcto para ingresar tu pedido adicional de vacaciones para el mes de octubre es a través del formulario de Vacaciones SAB LP, el cual se encuentra en el site LP. Saludos cordiales,"""</t>
  </si>
  <si>
    <t>¡Gracias por la información! Te comentamos que el códigoc OPC significa que se encuentra apto a la espera de capacitación al retorno de la línea. En tu caso, solo tienes pendiente la renovación de tu licencia chilena, la cual nos encontramos gestionando con la DGAC, una vez que la tengamos, te estaremos enviando tu licencia por correo. ¡Agradecemos mucho tu colaboración y comprensión!</t>
  </si>
  <si>
    <t>Consulta dias a tomae de vacaciones segundo semestre</t>
  </si>
  <si>
    <t>Estimada Thalia, Te comentamos que cuentas con 24 dias disponibles para el 2do semestre. Saludos Cordiales!</t>
  </si>
  <si>
    <t>709d3674-LATAM-LP</t>
  </si>
  <si>
    <t>04/11/2025 13:09</t>
  </si>
  <si>
    <t>Cantidad incorrecta de días de vacaciones. Buenos días, A la fecha cuento con 18 años en la compañía, por lo cual para el período de vacaciones 2026 debería contar con 43 días de vacaciones. En la publicación solo figuran 37 días, faltando asignarme 6 días para tener los 43 qué corresponden. Agradeceré puedan revisar y corregir en el sistema. Adjunto información de vacaciones tomadas dentro de la fecha y las que estan publicadas en el sistema. Saludos cordiales</t>
  </si>
  <si>
    <t>VA13</t>
  </si>
  <si>
    <t>¡Gracias por la información! Te informamos que usted ha gozado vacaciones del 16/10/2025 al 31/10/2025, el cual corresponde a un total de 16 días gozados, por ende, dispone de 28 días de vacaciones pendientes, los cuales pueden ser utilizados hasta antes del 01/09/2026. Como referencia, los 21 días es solo un proporcional disponible referente al primer semestre de 2026. ¡Agradecemos mucho tu colaboración y comprensión!</t>
  </si>
  <si>
    <t>Dias de vacaciones acumulables con licencia post parto</t>
  </si>
  <si>
    <t>2f2119c5-LATAM-LP</t>
  </si>
  <si>
    <t>04/11/2025 19:52</t>
  </si>
  <si>
    <t>Estimada Pamela, esperamos te encuentres bien Te comentamos que tus vacaciones pendientes o acumuladas se incluirán en tu linea de retorno. De momento, no podemos determinar la totalidad de vacaciones ya que aún no nos has indicado la fecha de nacimiento de tu bebé pero ten la seguridad de que si se te asignarán. Saludos Cordiales</t>
  </si>
  <si>
    <t>AM18</t>
  </si>
  <si>
    <t>Quiero saber si tengo vacaciones prepublicadas en Junio 2026</t>
  </si>
  <si>
    <t>Estimado Gerardo, esperamos que hayas tenido un excelente día. Te informamos que dicha información se encuentra detallada en el correo enviado el pasado 28 de noviembre de 2025. Según lo programado, tienes asignado tu periodo vacacional del 16 al 30 de junio de 2026. Esperamos haberte ayudado.</t>
  </si>
  <si>
    <t>0a9f6beb-LATAM-LP</t>
  </si>
  <si>
    <t>Anulacion de vacaciones pre publicadas noviembre 2026</t>
  </si>
  <si>
    <t>04/11/2025 19:05</t>
  </si>
  <si>
    <t>Duplicado</t>
  </si>
  <si>
    <t>Hola buen día espero se encuentren bien, quisiera hacer la consulta sobre la remuneración mensual en licencia por maternidad y lactancia, tenía entendido que era un solo montón mi licencia pre y post comenzó el 16 de agosto antes estuve apoyando full time, en mi remuneración de este mes hubo una diferencia de 1000 soles en mi remuneración, quisiera saber si el monto fue correcto, si es así, quisiera saber si hay la posibilidad de volver a apoyar de manera remota como cuando inicié la bajada a tierra, para que no me afecte económicamente hasta regresar a volar nuevamente. Quedo atenta muchas gracias</t>
  </si>
  <si>
    <t>NA03</t>
  </si>
  <si>
    <t>Trámite del no apto médico por gestación</t>
  </si>
  <si>
    <t>COORDINANDO CON MI JEFATURA EN TIERRA QUISIERA CANCELAR MIS VACACIONES DEL 16 AL 23 DE MARZO PARA EL 2027.</t>
  </si>
  <si>
    <t>Consulta sobre días de lactancia</t>
  </si>
  <si>
    <t>"¡Gracias por la información! Procederemos con la cancelación de tus vacaciones del 16 al 23 de marzo. Esperamos que la respuesta te haya sido de gran ayuda."</t>
  </si>
  <si>
    <t>¡Gracias por la información! Te comentamos que el beneficio de bajada a tierra solo se realiza durante el periodo de maternidad, en el cual se te ofrecen las opciones de realizar tareas administrativas. Con respecto al monto que se te han asignado, te recomendamos canalizarlo por RH Connect. ¡Agradecemos mucho tu colaboración y comprensión!</t>
  </si>
  <si>
    <t>Tendré vacaciones del 8 al 15 de abril ? Renuncie a las mismas. No figuran en el.pbs. y aun no lejana confirmación. Estoy confundida respecto a estos días...</t>
  </si>
  <si>
    <t>5efdb2e5-LATAM-LP</t>
  </si>
  <si>
    <t>¡Gracias por tu mensaje! De acuerdo a lo coordinado, se han cancelado tus vacaciones del 8 al 15-abr y se han considerado tus nuevas vacaciones a partir del 30-abr. Esperamos que la respuesta te haya sido de gran ayuda.</t>
  </si>
  <si>
    <t>05/11/2025 08:11</t>
  </si>
  <si>
    <t>Mi fotocheck ya esta por vencer el 25 de noviembre. Como haría para actualizarlo. Gracias.</t>
  </si>
  <si>
    <t>Buenas tardes. Quisiera saber el estado de dos cambios de vacaciones. Gracias</t>
  </si>
  <si>
    <t>"¡Gracias por la información! Te comentamos que tus dos últimas solicitudes de cesión de vacaciones de enero no proceden debido a que se ingresó fuera del plazo establecido. ¡Agradecemos mucho tu colaboración y comprensión!"</t>
  </si>
  <si>
    <t>¡Gracias por la información! Te compartimos el siguiente link para que puedas gestionar la renovación de tu fotocheck. https://www.appsheet.com/start/fc09f2b3-fd11-46ae-882b-d8ce2cb7a8d1?platform=desktop#appName=SolicitudDeCredencialesPE-501453028&amp;vss=H4sIAAAAAAAAA6WPsU7EMBBE_2Vrp4BzSOIWUZwQNCAaTLHYa8m6nH2yN8Ap8r9jwyFogXJm9Z5mV3jx9HrHaHagHtfvdE1HULBquD8eSIPScBkDpzhrEBpucX8qE1kKxuNMWUOB8iS-HEwZ1Pp7hfr_CgG-ZvbOU2q-RlfPia3nRrbiBwdFwH5hfJ7pY3zjfN6GK-v5JtqaOS0kgBOGjIZ9DFtbHf3mbJIobTc64zrZj7Ib--m8GwYah42UduovoJRqd9EsmexDfe6PT7U5bwcM9nOQwzlTeQfP0flgwwEAAA==&amp;view=Credenciales ¡Agradecemos mucho tu colaboración y comprensión!</t>
  </si>
  <si>
    <t>Buenos días, tenía vacaciones en diciembre y las postergue para el próximo año por solicitud de soporte SAP, quería saber para que fechas las están contemplando.</t>
  </si>
  <si>
    <t>27619f13-LATAM-LP</t>
  </si>
  <si>
    <t>¡Gracias por la información! Te comentamos que el bloque asignado se te estaría asignando del 8 al 15-mar justo antes de tu fecha de vencimiento. ¡Agradecemos mucho tu colaboración y comprensión!</t>
  </si>
  <si>
    <t>05/11/2025 10:41</t>
  </si>
  <si>
    <t>Buenos dias, mi licencia chilena se encuentra vencida por favor su apoyo para la renovación, estuve fuera de vuelo en octubre por temas de apto médico, ahora recién me pusieron rol activo en noviembre y el dia de mañana tengo T1 por favor si me pudieran ayudar con la gestión , muchas Gracias</t>
  </si>
  <si>
    <t>Tengo vacaciones pre publicadas del 8 al 15 de agosto por vencimiento, mi consulta es si me pueden adelantar las vacaciones para la última semana de julio, lo cual ya no saldría de vacaciones en agosto sino en julio.</t>
  </si>
  <si>
    <t>"Hola Carla, Esperamos que te encuentres muy bien. Muchas gracias por comunicarte con nosotros y por hacernos llegar tu consulta para verificar tu estado en el sistema. En relación con tu bloque de vacaciones, te informamos que no es posible adelantarlo. El procedimiento establecido requería realizar un intercambio de días con un compañero y registrar la solicitud a más tardar el 31 de mayo, el cual ya estamos fuera de plazo. Saludos cordiales,"</t>
  </si>
  <si>
    <t>91bf754d-LATAM-LP</t>
  </si>
  <si>
    <t>Buen día, quisiera saber si puedo tomar mis vacaciones después de mi licencia de maternidad.</t>
  </si>
  <si>
    <t>05/11/2025 15:05</t>
  </si>
  <si>
    <t>""Hola Alisson, Esperamos que te encuentres muy bien. Muchas gracias por comunicarte con nosotros y por hacernos llegar tu consulta para verificar tu estado en el sistema. Antes que finalice tu licencia de maternidad, se te programará tu línea de retorno, en el cual estarán tus vacaciones acumuladas, días de lactancia y actividades de capacitación con el objetivo de mantener tu habilitación vigente. Saludos cordiales,"""</t>
  </si>
  <si>
    <t>Estimados : Quisiera por favor saber mis fechas de vencimiento, mi vuelo de re entrenamiento fue el 27/10, tenía programado vuelo de chequeo de re calificación pero lo perdí por no tener en el sistema actualizado mi pasaporte a tiempo para el vuelo. Quisiera saber si me pueden proporcionar mis fechas de vencimiento.</t>
  </si>
  <si>
    <t>ER02</t>
  </si>
  <si>
    <t>Reporte de pérdida o retiro del vuelo asignado</t>
  </si>
  <si>
    <t>Tengo vacaciones al final de mi lactancia y no deseo tenerlas en esa fecha es posible cambiarlas ?</t>
  </si>
  <si>
    <t>Hola, Génesis: Esperamos que te encuentres muy bien. Muchas gracias por comunicarte con nosotros y por hacernos llegar tu consulta. Respecto a tu solicitud para modificar las vacaciones programadas al término de tu periodo de lactancia, lamentamos informarte que en esta oportunidad no es posible proceder con el cambio. Esto se debe a que la planificación de tus días de capacitación para el retorno a la linea ya han sido programados, y tu bloque de vacaciones se encuentra fijado de manera posterior a dichas actividades para asegurar la continuidad de tu proceso de retorno a la línea. Agradecemo</t>
  </si>
  <si>
    <t>1bd5bc3b-LATAM-LP</t>
  </si>
  <si>
    <t>Me encuentro en mi periodo de post natal y quisiera juntar mis vacaciones con mi licencia de maternidad.</t>
  </si>
  <si>
    <t>Hola, Alejandra: Esperamos que hayas tenido un excelente día. Muchas gracias por comunicarte con nosotros. Comprendemos tu solicitud para empalmar tus vacaciones con tu licencia de maternidad actual. Al respecto, te informamos que se procederá a solicitar al área de Vacaciones la gestión de tu pedido, con el fin de que puedas gozar de tus días de descanso inmediatamente después de finalizar tu periodo de natalidad. Esperamos que esta información te brinde tranquilidad durante esta etapa. Saludos</t>
  </si>
  <si>
    <t>05/11/2025 21:09</t>
  </si>
  <si>
    <t>Buenas noches: Les escribo para.saludarlos y agraderles por enviarme mi Licencia Chilena renovada hace unos dias. Por favor quiero hacerles una consulta acerca de la.FECHA DE OTORGAMIENTO figura 24 de Enero del 2023, igual a mi anterior licencia chilena, debe mantenerse esa fecha? O deberia figurar una Nueva FECHA DE OTORGAMIENTO O EMISION del mes de OCTUBRE 2025, que seria la.fecha en que tramitaron la.Renovacion de mi Licencia Chilena. Esa ea mi duda por favor. ... .Lo demas.datos de mi Licencia Chilena estam correctos, la fecha de vencimiento es correcta porque coincide con mi Apto Medico. que esta correctamente actualizado. Les envio foto de mi licencia chilena con un circulo que encierra la. Fecha de otorgamiento que.esa es mi duda. Muchas gracias por.su atencion. Espero pronto noticias suyas. Saludos. GINA</t>
  </si>
  <si>
    <t>Vacaciones 2026, no tengo confirmacion de vacaciones</t>
  </si>
  <si>
    <t>""Hola Clara, Esperamos que te encuentres muy bien. Muchas gracias por comunicarte con nosotros y por hacernos llegar tu consulta para verificar tu estado en el sistema. Dado que durante la pre publicación de vacaciones 2026-02 te encontrabas embarazada, no se te pudo pre publicar vacaciones. En caso que desees salir de vacaciones en los meses restantes del 2026, el flujo correcto es ingresarlo mediante el formulario de vacaciones que se encuentra en el site LP dentro de la categoría pedidos adicionales para evaluar tu solicitud. Saludos cordiales,"""</t>
  </si>
  <si>
    <t>"¡Gracias por la información! Te comentamos que consideres solo la fecha de vencimiento de tu licencia chilena (30/09/2028). ¡Agradecemos mucho tu colaboración y comprensión!"</t>
  </si>
  <si>
    <t>Mis vacaciones del 8 al 15 aún no me las confirman, quería saber si proceden o qué pasó?</t>
  </si>
  <si>
    <t>"¡Gracias por la información! Te comentamos que la confirmación del bloque pendiente de tus vacaciones serán notificadas con 22 días de anticipación tal como se indica en el correo de la pre publicación. ¡Agradecemos mucho tu colaboración y comprensión!"</t>
  </si>
  <si>
    <t>96b924c0-LATAM-LP</t>
  </si>
  <si>
    <t>05/11/2025 23:37</t>
  </si>
  <si>
    <t>Cambio de direccion</t>
  </si>
  <si>
    <t>Aún no recibo la confirmación de mi pre publicación por vencimiento del 08 al 15 de marzo.</t>
  </si>
  <si>
    <t>OS04</t>
  </si>
  <si>
    <t>"¡Gracias por la información! Si tus vacaciones fueron prepublicadas, sí las gozarás con total normalidad. Ten en cuenta que la confirmación oficial de cada bloque de vacaciones se envía con 22 días de anticipación a la fecha de inicio por bloque. Por ello, si aún no has recibido la confirmación del bloque pendiente, es completamente normal y no afecta tus bloques programados."</t>
  </si>
  <si>
    <t>Consulta general sobre cursos o exámenes de la Reva sin detalle</t>
  </si>
  <si>
    <t>¡Gracias por la información! Te recordamos que las consultas sobre actualización de datos debe ser gestionado a través del siguiente link: https://forms.gle/jRYDnAQzBjb5ama57 ¡Agradecemos mucho tu colaboración y comprensión!</t>
  </si>
  <si>
    <t>No recibí el correo de pre publicación de vacaciones 2006- 1</t>
  </si>
  <si>
    <t>"¡Gracias por la información! Te comentamos a que debido que ingresaste dentro del formulario para la pre publicación del 2026-1 que no desea gozar de vacaciones para este primer semestre, no se le ha pre publicado días de vacaciones, por ello no ha recibido el correo de la pre publicación. ¡Agradecemos mucho tu colaboración y comprensión!"</t>
  </si>
  <si>
    <t>857444a8-LATAM-LP</t>
  </si>
  <si>
    <t>06/11/2025 08:03</t>
  </si>
  <si>
    <t>Buenos dias, en el examen de emergencias generales, en la pregunta 6 me salió un mensaje de error donde tuve que dar aceptar, y salio puntaje 60 por lo que tuve que dar sustituto. Lo cual me perjudica ya que me baja la puntuación de la reva. Por lo que solicito su apoyo para que tomen en cuenta la puntuación del susti por problemas técnicos. Adjunto las fotos</t>
  </si>
  <si>
    <t>No me llego confirmacion de vacaciones pre publicadas 2006_2</t>
  </si>
  <si>
    <t>Hola, Carla: Esperamos que te encuentres muy bien. Muchas gracias por comunicarte con nosotros y por hacernos llegar tu consulta para verificar tu estado en el sistema. Respecto a tu requerimiento sobre la prepublicación de vacaciones para el segundo semestre, te informamos que al momento de realizar el corte para la programación de este periodo, figurabas registrada en el sistema bajo la condición de embarazada (LP). Por este motivo, el sistema no generó una asignación automática ni el envío del correo informativo. Dado que lamentablemente se ha interrumpido tu embarazo, el flujo correcto par</t>
  </si>
  <si>
    <t>Consulta sobre recuperación por evaluación insatisfactoria</t>
  </si>
  <si>
    <t>"¡Gracias por tu mensaje!. Te comentamos que en el sistema se visualiza que se realizó solo una prueba (no figura haber realizado sustitutorio). Asimismo, te recordamos que las consultas sobre errores de plataforma, notas o problemas con la interfaz deben ser gestionadas a través del canal de Soporte de Academia LATAM. Además, durante las evaluaciones es importante seguir los lineamientos indicados para evitar posibles errores. Puedes acceder al formulario mediante el siguiente link: https://sites.google.com/latam.com/sscap-ssc/soporte-academia-corporativa ¡Agradecemos mucho tu colaboración y comprensión! "</t>
  </si>
  <si>
    <t>No me llego el correo de vacaciones pre publicadas para el semestre II</t>
  </si>
  <si>
    <t>c1316d95-LATAM-LP</t>
  </si>
  <si>
    <t xml:space="preserve">Hola, Elizabeth: Esperamos que te encuentres muy bien. Muchas gracias por comunicarte con nosotros y por hacernos llegar tu consulta para verificar tu estado en el sistema. Respecto a tu requerimiento sobre la notificación de vacaciones prepublicadas para el segundo semestre, te informamos que hemos procedido a revisar tus registros detalladamente. Al respecto, te comentamos que el pasado 16 de abril se te envió una comunicación indicando que actualmente no cuentas con bolsa de vacaciones disponible para este periodo. Quedamos a tu disposición en caso de que tengas alguna duda adicional sobre </t>
  </si>
  <si>
    <t>06/11/2025 12:51</t>
  </si>
  <si>
    <t>Estimados buen día, el 30 de diciembre se cumplen 90 días de no haber volado 767, les pido por favor su apoyo programándome en Diciembre un vuelo en Boeing para no perder la habilitación, muchas gracias</t>
  </si>
  <si>
    <t>Me enviaron un correo para seleccionar vacaciones pero yo me encuentro de licencia por maternidad ,aún así debo escoger los dias o ustedes Me lo asignarán</t>
  </si>
  <si>
    <t>Estimada Sandra Te comentamos que las vacaciones las programaremos nosotros en tu linea de retorno pero si quisieras salir de vacaciones en el 2do semestre puedes ingresar tu solicitud en el formulario y lo indiques en el apartado de comentarios Esperamos haberte ayudado!</t>
  </si>
  <si>
    <t>"¡Gracias por la información! Te comentamos que la programación de tu experiencia reciente para la flota B767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</si>
  <si>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5ce485cd-LATAM-LP</t>
  </si>
  <si>
    <t>Buenos días escribe Maria Gracia Pazos Tc con Bp4613853, me gustaría solicitar porfavor me puedan reenviar la prepublicación de mis días de vacaciones. Muchas gracias.</t>
  </si>
  <si>
    <t>06/11/2025 11:34</t>
  </si>
  <si>
    <t>""Hola María, Esperamos que te encuentres muy bien. Muchas gracias por comunicarte con nosotros y por hacernos llegar tu consulta para verificar tu estado en el sistema. El día de hoy, te hemos reenviado tu pre publicación de vacaciones 2026-02. Saludos cordiales,"""</t>
  </si>
  <si>
    <t>Buenos días, pido su apoyo ya que por tema de demora en la entrega de mi pasaporte por renovación de visa perdí la experiencia reciente, por favor les pido programarme en el mes de diciembre si fuera posible mi reentrenamiento, ya que este es mi cuarto mes sin volar B767. Muchas gracias</t>
  </si>
  <si>
    <t>Buenos dias, es posible que puedan reenviarme el correo de la pre publicación de vacaciones de este periodo? Ya que no se para cuando me seran otorgadas ,muchas gracias.</t>
  </si>
  <si>
    <t>¡Gracias por la información! Te informamos que no fue posible programar tus vacaciones del periodo 2026-01, debido a que te encontrabas bajo un descanso médico prolongado durante el proceso de pre-publicación. No obstante, si deseas disfrutar de vacaciones en este primer semestre, te invitamos a registrar una solicitud adicional para los meses de mayo o junio através el formulario de vacaciones SAB, con previa evaluación respectiva. Esperamos que la respuesta te haya sido de gran ayuda.</t>
  </si>
  <si>
    <t>"¡Gracias por la información! Te comentamos que dado que te encontrabas con rol especial, no se te pudo asignar vuelo reciente en B767. Por ello, se te estará asignando tu reentrenamiento en base a la holgura operativa. ¡Agradecemos mucho tu colaboración y comprensión!"</t>
  </si>
  <si>
    <t>Consulta sobre fechas de vencimiento de cursos o actividades regulatorias</t>
  </si>
  <si>
    <t>e32aac9e-LATAM-LP</t>
  </si>
  <si>
    <t>06/11/2025 15:00</t>
  </si>
  <si>
    <t>Buenas tardes , entiendo que tengo todo el mes de Junio vacaciones verdad ? Y si hago algún cambio sólo puedo hacerlo hasta mañana 03 de diciembre verdad ?</t>
  </si>
  <si>
    <t>¡Gracias por tu mensaje! Te comentamos que tus vacaciones pre publicadas estan comprendidas durante todo el mes de junio. Para realizar el intercambio de vacaciones con otro compañero, el plazo de ingreso de solicitud es hasta el último día de dos mes antes (el plazo para la solicitud es hasta el 31/12/2025). ¡Agradecemos mucho tu colaboración y comprensión!</t>
  </si>
  <si>
    <t>Estimados buenas tardes, el día 15 de Noviembre se vence mi experiencia reciente en 767. He estado sin pasaporte pero a partir de ayer ya cuento con el. Queria su ayuda en colocarme un vuelo en 76 para no perder mi experiencia reciente. Agradeceria su ayuda.</t>
  </si>
  <si>
    <t>Consulta por impacto de visa crew o pasaporte en la programación</t>
  </si>
  <si>
    <t>Buen dia, actualmente estoy fuera del rol operativo. Me encuentro laborando en el area administrativa, apoyo al OTP SAB en el HCC. Estando en el area administrativa, cual es el minimo de dias que se puede pedir para usar dias de vacaciones?</t>
  </si>
  <si>
    <t>"¡Gracias por la información! Te comentamos que contamos con un SLA de un plazo de 4 días para formulario de actualización de datos. Comentarte igual que se ha solicitado al equipo de roles para asignarte un vuelo de la flota B767 antes de tu vencimiento. ¡Agradecemos mucho tu colaboración y comprensión!"</t>
  </si>
  <si>
    <t>""Hola Tenor, Esperamos que te encuentres muy bien. Muchas gracias por comunicarte con nosotros y por hacernos llegar tu consulta para verificar tu estado en el sistema. El periodo mínimo para solicitar vacaciones es de 7 días y debe registrarse a través del formulario de vacaciones SAB. Si estás fuera de vuelo y deseas salir en julio o agosto, envía tu solicitud con las fechas correspondientes a través del formulario de consultas SAB para evaluar tu caso. Saludos cordiales,"""</t>
  </si>
  <si>
    <t>c9c1ec57-LATAM-LP</t>
  </si>
  <si>
    <t>Es posible que la pre publicación de vacaciones del 8 al 15 de julio se cambie por vacaciones del 1 al 7 de octubre que es mi cumpleaños y así poder salir 2 semanas juntas (pre public 23/9 al 30/9) en vez de salir 5 semanas ahora del 8/6 al 15/7?</t>
  </si>
  <si>
    <t>06/11/2025 16:20</t>
  </si>
  <si>
    <t>"Hola, Vanessa, Esperamos que te encuentres muy bien. Muchas gracias por comunicarte con nosotros y por hacernos llegar tu consulta para verificar tu estado en el sistema. Con relación a tu solicitud de modificación de vacaciones, no es factible modificar tus vacaciones pre publicadas de julio, ya que el bloque de vacaciones pre publicadas por vencimiento de julio deben gozarse antes del 01-ago (F. Aniversario). Saludos cordiales,"</t>
  </si>
  <si>
    <t>Buenas tardes, esperanso que todos se encuentren bien, les escribo por que me gustaria tener informacion sobre mi apto medico fisico ¿Si ya se encuentra listo para recoger? Asi mismo todo el mes de Noviembre estoy con OPC en el rol ya que mw faltaria mi vuelo de reentrenamiento. Estoy atenta a cualquier comunicacion.</t>
  </si>
  <si>
    <t>Consulta sobre requisitos previos o cruces con otras actividades</t>
  </si>
  <si>
    <t>Reembolso por reprogramación de vacaciones</t>
  </si>
  <si>
    <t>"¡Gracias por la información! Te comentamos que tu pago por reprogramación será bonificado para tu boleta de marzo. Esperamos que la respuesta te haya sido de gran ayuda.</t>
  </si>
  <si>
    <t>"¡Gracias por la información! Te comentamos que tenemos mapeado tu renovación de apto médico y te estaremos notificando su recojo la próxima semana mediante correo. Asimismo, te estaremos notificando tus capacitaciones pendientes. ¡Agradecemos mucho tu colaboración y comprensión!"</t>
  </si>
  <si>
    <t>b640e2eb-LATAM-LP</t>
  </si>
  <si>
    <t>06/11/2025 16:46</t>
  </si>
  <si>
    <t>Buenos días, mi consulta es debido a que yo soy movimiento interno tenía vacaciones confirmadas por Servicio al pasajero del 1 al 8 de noviembre, las cuales no tomé porque me encontraba en el curso inicial de capacitación para Tripulante de cabina. Al ver mi boleta de noviembre visualizo que me han pagado dichos días de vacaciones y me han descontado los días en el portal Latam. Visualicé que me realizaron el pago por 22 días trabajados y la diferencia de 8 días de vacaciones cuando yo trabajé los 30 días correspondientes. Deseo saber cómo procede el proceso si yo estuve trabajando dichos días</t>
  </si>
  <si>
    <t>"¡Gracias por la información! Te recomendamos ingresar tu consulta con RH connect para regularizar tu pago de vacaciones. ¡Agradecemos mucho tu colaboración y comprensión!"</t>
  </si>
  <si>
    <t>En mayo recibí un correo donde por vencimiento debía salir de vacaciones del 16 al 30 de noviembre, me encuentro con descanso médico desde agosto hasta la fecha, el alta medica me la dan el día 10/11 según mi médico. Quiesiera saber si se mantienen mis vacaciones en esas fechas o se postergan.</t>
  </si>
  <si>
    <t>VA11</t>
  </si>
  <si>
    <t>Buenas tardes, deseaba consultar sobre el pago de bono por vacaciones tocadas, regresaba de Miami el día 22 de diciembre pero debido a una demora llegue en mi día libre, por lo que mi secuencia de 4x1 se convirtió en 5x2, tocando dos días de mis días de vacaciones que originalmente eran del 24 al 31 de diciembre del 2025, cambiando del 26 de diciembre al 03 de enero de 2026. Tenia entendido que el pago de dicho bono se vería reflejado en mi boleta de pago del mes de enero, pero eso no ocurrió. Por lo que deseaba consultar si debo realizar algún trámite al respecto el cual mucho agradeceré pudi</t>
  </si>
  <si>
    <t>"¡Gracias por la información! Te comentamos que no se te ha asigando vacaciones debido a que te encontrabas con descanso médico. ¡Agradecemos mucho tu colaboración y comprensión!"</t>
  </si>
  <si>
    <t>"¡Gracias por la información! Te pedimos canalizar la información en RH connect. Esperamos que la respuesta te haya sido de gran ayuda."</t>
  </si>
  <si>
    <t>4da1fb8d-LATAM-LP</t>
  </si>
  <si>
    <t>06/11/2025 16:49</t>
  </si>
  <si>
    <t>Buenas noches, acabo de recibir la pre publicación de mis vacaciones y veo que me han asignado 2 semanas, cuando claramente especifiqué que solo quería una. Les pido por favor puedan corregirlo ya que deseo usar esa semana de vacaciones en el segundo semestre.</t>
  </si>
  <si>
    <t>Cual es el procedimiento a seguir para volver a la línea después de un descanso medico prolongado debido a una fractura?</t>
  </si>
  <si>
    <t>"¡Gracias por tu mensaje! Te comentamos que tienes asignación de vacaciones del 01/05/2026 al 07/05/2026 (prioridad 1) y 16/05/2026 al 23/05/2026 (prioridad 3) que se encuentran incluidas en el periodo del 2026-1. Te informamos que la asignación de vacaciones se realizó en base a cupos disponibles y ranking escalafón. En caso solo desees gozar 1 semana de vacaciones, te recomendamos realizar una cesión de vacaciones a otro compañero (el pedido lo debes ingresar hasta antes del 31/03/2026), en el cual debes acceder través del formulario: Pedido, Cesión e Intercambio de Vacaciones SAB LP 2026-01</t>
  </si>
  <si>
    <t>DM02</t>
  </si>
  <si>
    <t>Consulta sobre procedimiento de retorno a línea o alta médica</t>
  </si>
  <si>
    <t>Consulta sobre la codificación del rol durante el DM</t>
  </si>
  <si>
    <t>""¡Gracias por la información! Te pedimos por favor canalizar esta información con tu CPL. ¡Agradecemos mucho tu colaboración y comprensión!"</t>
  </si>
  <si>
    <t>98ef0aa4-LATAM-LP</t>
  </si>
  <si>
    <t>06/11/2025 19:54</t>
  </si>
  <si>
    <t>Tengo un beneficiario que me sale bloqueado coml puedo hacer para solucionarlo</t>
  </si>
  <si>
    <t>Estimados, debido a un accidente en la movilidad tuve más de 02 meses de Descanso médico por lo que me encuentro próxima a vencerme en la flota B767 el día 23 de este mes. Al ya tener nuevamente mi apto médico y estar con reservas por el resto del mes les pido se me pueda priorizar una activación en dicha flota para evitar el vencimiento. Espero de todo corazón me puedan ayudar, agradezco de antemano su comprensión!</t>
  </si>
  <si>
    <t>"¡Gracias por la información! Te pedimos por favor canalizar esta información con tu CPL."</t>
  </si>
  <si>
    <t>"¡Gracias por la información! Te informamos que estamos coordinando la asignación de tu experiencia reciente en B767, lo cual te estaremos notificando por correo el día de mañana. ¡Agradecemos mucho tu colaboración y comprensión!"</t>
  </si>
  <si>
    <t>Buen dia por favor me pueden indicar a donde puedo encontrar el formulario para solicitar jumpseat? estaba en el site Peru pero ya no aparece. Gracias por la respuesta.</t>
  </si>
  <si>
    <t>"Hola, Monica: Esperamos que te encuentres muy bien. Muchas gracias por comunicarte con nosotros y por hacernos llegar tu consulta para verificar tu estado en el sistema. Te compartimos el formulario solicitado: https://docs.google.com/forms/d/e/1FAIpQLScd4sXiToolP8m3OW6yQ20eRh1VyxO1YdXTmtDzhklo8tOfIA/viewform Saludos cordiales,"</t>
  </si>
  <si>
    <t>6661d822-LATAM-LP</t>
  </si>
  <si>
    <t>06/11/2025 23:47</t>
  </si>
  <si>
    <t>Buenas noches, quisiera saber cuando llevaria el curso al 50%, si terminé mi periodo de lactancia y vacaciones el 05 de noviembre, quedo atenta.</t>
  </si>
  <si>
    <t>RC01</t>
  </si>
  <si>
    <t>Hola buenas tardes ,el dia 28 me enviaron las pre publicadas( 1-15 Enero) y el dia 30 de Nov me confirmaron solo una, me podrian indicar si aun esta pendiente la confirmacion de la segunda.</t>
  </si>
  <si>
    <t>Consulta o seguimiento de la programación del curso al 50%</t>
  </si>
  <si>
    <t>"¡Gracias por la información! Te comentamos que tienes vacaciones pre publicadas del 01/01/2026 al 15/01/2026. Asimismo, te recordamos que la confirmación de tus vacaciones del 2do bloque se estará realizando con 22 días de anticipación tal como se menciona en el correo de la pre publicación de vacaciones. ¡Agradecemos mucho tu colaboración y comprensión!"</t>
  </si>
  <si>
    <t>Reclamo por cruce con vacaciones u otras actividades</t>
  </si>
  <si>
    <t>"¡Gracias por la información! Te comentamos que se te va a programar durante el mes de noviembre y te estaremos enviando la programación durante el transcurso de esta semana. ¡Agradecemos mucho tu colaboración y comprensión!"</t>
  </si>
  <si>
    <t>Me pusieron solo una semana es el segundo semestre y me gustaría tener 2 porfavor para poder viajar por el cumpleaños de mi madre, adicionalmente cambie mi semana de julio con una compañera por la última semana de septiembre</t>
  </si>
  <si>
    <t>7f853012-LATAM-LP</t>
  </si>
  <si>
    <t>"Hola, Salvatore: Esperamos que te encuentres muy bien. Muchas gracias por comunicarte con nosotros y por hacernos llegar tu consulta para poder revisar tu caso. Al respecto, el pasado 26 de mayo se te remitió una comunicación aclaratoria a tu bandeja de entrada. Te solicitamos cordialmente revisar dicho mensaje, el cual lleva por título: ""Fe de Erratas: Salvatore, te enviamos la pre publicación de tus vacaciones SAB LP 2026-02 (JUL-DIC)"", donde podrás constatar el detalle correcto y el estado de tus periodos asignados para este semestre. Quedamos a tu disposición en caso de que presentes al</t>
  </si>
  <si>
    <t>07/11/2025 09:47</t>
  </si>
  <si>
    <t>Buenas tardes, Deseo cambiar una de las fechas de pedido de Pre publicacion de vacaciones 2026 I semestre.Las de mayo, pedi del 1 al 7 de mayo por tener el bautizo de mi sobrina pero nos cambiaron la fecha para el 9 de mayo por lo que solicito me cambien las vacaciones del 7 al 14 de mayo. Espero su ayuda y comprension.udi</t>
  </si>
  <si>
    <t>VA03</t>
  </si>
  <si>
    <t>Muchas gracias por su ayuda ..recien leí bien y pude comprender lo que me indicaban.muchas gracias</t>
  </si>
  <si>
    <t>¡Gracias por la información! Te comentamos que el formulario de solicitudes de vacaciones para el periodo 2026-1 se finalizó el día 31/10/25, por lo que te recomendamos ingresar tu solicitud de intercambio de vaciones con otro compañero una vez se habilite el link de intercambio de vacaciones para dicho periodo. ¡Agradecemos mucho tu colaboración y comprensión!</t>
  </si>
  <si>
    <t>9b878d0e-LATAM-LP</t>
  </si>
  <si>
    <t>ERROR plataforma Examen Emergencias generales reva 2026</t>
  </si>
  <si>
    <t>07/11/2025 23:44</t>
  </si>
  <si>
    <t>Buenas noches estimados. Según correo recibido el día de hoy . Me parece que hay una confusión, yo he culminado satisfactoriamente mi evaluación inicial al 50% el día 05 de noviembre en el CAE con la instructora Gabriela Ungaro. Espero su confirmación.</t>
  </si>
  <si>
    <t>Mis cursos en elearning sale como vencido, no puedo realizarlos.</t>
  </si>
  <si>
    <t>Buen dia no tengo cargado el curso de mwrcancias peligrosas en academia latam</t>
  </si>
  <si>
    <t>Consulta de EMO y apto de los que no tengo la programacion. E indicar que mi apto vence en el 2028</t>
  </si>
  <si>
    <t>Estimada, espero que te encuentres bien. Dado que cuentas con tu EMO vigente ya no se requiere reprogramar. Muchas gracias</t>
  </si>
  <si>
    <t>Quisiera saber si los 3 dias que tengo en mi rol es por mi reva. Y si es asi me faltaria un dia. l</t>
  </si>
  <si>
    <t>"¡Gracias por la información! Te informamos que, se verifica que el día 06 de Julio mantuviste la programación RTI, es por ello que se agendan los 3 días pendiente en agosto. Esperamos que la respuesta te haya sido de gran ayuda."</t>
  </si>
  <si>
    <t>Reporte de falta de información o documentación</t>
  </si>
  <si>
    <t>Buenos dias, este es mi ultimo mes de vencimiento para el ditching. Quisiera saber que dia me lo asignarian.</t>
  </si>
  <si>
    <t>"¡Gracias por la información! Te comentamos que la promación de tu ditching será en el mes de abril. Esperamos que la respuesta te haya sido de gran ayuda."</t>
  </si>
  <si>
    <t>1b8c360f-LATAM-LP</t>
  </si>
  <si>
    <t>09/11/2025 04:55</t>
  </si>
  <si>
    <t>Hola porfa! En diciembre se me vence mi experiencia reciente en la flota Boeing, este 14 de noviembre tengo reserva si me podrían ayudar activandome algún vuelo en dicha flota. Muchas gracias!</t>
  </si>
  <si>
    <t>ER05</t>
  </si>
  <si>
    <t>No tengo programado examen medico en mi reva</t>
  </si>
  <si>
    <t>Consulta general sobre experiencia reciente sin detalle especificado</t>
  </si>
  <si>
    <t>"¡Gracias por la información! Te informamos que, dado que tu revalidación se encuentra agendada para este mes y a fin de homologar las fechas, se ha visto necesario agendar tu exámen médico ocupacional para el 18 de agosto. Esperamos que la respuesta te haya sido de gran ayuda."</t>
  </si>
  <si>
    <t>"""¡Gracias por la información! Te comentamos que la asignación de tu último vuelo para la flota B767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</si>
  <si>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Me salen 3 cursos de revalidacion de licencia cuando si los aprobé con 100%</t>
  </si>
  <si>
    <t>"¡Gracias por tu mensaje!. Según la imagen adjunta, te comentamos que se solicitará a la academia para cargar nuevamente los 3 cursos mencionados, el cual se habilitará solo por 24 horas para completar el intento. ¡Agradecemos mucho tu colaboración y comprensión!</t>
  </si>
  <si>
    <t>fe814c54-LATAM-LP</t>
  </si>
  <si>
    <t>09/11/2025 16:09</t>
  </si>
  <si>
    <t>Estimados: Mi Lic. chilena vence 30.11.25. Por favor si puedieran mandarme la vigente para portarla y actualizarla. gracias.</t>
  </si>
  <si>
    <t>DESEO SABER PARA CUANDO ESTA PROGRAMADA MI REVA EN ESTE AÑO. MUCHAS GRACIAS</t>
  </si>
  <si>
    <t>Hola, Karin: Esperamos que tengas un excelente día. Muchas gracias por comunicarte con nosotros. Respecto a tu consulta sobre tu REVA (Recurrencia de Entrenamiento de Vuelo Anual) para este año, te informamos lo siguiente: De acuerdo con la planificación preliminar, tu entrenamiento está proyectado para realizarse probablemente entre los meses de julio o agosto. Te sugerimos estar atenta a la publicación de tus próximos roles, donde se confirmará la fecha exacta y el lugar de la citación. Saludos,</t>
  </si>
  <si>
    <t>Consulta sobre estado o vigencia de la licencia</t>
  </si>
  <si>
    <t>"¡Gracias por la información! Te comentamos que el envío de tu licencia chilena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</si>
  <si>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Reprogramcion de mi REVA por descanso médico</t>
  </si>
  <si>
    <t>76f86b84-LATAM-LP</t>
  </si>
  <si>
    <t>09/11/2025 14:46</t>
  </si>
  <si>
    <t>Muy buenas tardes tengo planificado mi apto medico para el día 13 de noviembre pero acabo de ver las indicaciones y yo estoy con mi periodo menstrual según las indicaciones indica que no puedo pasar el apto medico .porfavor como puedo hacer en ese caso .El día de hoy esta terminando mi menstruación pero también en las indicaciones dice que no puedo asistir si son menos de 5 dias de haber terminado el periodo,estaré atenta a sus indicaciones .</t>
  </si>
  <si>
    <t>Reprogramacion de reva para el mes de agosto por vencimiento</t>
  </si>
  <si>
    <t>AM01</t>
  </si>
  <si>
    <t>"¡Gracias por la información! Te informamos que, dado que tu mes base es julio y según lo establecido en la RAP 63, esta actividad puede ser programada dentro de un período de elegibilidad que comprende 30 días antes, durante y después de tu mes base. Por lo tanto, tu curso de revalidación de seguridad podrá ser agendada en el mes de agosto, junto con la prórroga correspondiente. Si tu actividad no fue agendada durante el mes base, aún puedes ser programado durante el mes de prórroga, sin que esto implique la pérdida de tu chequeo. Te recordamos que en Soporte SAB llevamos el control y seguimi</t>
  </si>
  <si>
    <t>"¡Gracias por la información! Te comentamos que estaremos enviando por correo la programación de tu nueva fecha de apto médico. ¡Agradecemos mucho tu colaboración y comprensión!"</t>
  </si>
  <si>
    <t>Reprogramación de Reva de seguridad, el último día en el Cae.</t>
  </si>
  <si>
    <t>"¡Gracias por la información! Te informamos que se realizará la programación pendiente para el mes de enero. ¡Agradecemos mucho tu colaboración y comprensión!"</t>
  </si>
  <si>
    <t>d2b89d76-LATAM-LP</t>
  </si>
  <si>
    <t>09/11/2025 20:54</t>
  </si>
  <si>
    <t>Fecha de confirmación de vacaciones</t>
  </si>
  <si>
    <t>no me gan cargado ingreso al curso y es hoy 8 y 30 am</t>
  </si>
  <si>
    <t>VA09</t>
  </si>
  <si>
    <t>"¡Gracias por la información! De acuerdo a lo verificado, se procedió con la activación de los elearning en la fecha programada. Esperamos que la respuesta te haya sido de gran ayuda."</t>
  </si>
  <si>
    <t>"¡Gracias por la información! Te comentamos que tienes vacaciones pre publicadas del 08/12/2025 al 15/12/2025 y del 16/12/2025 al 23/12/2025. Te recordamos que se estará confirmando con 22 días de anticipación. ¡Agradecemos mucho tu colaboración y comprensión!"</t>
  </si>
  <si>
    <t>No me han cargado los cursos para la reva q inicio el lunes 24 de agosto</t>
  </si>
  <si>
    <t>80b34c5d-LATAM-LP</t>
  </si>
  <si>
    <t>10/11/2025 07:06</t>
  </si>
  <si>
    <t>Buenas ni me cargaron el curso en linea de mercancias peligrosas para tripulación</t>
  </si>
  <si>
    <t>Hola, Rocío: Esperamos que tengas un excelente día. Muchas gracias por comunicarte con nosotros para reportar este inconveniente con la carga de tu curso de Mercancías Peligrosas. Respecto a tu consulta, te informamos que revisaremos tu perfil a detalle el día de hoy. En caso de confirmar que el curso no ha sido habilitado, realizaremos la solicitud técnica para que se encuentre disponible en tu plataforma a más tardar el día de mañana. Por otro lado, si validamos que el curso ya se encuentra activo, te enviaremos las indicaciones precisas sobre dónde localizarlo dentro de la plataforma de apr</t>
  </si>
  <si>
    <t>Recojo Documentación - Apto Medico (Estimados, Esperando se encuentren bien, queria saber si habia la posibilidad de recoger Mi Apto Medico a inicios de Diciembre, puesto que, estoy en vuelos que no me permiten acercarme a Plaza Olivar en los dias y horarios indicados. Despues de los vuelos, tengo libres junto con vacaciones y estaré de viaje. A espera de su pronta respuesta, Paulina Chang BP: 03875300)</t>
  </si>
  <si>
    <t>AM06</t>
  </si>
  <si>
    <t>Me apareció este mensaje en Iflight, yo si hice la reva y aprobé</t>
  </si>
  <si>
    <t>Te solicitamos por favor la confirmación de si llegaste a asistir al día de Prácticas.</t>
  </si>
  <si>
    <t>"¡Gracias por la información! Te comentamos que es recomensable que el recojo de tu apto médico debe ser realizado antes del plazo de 7 días hábiles una vez recepcionado el correo . Asimismo, debes tener en cuenta que debes contar con tu documentación vigente para operar vuelos en diciembre. ¡Agradecemos mucho tu colaboración y comprensión!"</t>
  </si>
  <si>
    <t>fe495a5a-LATAM-LP</t>
  </si>
  <si>
    <t>10/11/2025 12:44</t>
  </si>
  <si>
    <t>Queria consultar sobre mi examen ocupacional es el 14 de julio, me sale con codigo RTI</t>
  </si>
  <si>
    <t>"¡Gracias por la información! Te comentamos que la programación de tu apto médico y/o EMO se agendará dentro de tu revalidación de seguridad (RTI). Esperamos que la respuesta te haya sido de gran ayuda."</t>
  </si>
  <si>
    <t>Buen día, estoy próxima a cumplir los 90 días sin operar B767, por motivos de la renovación de mi visa crew, ahora ya cuento con mi pasaporte y visa crew correctamente actualizada desde el mes pasado. En este mes de NOV no tengo vuelos B767 por estar con el rol protegido por mis trámites de renovación visa crew, envio el presente formulario para que puedan tener en consideración mis reservas de este mes para vuelos B767 o que puedan programarme por rol vuelos en B767 antes del 15 de Diciembre y no perder mi habilitación por no tener experiencia reciente en ese avión (90días). Ya estoy totalmente lista y con mis documentos(pasaporte+visa) correctamente actualizados. Muchas gracias por la consideración y apoyo. Buen día, saludos,</t>
  </si>
  <si>
    <t>Buenas noches , quería pedir por favor puedan reporgramarme pronto mi practica de la reva. Por favor oído su ayuda.</t>
  </si>
  <si>
    <t>Hola, Diana: Esperamos que hayas tenido un excelente día. Muchas gracias por escribirnos. Respecto a tu consulta, te compartimos que las programaciones para la renovación del APTO se organizan siguiendo los plazos de seguridad de la compañía. Generalmente, estas se realizan un mes antes del vencimiento o, a más tardar, durante la primera quincena del mes en que vence el documento. Ten la seguridad de que te asignaremos el espacio más cercano posible siguiendo este cronograma para asegurar que tu documentación esté siempre al día. Esperamos haberte ayudado.</t>
  </si>
  <si>
    <t>¡Gracias por la información! Te comentamos que la asignación de tu último vuelo para la flota B767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</si>
  <si>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Desaprobé curso Boeing 767 por tema técnico, un mensaje salio de la nada y no me dejó opción más que cerrar la página</t>
  </si>
  <si>
    <t>Gracias por la información! Se validó que solo ingreso una respuesta a la primera pregunta y que luego realizo el Elearning completo por lo que se considerará la ultima nota registrada. Esperamos que la respuesta haya sido de gran ayuda!</t>
  </si>
  <si>
    <t>8db13ccb-LATAM-LP</t>
  </si>
  <si>
    <t>10/11/2025 15:35</t>
  </si>
  <si>
    <t>Como subir mi descanso medico</t>
  </si>
  <si>
    <t>DM01</t>
  </si>
  <si>
    <t>Curso insatisfactorio FA320. En las dos ocasiones me daba 9 preguntas no 10, podrían ayudarme por favor? En varias ocasiones tuve que volver a comenzar el modulo.</t>
  </si>
  <si>
    <t>¡Gracias por la información! Te recomendamos revisar el procedimiento de la RTA 12. ¡Agradecemos mucho tu colaboración y comprensión!</t>
  </si>
  <si>
    <t>Buenas tardes , al momento de realizar el examen de primeros auxilios cuando puse iniciar el examen automaticamente me figuro como examen reprobado y nisiquiera resolvi el examen , lo intente nuevamente y me salio lo mismo , espero me puedan ayudar gracias</t>
  </si>
  <si>
    <t>"¡Gracias por la información! Se verifica que la academia corporativa ha vuelto a cargar el elearning debido a los intentos fallidos. Esperamos que la respuesta te haya sido de gran ayuda.</t>
  </si>
  <si>
    <t>ae01551b-LATAM-LP</t>
  </si>
  <si>
    <t>10/11/2025 22:24</t>
  </si>
  <si>
    <t>emergencias, p.auxilios, avsec, mpeligrosas</t>
  </si>
  <si>
    <t>Estimados, mi ME está programado para el día 12 de noviembre, pero me encuentro no apta para volar por medicación por un cuadro respiratorio, según las indicaciones de la clínica estando con medicación y síntomas respiratorios no puedo realizar el examen. Espero sus comentarios</t>
  </si>
  <si>
    <t>Me encuentro con descanso medico y no.podre asistir</t>
  </si>
  <si>
    <t>¡Gracias por la información! Te pedimos que nos indiques hasta cuando es la fecha final de tu medicación. Te recordamos que el vencimiento de tu apto médico y licencia chilena es a fines de noviembre. ¡Agradecemos mucho tu colaboración y comprensión!</t>
  </si>
  <si>
    <t>7e291fcf-LATAM-LP</t>
  </si>
  <si>
    <t>Según correo de Vigencia Actividades Regulatorias 2026 indica Curso Tierra B787 vence 31/03/26 sin embargo se realizo el curso el 19/11/25 con los Instructores Erika Dávila y Sebastian Correa.</t>
  </si>
  <si>
    <t>10/11/2025 23:24</t>
  </si>
  <si>
    <t>error en examen segundo intento</t>
  </si>
  <si>
    <t>Buenas tardes. Soy Monica Montoya Santillan, BP 2969982. Perdí mi experiencia reciente en Boeing (b767) debido a problemas con mi visa. Mañana empiezo mi reva, mi consulta es acerca de las prácticas que involucran 767, como ejecución de operación normal en 767 y salto del tobogán del 767, las debo realizar?</t>
  </si>
  <si>
    <t>"¡Gracias por la información! Te comentamos que debes realizar todas las actividades de la programación enviada. Esperamos que la respuesta te haya sido de gran ayuda."</t>
  </si>
  <si>
    <t>27a1bad0-LATAM-LP</t>
  </si>
  <si>
    <t>10/11/2025 23:52</t>
  </si>
  <si>
    <t>Consulta sobre estado o vigencia de la habilitación</t>
  </si>
  <si>
    <t>Buenas noches hice el segundo intento en el examen de emergencias de Airbus y mis respuestas estaban totalmente correctas sin embargo el sistema me dio una nota de 70. Hay manera que se revisen mis respuestas porque las cotejé antes de enviar una por una . Agradecería me ayuden reabriendo la opción para rendirlo de nuevo o que se visualicen mis respuestas . Gracias</t>
  </si>
  <si>
    <t>wdqekproihjfdkmlñs´faoetgjr s,cñxzmlsdkfeiltrgncx</t>
  </si>
  <si>
    <t>RV07</t>
  </si>
  <si>
    <t>prueba</t>
  </si>
  <si>
    <t>En el mes de julio me venco en 767. Quisiera porfavor que me programen algún vuelo</t>
  </si>
  <si>
    <t>"¡Gracias por la información! Te comentamos que la asignación de tu último vuelo para la flota B767 se realizará antes de la fecha de vencimiento (14-julio-2026).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t>
  </si>
  <si>
    <t>40d3d6fa-LATAM-LP</t>
  </si>
  <si>
    <t>11/11/2025 00:31</t>
  </si>
  <si>
    <t>Solicito con urgencia vlo en 767 antes del 12 de Junio para no perder experiencia reciente.</t>
  </si>
  <si>
    <t>Tuve Reva de Seguridad del 21 al 24 de octubre de 2024. El 29 de noviembre de 2024 recibi correo con la convalidacion de licencia chilena con vencimiento 30 de noviembre de 2025 ( 3 habilitaciones A320, B767 y B787) Nuevamente tuve Reva de Seguridad del 20 al 24 de enero de 2025. No recibi ningun otro correo de convalidacion de licencia chilena. Al momento tengo la convalidacion mostrada en la foto adjunta (30nov2025). SOLICITO INFORMACIÓN si me llegara una nueva convalidacion tomando en cuenta la Reva de enero 2025, dado que la convalidacion actual esta próxima a vencer.</t>
  </si>
  <si>
    <t>Hola, Claudia: Esperamos que te encuentres muy bien. Muchas gracias por comunicarte con nosotros y por alertarnos sobre tu situación con la flota. Al revisar tus registros, te confirmamos que tenemos plenamente mapeado que el vencimiento de tu experiencia reciente en el B767 está proyectado para el 13 de junio. Debido a la proximidad de la fecha, te informamos que ya hemos enviado la solicitud correspondiente al equipo de Roles para que puedan asignarte un vuelo en este material antes de tu vencimiento. Te sugerimos mantenerte muy atenta a las actualizaciones de tus próximos roles. Saludos,</t>
  </si>
  <si>
    <t>"¡Gracias por la información! Te comentamos que la fecha de vencimiento de tu licencia chilena es el 30/11/25, por lo que estamos gestionandola para que la recibas antes de su vencimiento. Asimismo,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</si>
  <si>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En agosto se vence mi experiencia reciente en 767 por lo que solicito la programación de vuelo</t>
  </si>
  <si>
    <t>¡Gracias por la información! Te comentamos que tenemos mapeado en asignarte un vuelo en tu experiencia reciente. Te informamos que se va a gestionar tu caso con el equipo de roles para asignarte un vuelo en dicha flota antes de tu vencimiento (29-agosto-2026). Esperamos que la respuesta te haya sido de gran ayuda.</t>
  </si>
  <si>
    <t>0ca95b81-LATAM-LP</t>
  </si>
  <si>
    <t>11/11/2025 12:24</t>
  </si>
  <si>
    <t>Me pusieron chequeo de recalificacion el 20 regresando el 22 y mi licencia provisional vence el 20 , es válido eso ?</t>
  </si>
  <si>
    <t>"¡Gracias por la información! Te informamos que tenemos mapeado tu caso y te estaremos enviando por correo la información actualizada. Esperamos que la respuesta te haya sido de gran ayuda."</t>
  </si>
  <si>
    <t>Buenas tardes, tengo re entrenamiento el día de mañana y re calificación pasado mañana, sale que si necesito tener licencia provisional, la cual aún no me envían y tampoco me envían el check in</t>
  </si>
  <si>
    <t>Buen dia. Me han programado RET Airbus para este 30 de Julio. Desearia saber si van a programar RET DGAC y cuando seria? O ya no es necesaria otra programacion?</t>
  </si>
  <si>
    <t xml:space="preserve">¡Gracias por la información! Te comentamos que se debido al vencimiento de experiencia reciente A320F sólo corresponde realizar reentrenamiento A320F.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t>
  </si>
  <si>
    <t>Expiración linecheck 767. Me programaron lnck el 16jul sin embargo, por tema médico no pude tomarlo. Por favor considerar reprogramación para recalificación. Gracias</t>
  </si>
  <si>
    <t>916fd23d-LATAM-LP</t>
  </si>
  <si>
    <t>11/11/2025 13:13</t>
  </si>
  <si>
    <t>¡Gracias por la información! Te informamos que estamos coordinando la asignación de tu reentrenamiento y recalificación en flota B767, en base a la disponibilidad de los instructores y la holgura operativa. Asimismo, te estaremos notificando por correo la información de tu asignación. Esperamos que la respuesta te haya sido de gran ayuda.</t>
  </si>
  <si>
    <t>Estimados buenos dias, el día de mañana tenia chequeo en B787 pero al parecer por un tema operacional nos quitaron el vuelo a todos. Me podrían confirmar si me lo reprogramaran para Diciembre y si me apoyan con los vencimientos tanto de curso como chequeo de dicha flota por favor? Muchas gracias, espero su respuesta.</t>
  </si>
  <si>
    <t>LK02</t>
  </si>
  <si>
    <t>Mi experiencia recién en B767 se vence el 27/02</t>
  </si>
  <si>
    <t>"¡Gracias por la información! Te comentamos que la programación de tu experiencia reciente para la flota B767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t>
  </si>
  <si>
    <t>"¡Gracias por la información! Te informamos que, dado que tu mes base es diciembre y según lo establecido en la RAP 63, esta actividad puede ser programada dentro de un período de elegibilidad que comprende 30 días antes, durante y después de tu mes base. Por lo tanto, tu curso de chequeo en línea para la flota B787 podrá ser agendada tanto en noviembre como en enero, junto con la prórroga correspondiente. En cuanto a tu curso de revalidación, tu mes base es febrero 26, por lo que podrá ser agendado tanto en enero como en marzo,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</si>
  <si>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El mes de mayo se me vence la experiencia reciente del 767.</t>
  </si>
  <si>
    <t>"¡Gracias por la información! Te comentamos que tenemos mapeado en asignarte un vuelo en tu experiencia reciente. Te informamos que se va a gestionar tu caso con el equipo de roles para asignarte un vuelo en dicha flota antes de tu vencimiento. Esperamos que la respuesta te haya sido de gran ayuda."</t>
  </si>
  <si>
    <t>0a651ad0-LATAM-LP</t>
  </si>
  <si>
    <t>11/11/2025 19:22</t>
  </si>
  <si>
    <t>Estoy en revalidación de licencia y en la plataforma no me han cargado el examen de primeros auxilios, necesito hacerlo hasta el día de mañana</t>
  </si>
  <si>
    <t>Para su conocimiento, mi último en 787 fue el 30 de noviembre 2025</t>
  </si>
  <si>
    <t>"¡Gracias por la información! Te comentamos que ya se puede visualizar el curso de primeros auxilios para que puedas realizar el examen. ¡Agradecemos mucho tu colaboración y comprensión!</t>
  </si>
  <si>
    <t>El dia 07-08 tengo el vuelo 2480 LIM MIA con codigo de exp reciente. El mes de junio tuve chequeo latam y dgac para obtener mi licencia de boeing. El dia 20 de julio recogi mi nueva licencia. Creeria que se trata de un error ya que yo recien empezare a operar la flota 76. Gracias</t>
  </si>
  <si>
    <t>a1533e12-LATAM-LP</t>
  </si>
  <si>
    <t xml:space="preserve">¡Gracias por la información! Te comentamos que se te ha asignado el vuelo de experiencia reciente debido a que tu vencimiento es el 10-septiembre y para evitar un posible riesgo de pérdida de experiencia reciente por cualquier cambio en tu rol por contingencia operacional durante la primera semana del mes subsiguiente (empalme), se asigna dicho vuelo con anticipación. Te recordamos que en Soporte SAB llevamos el control y seguimiento de tus licencias y habilitaciones, por lo que te pedimos tenerlo presente para futuras ocasiones; entendemos que puedas preocuparte cuando se acerque la fecha de </t>
  </si>
  <si>
    <t>11/11/2025 19:25</t>
  </si>
  <si>
    <t>Tengo rti cosigo con apto medico</t>
  </si>
  <si>
    <t>AM03</t>
  </si>
  <si>
    <t>Hola. En el mes de abril se termino mi licencia de maternidad. En mayo tuve mi reva por las dos flotas (A320 y B767) luego tuve mis chequeos solo en airbus. Quisiera saber en que situacion me encuentro para la flota b767, si es que me van a programar chequeo. Quedo atenta a su respuesta. Gracias</t>
  </si>
  <si>
    <t>Hola, Daniela: Esperamos que te encuentres muy bien. Respecto a tu consulta sobre tu estado operativo para la flota B767 tras la finalización de tu licencia de maternidad, hemos revisado detalladamente tu historial en el sistema. Al verificar tus registros, identificamos que tu último vuelo realizado fue el 28 de junio de 2025. Por este motivo, y de acuerdo con las regulaciones vigentes, al haber transcurrido un año sin realizar actividad de vuelo en dicho equipo, corresponde llevar un curso de Transición. Si presentas alguna otra duda, por favor avísanos con total confianza. ¡Que tengas una e</t>
  </si>
  <si>
    <t>"¡Gracias por la información! Por favor nos comentas el detalle de tu consulta ¡Agradecemos mucho tu colaboración y comprensión!</t>
  </si>
  <si>
    <t>fb09f832-LATAM-LP</t>
  </si>
  <si>
    <t>11/11/2025 23:50</t>
  </si>
  <si>
    <t>Estimados, el día 24 de julio me asignaron un vuelo a SCL RT en B767 en mi día libre para no perder la experiencia reciente. Me informaron que mi día libre sería devuelto en el mes de agosto y que debíamos esperar a la publicación del rol. Teniendo ya el rol disponible, solicito que por favor me brinden el día libre el día 22 de agosto que tengo como asignación ASB1. Quedo atenta a sus comentarios, muchas gracias.</t>
  </si>
  <si>
    <t>Chequeo de competencia</t>
  </si>
  <si>
    <t>LK13</t>
  </si>
  <si>
    <t>¡Gracias por la información! Te informamos que de acuerdo a los coordinado previamente y a la información que nos brindas, ya se ha solicitado que te asignen el libre para el 22 de agosto. Esperamos que la respuesta te haya sido de gran ayuda.</t>
  </si>
  <si>
    <t>"¡Gracias por la información! Te informamos que, dado que tu mes base es diciembre y según lo establecido en la RAP 63, esta actividad puede ser programada dentro de un período de elegibilidad que comprende 30 días antes, durante y después de tu mes base. Por lo tanto, tu chequeo de competencia podrá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</si>
  <si>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Buenos días. En el iflight todavía tengo este mensaje de "without passport" a pesar de que ya hace un mes mande la visa creo actualizada. ( adjunto imagen) Esto creo que me ha restringido vuelos a estados unidos ya que no me pusieron este mes y veo que para el próximo mes que me corresponde linecheck en el 76, solo me han puesto un rt. Por favor su apoyo con este tema. Muchas gracias</t>
  </si>
  <si>
    <t>a4fbadcd-LATAM-LP</t>
  </si>
  <si>
    <t>¡Gracias por la información! Debido a los cortes respectivos, para el rol de agosto has salido con el rol protegido y durante el mes de julio (11-jul) has presentado la actualización de tu visa crew, el cual fue actualizado en IFN. De cara al rol de septiembre, vas a salir con el rol activo sin dicha protección y como medio regulatorio se ha solicitado al equipo de recovery para que puedan cancelar dicho status de "without passport". ¡Agradecemos mucho tu colaboración y comprensión!</t>
  </si>
  <si>
    <t>12/11/2025 02:37</t>
  </si>
  <si>
    <t>El día de hoy 12/11/25 tengo programado por rol RTI (EXAMEN MEDICO OCUPACIONAL), en los archivos adjuntos enviados en el mail, figura en las consideraciones importantes que en el caso de las mujeres si se encuentran con su periodo menstrual no pueden realizar el apto. En estos momentos me encuentro en mi primer día de mi periodo por lo que no podría realizar el apto medico</t>
  </si>
  <si>
    <t>Buenos días, el día 12 de Julio fue mí ultimo vuelo realizado en el B767. El mes de agosto, tuve la restricción por actualización de visa y septiembre tambien fue bloqueado. El día de hoy ya cuento con mi pasaporte listo para poder tener vuelos en boeing. El mes de octubre tengo 3 semanas de vacaciones. Agradecería puedan considerarme para alguna activación o inicios de octubre. Muchas gracias</t>
  </si>
  <si>
    <t>"""¡Gracias por la información! Te comentamos que estaremos enviando por correo la programación de tu nueva fecha de apto médico. ¡Agradecemos mucho tu colaboración y comprensión!"""</t>
  </si>
  <si>
    <t>Buenas tardes, esperando se encuentren bien. Escribo para comunicar puedan tomarme en cuenta para algún vuelo Boeing. Ya que para que antes de quincena de abril debería tener para no perder la habilitación. Además mi rol fue protegido en febrero por visa. La información fue enviada el 13, de febrero y aceptada el 19 de febrero. Por ende no fue considerado un vuelo Boeing para el mes de marzo. Por favor tener presente para que pueda ser asignado. Muchas gracias.</t>
  </si>
  <si>
    <t>1284f675-LATAM-LP</t>
  </si>
  <si>
    <t>"¡Gracias por la información! Te comentamos que tenemos mapeado tu caso y la asignación de tu último vuelo para la flota B767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t>
  </si>
  <si>
    <t>12/11/2025 08:12</t>
  </si>
  <si>
    <t>Porfavor solicito que me puedan activarun vuelo en la flota 76 en noviembre o amas tardar primera quincena de diciembre para no vencerme</t>
  </si>
  <si>
    <t>No me llega la licencia temporal para mi chequeo en Airbus</t>
  </si>
  <si>
    <t>¡Gracias por la información! Te comentamos que la asignación de tu último vuelo para la flota B767 se realizará antes de la fecha de vencimiento. (antes del 14/12)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</si>
  <si>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533104bc-LATAM-LP</t>
  </si>
  <si>
    <t>Buenas me mandaron un Mail el 29 de Enero para informarme que me recalificarían el 23 de febrero , pero aun no lo reflejan en mi rol,</t>
  </si>
  <si>
    <t>"¡Gracias por la información! Te comentamos que ya se encuentra reflejado en tu rol tu recalificación para el día 23 de febrero. Esperamos que la respuesta te haya sido de gran ayuda."</t>
  </si>
  <si>
    <t>12/11/2025 09:43</t>
  </si>
  <si>
    <t>Experiencia reciénte Flota B767</t>
  </si>
  <si>
    <t>ER09</t>
  </si>
  <si>
    <t>Estoy a la espera de mi renovacion de apto medico y para quincena de setiembre perderia experiencia en 767, porfavor de tomarlo en cuenta para el rol de setiembre y me puedan asignar un vuelo en ese equipo, gracias</t>
  </si>
  <si>
    <t>¡Gracias por la información!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</si>
  <si>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"¡Gracias por la información! Te comentamos que la asignación de tu último vuelo para la flota B767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</si>
  <si>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479d3d6f-LATAM-LP</t>
  </si>
  <si>
    <t>Buenas tardes, mi experiencia en 767 expiro, hubo cambio de avion para el vuelo que me asignaron para evitar pasarme peeo finalmente expiro lanfecha</t>
  </si>
  <si>
    <t>12/11/2025 09:25</t>
  </si>
  <si>
    <t>¡Gracias por la información! Te informamos que lamentablemente tu experiencia reciente venció debido a que no se pudo ejecutar el vuelo 767 por cambio de material de avión. En ese sentido, te corresponde realizar un reentrenamiento, el cual estamos coordinando en base a la disponibilidad de los instructores y la holgura operativa. Asimismo, te estaremos notificando por correo tanto sobre esta asignación como sobre tu retorno a la línea. Esperamos que la respuesta te haya sido de gran ayuda.</t>
  </si>
  <si>
    <t>Buenos días Como están ? Esperando que se encuentren bien. Les escribo , ya que el día de ayer hemos tenido una contingencia y el día de mi chequeo , se convirtió en día legal . Si por favor me podrían ayudar para que me lo puedan programar para diciembre y no tener problemas posteriores . Muchas gracias por la ayuda BP : 3889607 Saludos , Buen dia !</t>
  </si>
  <si>
    <t>LK01</t>
  </si>
  <si>
    <t>"¡Gracias por la información! Te informamos que, dado que tu mes base para la flota A320 es diciembre y según lo establecido en la RAP 63, esta actividad puede ser programada dentro de un período de elegibilidad que comprende 30 días antes, durante y después de tu mes base. Por lo tanto, tu chequeo en línea podrá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</si>
  <si>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a257e2ef-LATAM-LP</t>
  </si>
  <si>
    <t>Buenos días estimados, Hoy me cancelaron mi competencia en el Boeing 787 por tercera vez, estoy actualmente con extensión DGAC y sino hago la competencia para el sgte mes no podré volar ese equipo. Les pido su apoyo con una reprogramacion en los sgtes días, no tengo inconveniente en cambiar mis actividades ya programadas. Quedo atenta y muchas gracias</t>
  </si>
  <si>
    <t>12/11/2025 12:25</t>
  </si>
  <si>
    <t>Se coordina por correo de Soporte la recuperación de LCK 787 para el 30-junio.</t>
  </si>
  <si>
    <t>Vencimiento linecheck</t>
  </si>
  <si>
    <t>LK10</t>
  </si>
  <si>
    <t>"¡Gracias por la información! Verificamos que realizaste tu linecheck el 10/11, por lo que estarías vigente en dicha flota. ¡Agradecemos mucho tu colaboración y comprensión!"</t>
  </si>
  <si>
    <t>Acepto el cambio de vuelos para tener mi chequeo de competencia y no perder la habilitación gracias</t>
  </si>
  <si>
    <t>Se envió correo para recuperación de LCK y TC aceptó, ya se reflejó la asignación de LCK</t>
  </si>
  <si>
    <t>Consulta general sobre la licencia sin detalle especificado</t>
  </si>
  <si>
    <t>d2e6b2b4-LATAM-LP</t>
  </si>
  <si>
    <t>12/11/2025 14:04</t>
  </si>
  <si>
    <t>Buen día , he recibido dos correos de protección de rol por trámite de visa crew , uno que me protege desde el 6 diciembre 2025 y otro que me protege desde el 6 enero 2026, justamente por el primer correo es que ya cambié la fecha de la visa que había puesto para enero , la cambié para diciembre, me podrían confirmar cuál sería el correcto por favor , si me pueden proteger desde el 6 diciembre sería mucho mejor por favor .</t>
  </si>
  <si>
    <t>Buenas noches Estimados, Muchas gracias por la comunicación.En respuesta a la solución brindada, estoy de acuerdo con la propuesta planteada para mantener mi experiencia reciente en la flota B767. Quedo atento a la actualización en mi rol de vuelos. Saludos cordiales, Enzo Almir Arrarte Neyra</t>
  </si>
  <si>
    <t>Se coordinó por correo Soporte</t>
  </si>
  <si>
    <t>"¡Gracias por la información! Te comentamos que tu protección de rol por visa crew se está considerando desde la fecha del 06/12. ¡Agradecemos mucho tu colaboración y comprensión!"</t>
  </si>
  <si>
    <t>Buenas tardes, estaba asignada el 8 del presente para realizarl linecheck, pormotivos de salud no pude rralizarlo.agradezco puedan asignarlo el sigueite mes</t>
  </si>
  <si>
    <t>5a3cbee2-LATAM-LP</t>
  </si>
  <si>
    <t>Estimada Elizabeth Te comentamos que se solicitará la asignación de LCK a roles para que se pueda reprogramar en las próximas fechas Esperamos haberte ayudado!</t>
  </si>
  <si>
    <t>12/11/2025 14:03</t>
  </si>
  <si>
    <t>Protección de rol por visa crew</t>
  </si>
  <si>
    <t>Mi BP es 1141318 Ana Cristina Miró Quesada Garcia</t>
  </si>
  <si>
    <t>db524320-LATAM-LP</t>
  </si>
  <si>
    <t>12/11/2025 21:00</t>
  </si>
  <si>
    <t>Quiero saber si puedo volar Boing</t>
  </si>
  <si>
    <t>Me mandan a hacer un curso de compliance porque esta desapribado y nunca lo hice , no vuelo hace más de 4 meses</t>
  </si>
  <si>
    <t>Por temas personales urgentes solicité 15 dias de vacaciones para el segundo semestre del 1 al 15 de Julio. Solamente me han confirmado del 1 al 7, por favor considerar mi pedido inicial. Muchas gracias</t>
  </si>
  <si>
    <t>"Hola Irene, Esperamos que te encuentres muy bien. Muchas gracias por comunicarte con nosotros y por hacernos llegar tu consulta para verificar tu estado en el sistema. En relación con tu bloque de vacaciones observado será confirmado con 22 días de anticipación del inicio de las mismas. Saludos cordiales,"</t>
  </si>
  <si>
    <t>c4823818-LATAM-LP</t>
  </si>
  <si>
    <t>12/11/2025 14:24</t>
  </si>
  <si>
    <t>Buenos dias : estoy apoyando en oficina por maternidad y queria solicitar vacaciones del 28/11 al 02/12/2025. Mi coordinadora del área y mi jefa de TC ya me autorizaron poder tomarlas.</t>
  </si>
  <si>
    <t>Vencimiento de licencia chilena 31/01/2026</t>
  </si>
  <si>
    <t xml:space="preserve">"¡Gracias por escribirnos! Revisamos en el sistema y tu licencia chilena ya está gestionada, por lo que estamos a la espera para su respectivo envío antes de su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t>
  </si>
  <si>
    <t>VA06</t>
  </si>
  <si>
    <t>Poner sobre aviso que el 31 de enero se vence mi licencia chilena</t>
  </si>
  <si>
    <t>"¡Gracias por tu mensaje!. Te comentamos que según lo establecido en el convenio, las vacaciones solo podrán ser otorgadas en un mínimo de 7 días. ¡Agradecemos mucho tu colaboración y comprensión!"</t>
  </si>
  <si>
    <t xml:space="preserve">"¡Gracias por la información! Te comentamos que la gestión de tu licencia chilena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t>
  </si>
  <si>
    <t>0f6bd4ca-LATAM-LP</t>
  </si>
  <si>
    <t>12/11/2025 16:40</t>
  </si>
  <si>
    <t>Mi licencia chilena vence a fibes de enero. Qué trámite debo hacer?</t>
  </si>
  <si>
    <t>¡Gracias por la información! Te comentamos que no es necesario que realices algún trámite adicional. La gestión de tu licencia chilena se está gestionando con la DGAC Chile y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t>
  </si>
  <si>
    <t>Consulta sobre periodo, estimados tengo mi apto medico programado para el día de mañana pero hoy me vino mi periodo. En la condiciones dice que no puedo hacerme el apto . Hay algún problema ya que es el día de mañana</t>
  </si>
  <si>
    <t>Consulta sobre el trámite o procedimiento de renovación</t>
  </si>
  <si>
    <t>Entrega de licencia chilena por vencimiento próximo 31 /12/2025</t>
  </si>
  <si>
    <t>f30ccefa-LATAM-LP</t>
  </si>
  <si>
    <t>12/11/2025 20:57</t>
  </si>
  <si>
    <t>RV05</t>
  </si>
  <si>
    <t>Se encuentra pendiente mi licencia chilena y tengo vuelo en 3 días</t>
  </si>
  <si>
    <t>"¡Gracias por la información! Te comentamos que tenemos mapeado el seguimiento de tu licencia chilena con la DGCA y te estaremos enviandolo mediante correo antes de la fecha de tu vuelo. ¡Agradecemos mucho tu colaboración y comprensión!"</t>
  </si>
  <si>
    <t>c5538214-LATAM-LP</t>
  </si>
  <si>
    <t>13/11/2025 05:22</t>
  </si>
  <si>
    <t>Mi licencia Chilena vence este 30/04 estoy a la espera del documento.</t>
  </si>
  <si>
    <t>Buenos días , mi vuelo de verificación de competencias A320F del día 12/11 fue cancelado. Quiero informar esto para que se me genere una nueva fecha y no perder mi habilitación</t>
  </si>
  <si>
    <t>"""¡Gracias por la información! Te informamos que, dado que tu mes base para la flota A320 es diciembre y según lo establecido en la RAP 63, esta actividad puede ser programada dentro de un período de elegibilidad que comprende 30 días antes, durante y después de tu mes base. Por lo tanto, tu verificación de la competencia podrá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</si>
  <si>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Envío de nueva licencia chilena con datos actualizados según RTA14</t>
  </si>
  <si>
    <t>Estimada, Espero que te encuentres bien. Se actualizará la dirección que se encuentra en tu convalidación licencia chilena. Gracias</t>
  </si>
  <si>
    <t>27afc91b-LATAM-LP</t>
  </si>
  <si>
    <t>13/11/2025 16:00</t>
  </si>
  <si>
    <t>Recordar como se nos indicó que mi chequeo de competencia B767 vence Diciembre 2025</t>
  </si>
  <si>
    <t>Actualización de licencia chilena , dado que ya cuento con habilitación de B-767</t>
  </si>
  <si>
    <t>"""¡Gracias por la información! Te informamos que tenemos mapeado la programación de tu verificación de la competencia la cual se realizará antes de su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</si>
  <si>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¡Gracias por la información! Te compartimos el siguiente link para que puedas gestionar la renovación de tu fotocheck. https://www.appsheet.com/start/fc09f2b3-fd11-46ae-882b-d8ce2cb7a8d1?platform=desktop#appName=SolicitudDeCredencialesPE-501453028&amp;vss=H4sIAAAAAAAAA6WPsU7EMBBE_2Vrp4BzSOIWUZwQNCAaTLHYa8m6nH2yN8Ap8r9jwyFogXJm9Z5mV3jx9HrHaHagHtfvdE1HULBquD8eSIPScBkDpzhrEBpucX8qE1kKxuNMWUOB8iS-HEwZ1Pp7hfr_CgG-ZvbOU2q-RlfPia3nRrbiBwdFwH5hfJ7pY3zjfN6GK-v5JtqaOS0kgBOGjIZ9DFtbHf3mbJIobTc64zrZj7Ib--m8GwYah42UduovoJRqd9EsmexDfe6PT7U5bwcM9nOQwzlTeQfP0flgwwEAAA==&amp;view=Credenciales ¡Agradecemos mucho tu col</t>
  </si>
  <si>
    <t>bc5fdf00-LATAM-LP</t>
  </si>
  <si>
    <t>13/11/2025 09:25</t>
  </si>
  <si>
    <t>En mi lecencia Chilena parte posterior no figura mi nombre</t>
  </si>
  <si>
    <t>"Buenos días Esperamos que te encuentres muy bien. Muchas gracias por comunicarte con nosotros y por detallarnos ello. Respecto a tu consulta, te confirmamos que en tu Convalidación licencia chilena se visualiza en la parte posterior tu nombre completo la misma que enviamos por correo de Soporte. Muchas gracias Quedamos atentos Saludos cordiales."</t>
  </si>
  <si>
    <t>Estimados, tengo la reva programada desde el 23 de Noviembre, pero aun no me llega la programación. Cuando debería llegarme?</t>
  </si>
  <si>
    <t>Nombre mal escrito, adjunto licencia actual para poder corregir por favor</t>
  </si>
  <si>
    <t>7d839d2d-LATAM-LP</t>
  </si>
  <si>
    <t>13/11/2025 09:27</t>
  </si>
  <si>
    <t>Estimados, mi licencia chilena vence el 30 de Noviembre. Espero sus indicaciones. Gracias</t>
  </si>
  <si>
    <t>Mi licencia Chilena está hasta el 3]/07/2026</t>
  </si>
  <si>
    <t>""¡Gracias por la información! Te comentamos que lo enviaremos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</si>
  <si>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¡Gracias por la información! Te comentamos que para renovar tu licencia chilena, es necesario contar con tu apto médico aprobado y emitido. Por ello, dado que tu examen ha sido reprogramado para el 24/11, tendremos que esperar la respuesta de la clinica para continuar con la emisión del apto y proceder de inmediato con la emisión de tu nueva licencia. ¡Agradecemos mucho tu colaboración y comprensión!"</t>
  </si>
  <si>
    <t>a59575ff-LATAM-LP</t>
  </si>
  <si>
    <t>Dstimafos buenos dias. El motivo de mi mensaje es para solicitar la renivacion de mi licencia chilena. Ya que esta proximo a vemcer el 30/11/2025. Gracias por su gestion</t>
  </si>
  <si>
    <t>13/11/2025 17:33</t>
  </si>
  <si>
    <t>"¡Gracias por la información! Te comentamos que para renovar tu licencia chilena, debes contar con tu apto médico vigente. ¡Agradecemos mucho tu colaboración y comprensión!"</t>
  </si>
  <si>
    <t>Perdí mi chequeo de competencia el 12/11 por DM y se me vence el 31/12 porfavor tenerlo en cuenta para poder recuperarlo lo antes posible. Gracias</t>
  </si>
  <si>
    <t>Hola no vuelo desde noviembre 22 del año pasado por un accidente, quiero saber si mi licencia está suspendida o en qué estado está? Muchas gracias</t>
  </si>
  <si>
    <t>"¡Gracias por la información! Te comentamos que dado que te encuentras con descanso médico prolongado, para retornar a rol deberás contar con tu alta médica, y posterior a ello, tu levantamiento de no apto con la clínica correspondiente. Esperamos que la respuesta te haya sido de gran ayuda."</t>
  </si>
  <si>
    <t>2c3a8344-LATAM-LP</t>
  </si>
  <si>
    <t>13/11/2025 18:37</t>
  </si>
  <si>
    <t>Buenos dias, el motivo de mi consulta es sobre el estado de la convalidacion de mi licencia, pues en pocos dias tengo vuelos programados en el B767 y aun la licencia chilena no me ha llehado al correo. Quedo atento su respuesta. Gracias</t>
  </si>
  <si>
    <t>INFROMATIVO</t>
  </si>
  <si>
    <t>Me sale desaprobado el susti también por un problema que recién veo en mi competidora , podrían Porfavor cargarme nuevamente los exámenes para terminar con mi recalidacion de licencia . Gracias</t>
  </si>
  <si>
    <t>OS11</t>
  </si>
  <si>
    <t>Consulta general de soporte sin detalle especificado</t>
  </si>
  <si>
    <t>Bien día, minlicenvia chilena venve en Diciembre. Estoy a la espera del envío. Por favor tener en cuenta que no tengo impreslra a color asi que por favor neceaito me la envien con tiempo para poder hacer la.impresión. gracias.</t>
  </si>
  <si>
    <t>59e162b7-LATAM-LP</t>
  </si>
  <si>
    <t>13/11/2025 15:56</t>
  </si>
  <si>
    <t>Tce</t>
  </si>
  <si>
    <t>Buenas tardes, hice el exámen del 4to control de lectura el dia de ayer, no tenia la opción de retrceder para revisar mis respuestas, tampoco tenia la opción de guardar, en mi respuestas 10 al no tener esas opciones no grababa y quedo como 9 respuestas, envié el exámen esperando que con eso se guardará perro me dio nota 90 y debería de ser 100</t>
  </si>
  <si>
    <t>CL01</t>
  </si>
  <si>
    <t>Consulta sobre resultados o respuestas del examen</t>
  </si>
  <si>
    <t>Bue. Día, he tenido vuelos durante 10 días el último dia 10/12 cambiaron el ETD y llegamos tarde tocando mi dia libre y vola do 11 días, aún no me llega el correo para la dispensa, les solicitó su ayuda por favor, muchas gracias.</t>
  </si>
  <si>
    <t>¡Gracias por la información! Por favor te pedimos que nos detalles tu consulta en relación a tu dispensa.</t>
  </si>
  <si>
    <t>5aae1ce8-LATAM-LP</t>
  </si>
  <si>
    <t>13/11/2025 16:57</t>
  </si>
  <si>
    <t>ACTIVACION DE EXAMEN SUSTITUTORIO</t>
  </si>
  <si>
    <t>Solicitud Licencia chilena segun RTA 14</t>
  </si>
  <si>
    <t>RV02</t>
  </si>
  <si>
    <t>Voy a perder mi habilitación de 767 cada 3 meses</t>
  </si>
  <si>
    <t>"¡Gracias por la información! Te comentamos que tenemos mapeado tu caso y en asignar tu experiencia reciente para la flota B767, el cual se realizará antes de tu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t>
  </si>
  <si>
    <t>863d535f-LATAM-LP</t>
  </si>
  <si>
    <t>13/11/2025 18:35</t>
  </si>
  <si>
    <t>Buenas, por un problema de mi computadora me hizo jalar el susti y necesito Porfavor me activen la plataforma para hacerlos de inmediato, gracias</t>
  </si>
  <si>
    <t>Buenas tardes quisisera saber la fecha de entrega de licencia 767</t>
  </si>
  <si>
    <t>Una consulta me figura en mi rol 3 días ya tuve curso en tierra en mayo , reva rn enero,dgac mayo 767 es curso de refreszo?</t>
  </si>
  <si>
    <t>Hola, Sandra: Esperamos que te encuentres muy bien. Muchas gracias por comunicarte con nosotros para verificar el estado de tus actividades. Respecto a tu consulta sobre el bloque de 3 días que visualizabas en tu rol, te informamos que hemos procedido a revisar tu caso en el sistema y dicha asignación ya se te retiró de la programación actual.</t>
  </si>
  <si>
    <t>3aee9a9e-LATAM-LP</t>
  </si>
  <si>
    <t>13/11/2025 22:21</t>
  </si>
  <si>
    <t>Confirmación de protección de rol para traite visa</t>
  </si>
  <si>
    <t>Mi ultimo vuelo en Boeing fue el 6/09; por favor necesito un vuelo antes del 6/12 para no vencerme. En PBS estoy pidiendo ATL.</t>
  </si>
  <si>
    <t>Solicitud para que se pueda retirar la protección de rol para el mes de mayo porque ya cuento con mi pasaporte (junto con mi visa crew).</t>
  </si>
  <si>
    <t>d5dd92ee-LATAM-LP</t>
  </si>
  <si>
    <t>Estimada Cayetana te comentamos que contamos con la información y ya fue levantada la protección de rol. Esperamos haberte ayudado!</t>
  </si>
  <si>
    <t>13/11/2025 23:44</t>
  </si>
  <si>
    <t>Este mes perdi mi chequeo de competencia en flota 787 por favor podrian reprogramarlo en el mes de diciembre para no vencerme.</t>
  </si>
  <si>
    <t>Deseo indicar que del 26 al 31 de Julio no tendre Visa Crew, para efectos de programación de rol. Muchas gracias.</t>
  </si>
  <si>
    <t>Estimada, Espero que te encuentres bien. Por favor el pedido se realiza a través del Formulario Solicitud mes subsiguiente que se encuentra dentro del Site LP para que se pueda radicar con las áreas correspondientes. Quedamos atentos a cualquier otra inquitud Saludos cordiales</t>
  </si>
  <si>
    <t>"¡Gracias por la información! Te informamos que, dado que tu mes base es diciembre y según lo establecido en la RAP 63, esta actividad puede ser programada dentro de un período de elegibilidad que comprende 30 días antes, durante y después de tu mes base. Por lo tanto, tu verificación de la competencia podrá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</si>
  <si>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Quiero indicae que no contare con visa crew del 26 de julio al 31 agosto del 2026 para efectos de programacion de rol</t>
  </si>
  <si>
    <t>2acfe4d0-LATAM-LP</t>
  </si>
  <si>
    <t>12/11/2025 11:39</t>
  </si>
  <si>
    <t>Mi Pasaporte vence el 3 de marzo, mi consulta es si tendré inconvenientes para ingresar a USA en enero tengo dos vuelos a MIAMI, gracias</t>
  </si>
  <si>
    <t>Estimados buenos dias, para comentarles que mi ultimo vuelo en el 767 fue el 30 de septiembre Atl-Lim, les escribo para que me puedan colocar cualquier vuelo en esa flota para no perder mi habilitación. Muchas gracias</t>
  </si>
  <si>
    <t>¡Gracias por la información! Te comentamos que no tendrás ningún inconveniente con tus vuelos programados para el mes de enero, ya que tu pasaporte se encuentra vigente durante todo ese mes Esperamos que la respuesta te haya sido de gran ayuda.</t>
  </si>
  <si>
    <t>"¡Gracias por la información! Te comentamos que tenemos mapeado en asignarte un vuelo en tu experiencia reciente. Asimismo, te informamos que dado que te encontrabas en rol especial para el mes de diciembre, no tendrás asignado vuelos en la flota B767, por ello se va a gestionar tu caso con el equipo de roles para asignarte un vuelo en dicha flota antes de tu vencimiento. ¡Agradecemos mucho tu colaboración y comprensión!"</t>
  </si>
  <si>
    <t>108 HORAS CONSECUTIVAS DE DESCANSO. ARTICULO 47 CONVENIO.</t>
  </si>
  <si>
    <t xml:space="preserve">Hola, Karin: Esperamos que te encuentres muy bien. Muchas gracias por comunicarte con nosotros. Respecto a tu consulta sobre las 108 horas consecutivas de descanso contempladas en el Artículo 47 del Convenio, te informamos que nuestro equipo ha realizado la verificación correspondiente y te brindamos las siguientes conclusiones: Al revisar la programación de tu rol de junio en el tramo observado, se aprecia que tu actividad finaliza el día 19 a las 22:30 y la siguiente asignación inicia el día 24 a las 06:25. Entre ambos horarios existe un bloque de aproximadamente 103 horas y 55 minutos, por </t>
  </si>
  <si>
    <t>3a5dab61-LATAM-LP</t>
  </si>
  <si>
    <t>13/11/2025 20:53</t>
  </si>
  <si>
    <t>Buenos dias, tengo una consulta es acerca de mi cumpleaños. Yo quisiera renunciar a mi dia libre para poder solicitar vuelos.</t>
  </si>
  <si>
    <t>"¡Gracias por la información! Te pedimos elevar dicha información con jefatura. Esperamos que la respuesta te haya sido de gran ayuda."</t>
  </si>
  <si>
    <t>Estimados buenas noches, para comentarles que tuve mi curso online de bihabilitacion (B767) el 18 de Agosto y me encuentro a la espera de mis chequeos, les envio esta informacion para que lo tengan en cuenta. Estare atenta a su respuesta.</t>
  </si>
  <si>
    <t>LK07</t>
  </si>
  <si>
    <t>Buenos días necesito saber mi limite de horas para hacer cambios de vuelos, en mi caso vuelo dos flotas, quiero saber si puedo pasar otros cambios.</t>
  </si>
  <si>
    <t>"¡Gracias por la información! Te comentamos que la asignación de tus chequeos se te va a programar en los siguientes meses en base a la holgura operativa. Asimismo, te recordamos que la vigencia de tu curso en tierra de transición tiene una duración de un año. ¡Agradecemos mucho tu colaboración y comprensión!"</t>
  </si>
  <si>
    <t>Consulta o reclamo por pago o condición de High Rank</t>
  </si>
  <si>
    <t>Activación de reservas ( perdi Madrid en este mes y me quedé con pocas horas...)</t>
  </si>
  <si>
    <t>15255d06-LATAM-LP</t>
  </si>
  <si>
    <t>14/11/2025 10:50</t>
  </si>
  <si>
    <t>¡Gracias por la información! Por favor te pedimos canalizar esta información con el equipo de Roles. movimiento.trip@lan.com Esperamos que la respuesta te haya sido de gran ayuda.</t>
  </si>
  <si>
    <t>Buenos días, hoy tenía que ir al apto médico, pero ayer llegando de volar me sentí mal, algo que comí me cayó mal y estuve mal toda la madrugada. Quería consultar si me pueden reprogramar el apto para el lunes 24 que tengo libre, por favor.</t>
  </si>
  <si>
    <t>Buenas tardes, mi consulta es si podría hacer cambio de vuelos en Boeing considerando que en enero no me han puesto vuelos en boeing ya que recién ya cuento con mi licencia física. Quedo atenta gracias</t>
  </si>
  <si>
    <t>"¡Gracias por la información! Te comentamos que hemos verififado tu rol de enero, y se visualiza que te asignaron vuelo en la flota 767 para LIM-LAX-LIM el 7/01. "</t>
  </si>
  <si>
    <t>"""¡Gracias por la información! Te comentamos que tu apto médico fue programado para el 20/11. Asimismo, te informamos que consideres el siguiente lineamiento: "Si por rol tienes asignado el código ME (apto médico): notifica como máximo hasta las 07:30 hrs del mismo día de la actividad: 1) Vía correo electrónico a Movimiento Diario (movimiento.trip@lan.com) y a tu CPL ,solicitando el retiro del código ME y asignar reserva restringida". Tener en cuenta que para la renovación de tu licencia chilena (30/11) se requiere que el apto médico se encuentre vigente. ¡Agradecemos mucho tu colaboración y comprensión!"""</t>
  </si>
  <si>
    <t>Solicito por favor me asignen vuelos en mis reservas. Ya que, por mal.tiempo en Ayacucho pernoctamos y perdí Madrid pedido del dia 3. Solicito por favor en lo posible horas y pernocte... muchas gracias</t>
  </si>
  <si>
    <t>"¡Gracias por la información! Por favor te pedimos canalizar esta información con el equipo de Roles. movimiento.trip@lan.com Esperamos que la respuesta te haya sido de gran ayuda."</t>
  </si>
  <si>
    <t>046acde8-LATAM-LP</t>
  </si>
  <si>
    <t>14/11/2025 14:18</t>
  </si>
  <si>
    <t>Que asignacion tengo el dia 29 de diciembre?</t>
  </si>
  <si>
    <t>Buenas tardes. Mi consulta es sobre mi chequeo en línea Airbus. El año pasado fue en el mes de Diciembre. Al visualizar el PBS no tengo asignado el chequeo. Me podrían confirmar y/o revisar el límite de fecha para la asignación de mi chequeo Airbus. Muchas gracias.</t>
  </si>
  <si>
    <t>Buenas tardes en mi rol de junio aparece 4 días de training . A qué se refiere ? PORQUR yo ya tuve mi reva de Airbus y Boeing .</t>
  </si>
  <si>
    <t>"¡Gracias por la información! Te informamos que, dado que tu mes base es enero y según lo establecido en la RAP 63, esta actividad puede ser programada dentro de un período de elegibilidad que comprende 30 días antes, durante y después de tu mes base. Por lo tanto, tu chequero en línea podrá ser agendada tanto en diciembre como en febrero,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</si>
  <si>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Estimados quería por favor saber de que se trata la asignación que tengo el dia 16 después de mis vacaciones, el código asignado en el rol es CLA. Agradezco la información. Saludos</t>
  </si>
  <si>
    <t>"¡Gracias por la información! Te comentamos que el código CLA significa que se te asignará un curso para dicho día. Te recordamos que se estará enviando a tu correo la información detallada. Esperamos que la respuesta te haya sido de gran ayuda."</t>
  </si>
  <si>
    <t>29de1cd8-LATAM-LP</t>
  </si>
  <si>
    <t>14/11/2025 21:34</t>
  </si>
  <si>
    <t>Buenas Tardes: en el mes de abril, tengo días de vuelo HR y no he firmado la adenda. Agradecería puedan actualizarlo. Los días son 22 y 27.</t>
  </si>
  <si>
    <t>Yo tengo vacaciones pre publicadas del 1 al 15 de diciembre, solo me han mandado correo de confirmación del 1 al 7, quedaría pendiente la confirmación del 8al 15 quisiera saber el estado</t>
  </si>
  <si>
    <t>Revisado con la misma TC</t>
  </si>
  <si>
    <t>Horas como HR no reflejadas de la boleta de pago. En una consulta anterior me indicaron que el pago se vería reflejado en la boleta de Abril, pero no aparece.</t>
  </si>
  <si>
    <t>"¡Gracias por la información! Te comentamos que tienes vacaciones pre publicadas del 01/12/2025 al 15/12/2025. La confirmación de tus vacaciones ya fueron enviadas a tu correo. ¡Agradecemos mucho tu colaboración y comprensión!"</t>
  </si>
  <si>
    <t>Hola, Silvana: Esperamos que tengas un excelente día. Muchas gracias por comunicarte nuevamente con nosotros. Te ofrecemos mil disculpas por el inconveniente, ya que tus horas HR no se vieron reflejadas en la boleta de abril como te habíamos informado anteriormente. Tras revisar tu caso a detalle, te confirmamos que se está considerando una regularización de 3.77 horas por ambos vuelos. Ten la seguridad de que este monto se verá reflejado sin falta en el pago que se enviará el 20 de este mes. Agradecemos tu paciencia y comprensión ante este contratiempo. Saludos,</t>
  </si>
  <si>
    <t>39b2953f-LATAM-LP</t>
  </si>
  <si>
    <t>14/11/2025 23:42</t>
  </si>
  <si>
    <t>Horas de HR no reflejadas en la boleta de pago, fui activada como HR en el vuelo LA2400 y LA2401 del 11/02/2026, las cuales no han sido reflejadas en mi boleta de pago</t>
  </si>
  <si>
    <t>Solicitud de retiro o modificación de una asignación</t>
  </si>
  <si>
    <t>Estimada Silvana Te comentamos que hemos revisado tu caso a profundidad y se regularizará el monto para el siguiente pago. Esperamos haberte ayudado</t>
  </si>
  <si>
    <t>Buenas noches , estoy fuera de vuelo por maternidad y quería saber si está semana de vacaciones pueden regresar a mi bolsa de días por tomar ya que quisiera reservar esos días para mi post natal muchas gracias.</t>
  </si>
  <si>
    <t>VA04</t>
  </si>
  <si>
    <t>Buen dia, el motivo de mi consulta, es debido a un codigo que aparece en mi rol pero no indica en la leyenda que simboliza, de antemano gracias. El codigo es BFH</t>
  </si>
  <si>
    <t>"""¡Gracias por la información! Te pedimos por favor canalizar esta información con tu CPL. ¡Agradecemos mucho tu colaboración y comprensión!"</t>
  </si>
  <si>
    <t>"¡Gracias por la información! Te comentamos que la solicitud de tus vacaciones se encuentran confirmadas del 26/11 al 03/12. ¡Agradecemos mucho tu colaboración y comprensión!"</t>
  </si>
  <si>
    <t>77d488f2-LATAM-LP</t>
  </si>
  <si>
    <t>RETIRO DEL MEDALIA DE ENCUESTA DIA 3. YA QUE DIA 2 EL VUELO DE RETORNO A LIMA ESTABA CANCELADO. NOS VEMOS COMO TRIPULACION AFECTADOS EN DESEMPEÑO...</t>
  </si>
  <si>
    <t>14/11/2025 23:46</t>
  </si>
  <si>
    <t>"""¡Gracias por la información! Te pedimos por favor canalizar esta información con tu CPL. Esperamos que la respuesta te haya sido de gran ayuda."</t>
  </si>
  <si>
    <t>Hola recibi el correo de respuesta debido a que gestioné intercambio vacaciones con otra TC y eran en fechas 8 al 15 pero indica ser del 8 al 21 , adjunto la foto de confirmación de septiembre con las fechas que yo gestione 8 al 15. Quisiera saber porque me están agregando 1 semana más que no he solicitado</t>
  </si>
  <si>
    <t>La Cesión de vacaciones no procedió y no las deseo. En todo caso estoy solicitando renunciar del 8 al 14 de abril solicitando solamente del 30 de abril al 10 de mayo. Muchas gracias</t>
  </si>
  <si>
    <t>Reclamo por composición o distribución del rol</t>
  </si>
  <si>
    <t>VA01</t>
  </si>
  <si>
    <t>Retorno a línea sin pernoctes: Estimados, por favor quisiera solicitar que a mi retorno a línea no me coloquen pernoctes ya que no tengo con quien dejar a mi bebé por favor! Muchas gracias</t>
  </si>
  <si>
    <t>Estimada Yuli Te comentamos que hemos solicitado al area correspondiente que no se te programen vuelos con pernocte. Saludos Cordiales!</t>
  </si>
  <si>
    <t>"""¡Gracias por la información! Te comentamos que se ha confirmado y procesado la cesión de su periodo vacacional comprendido del 08/12 al 15/12. Como resultado de esta gestión, usted dispone de un saldo de 6 días de descanso vacacional. Es importante destacar que la programación de estos 6 días restantes se realiza debido a que este saldo es inferior al mínimo de 7 días requerido para ser prepublicado y programado en el próximo semestre, cumpliendo así con la normativa interna vigente, es por ello que su periodo vacacional ha sido extendido hasta el 21 de diciembre. ¡Agradecemos mucho tu colaboración y comprensión!"""</t>
  </si>
  <si>
    <t>Buenas tardes , queria hacer la consulta sobre mi pernoctes ya que vengo hace 3 meses consecutivos com solo pernoctes GRU , queria saber si es porque mi rol cuenta con una proteccion del mismo ? ... ya que hace dos meses hice el levantamiento del mismo. Quedo atento a cualquier informacio.</t>
  </si>
  <si>
    <t>Hola, Giancarlos: Te comentamos que el pasado 5 de marzo se te envió por correo la información indicando que mantenías la protección por rol. No obstante, te confirmamos que actualmente tu estado ya se encuentra actualizado en el sistema IFN. Debido a esto, el equipo de Roles tendrá en cuenta tu documentación actualizada en caso de que se requiera alguna activación de vuelo de ahora en adelante. Asimismo, para el mes de junio, considera que la programación del rol se realizará contemplando que ya no cuentas con protección por documentación, por lo que tus rutas podrían variar. Esperamos habert</t>
  </si>
  <si>
    <t>4fce5fdf-LATAM-LP</t>
  </si>
  <si>
    <t>15/11/2025 00:46</t>
  </si>
  <si>
    <t>Por favor, les pido revisen mi rol. Me están asignando demasiados vuelos domésticos y yo vuelo las 3 flotas. Hace meses no me asignan Madrid y estos días esos vuelos domésticos me están causando reprogramaciones y demoras que lo que hacen es aumentar mi fatiga. Espero por favor revisen mi caso. Inclusive ahota llegue tarde a mi domiclio por mala ruta de movilizacion y manana sigo con los domesticos.</t>
  </si>
  <si>
    <t>Buenas noches: Les escribo para saludarlos y pedirles su apoyo, ya que me parece que por error no figuran mis vacaciones del 24 al 31 de diciembre 2025, ya que yo solicite dos semanas de vacaciones del 16 al 31 de diciembre y el día de ayer en la noche recibí el mail de confirmación de vacaciones donde solo figura del 16 al 23 de diciembre y sin embargo en el PBS sigue figurando mis dos Semanas de vacaciones solicitadas del 24 al 31 de diciembre. Estoy muy preocupada porque derrepente ha habido un error, ya que el día de ayer 14 de noviembre en la manaña, recibí un correo de soporte sab donde solicitaban de manera voluntaria reprogramar las vacaciones prepublicadas en esas fechas y yo respondí el formulario del link indicando que No Deseba posponer mis vacaciones de diciembre y también puse en las observaciones el motivo: debido a que mi mamá vive en ICA y esas fechas son sensibles para nosotras porque mi papá falleció es que yo solicite vacaciones para pasar Navidad con ella y por eso es que marque la segunda alternativa NO y que deseaba mantener mis vacaciones prepublicadas en diciembre, es por ello que les envío este mail pidiendo su apoyo y por favor verifiquen porque yo no deseo postergar mis vacaciones, quiero mantener mis dos semanas del 16 al 31 de diciembre porque son muy importantes para mi como les indiqué. Gracias espero su pronta respuesta</t>
  </si>
  <si>
    <t>"Hola, Karin: Esperamos que tengas un excelente día. Muchas gracias por comunicarte con nosotros y compartirnos tu interés en operar la ruta a Madrid (MAD) con mayor frecuencia. Al respecto, te informamos que la asignación de vuelos y destinos se gestiona de acuerdo con la programación de roles. Para que tus preferencias sean tomadas en cuenta en los próximos meses, te sugerimos realizar la solicitud de los vuelos requeridos a través de PBS Esperamos haberte ayudado.</t>
  </si>
  <si>
    <t>Buenas tardes, en cuanto a su respuesta a la solicitud 82a5a01a-LATAM-LP les comento que no estoy de acuerdo con la resolución. El formulario correspondiente para solicitud de un dia libre compensado dentro de la primera semana de cualquier mes dice claramente que se debe solicitar con 2 meses de anticipacion, haciendo un ejemplo de Agosto y pedirlo en Mayo, todo esto para no afectar el rol por empalme. Dicho esto les solicito que respeten mi solicitud de dia libre compensado para el 01/04/26.</t>
  </si>
  <si>
    <t>"¡Gracias por la información! Te comentamos que la confirmación del tercer bloque de tus vacaciones serán notificadas con 30 días de anticipación. ¡Agradecemos mucho tu colaboración y comprensión!"</t>
  </si>
  <si>
    <t xml:space="preserve">"¡Gracias por tu mensaje! Hemos revisado nuevamente tu caso y queremos aclararte los siguientes puntos: Sobre la compensación de día libre: Según el convenio colectivo, los vuelos adicionales de enero deben compensarse en el mes subsiguiente (marzo). Por ello, el día libre asignado y gozado el pasado 15 de marzo es el que corresponde técnicamente a dicho mes correcto de compensación. Sobre el empalme: Al solicitar un día libre, es vital considerar la secuencia de tu rol prublicado (febrero) (pernoctes o vuelos programados). Por ejemplo, si hubieses solicitado el 1 de marzo, se debe revisar la </t>
  </si>
  <si>
    <t>9de9fc48-LATAM-LP</t>
  </si>
  <si>
    <t>15/11/2025 05:57</t>
  </si>
  <si>
    <t>Hola</t>
  </si>
  <si>
    <t>Reporte de problema con plataformas de cambio de vuelo o PBS</t>
  </si>
  <si>
    <t>462d3497-LATAM-LP</t>
  </si>
  <si>
    <t>No puedo ingresar a solicitar un cambio de vuelo, me sale error y que mis credenciales son incorrectas, cuando la contraseña y el usuario son los correctos, solicito ayuda por favor.</t>
  </si>
  <si>
    <t>15/11/2025 05:56</t>
  </si>
  <si>
    <t>"¡Gracias por la información! Te comentamos que vamos a revisar tu caso y te lo notificaremos por correo. ¡Agradecemos mucho tu colaboración y comprensión!"</t>
  </si>
  <si>
    <t>Significado de codigo</t>
  </si>
  <si>
    <t>Seguimiento de una solicitud previa sobre el rol</t>
  </si>
  <si>
    <t>Buen dia ! Quisiera saber cuanto demora en dsr respuesta a un cambio quw envie con ni compañero! Mandamos eel cambio el sabado 28 de marzo y aun no tenemos respuesta ?</t>
  </si>
  <si>
    <t>Estimada Pamela Te comentamos que aun no hemos recibido tu solicitud de mayo en nuestra base. Asimismo a día de hoy las solicitudes para el mes de mayo ya se encuentran cerradas pero si requirieras alguna fecha del mes de Junio aun nos encontramos a tiempo para poder solicitarla.</t>
  </si>
  <si>
    <t>Rectificación fecha vencimiento pasaporte</t>
  </si>
  <si>
    <t>10c5d7f1-LATAM-LP</t>
  </si>
  <si>
    <t>15/11/2025 08:35</t>
  </si>
  <si>
    <t>Buenos días, por favor me podrían enviar un detalle de mis vacaciones, las que tengo vencidas y las que me corresponden el próximo año según rol. Gracias</t>
  </si>
  <si>
    <t>VA05</t>
  </si>
  <si>
    <t>BUENOS DIAS HE ENVIADO LO SOLICITADO PARA INGRESAR MI HERMANO POR LAS OBSERVACIONES Y NO HAY CAMBIO</t>
  </si>
  <si>
    <t>Buenos días, Estimada, por favor, necesitamos que nos puedas ser especifica con el tema consultado para poder revisarlo a detalle. Te pedimos por favor ingresar una nueva consulta</t>
  </si>
  <si>
    <t>¡Gracias por la información! Te comentamos que la bolsa pendiente de vacaciones que tienes programados son de 38 días poryectado hasta diciembre 25. Tener en cuenta que el día de ayer se te envió un correo confirmando vacaciones del 16/12 al 22/01. Te informamos que con respecto a las vacaciones del próximo año, considera que aún se estarán enviando la pre publicación del primer semestre en el transcurso de estas semanas. Agradecemos mucho tu colaboración y comprensión!</t>
  </si>
  <si>
    <t>Buenas tardes He enviado la documentación respectiva para ingresar a mi hermano pero sigue bloqueadoo.</t>
  </si>
  <si>
    <t>6b08ed9e-LATAM-LP</t>
  </si>
  <si>
    <t>15/11/2025 08:37</t>
  </si>
  <si>
    <t>Cuántos días de vacaciones tengo en el 2026</t>
  </si>
  <si>
    <t>Buenos días, por favor me podrían indicar el detalle completo de mis vacaciones (vencidas y las que me tocan el sgte año)</t>
  </si>
  <si>
    <t>Espera de conformación de protección del rol</t>
  </si>
  <si>
    <t>Estimada, Espero que te encuentres bien. Comentarte que efectivamente lo estamos contemplando para el rol de julio. Quedamos atentos a otra inquietud.</t>
  </si>
  <si>
    <t>eca1d581-LATAM-LP</t>
  </si>
  <si>
    <t>No cumplo con consideraciones para realizar mi examen medico ocupacional</t>
  </si>
  <si>
    <t>15/11/2025 10:13</t>
  </si>
  <si>
    <t>¡Gracias por la información! Te comentamos que tenemos mapeado tu caso, por lo que te estaremos enviando por correo la programación de tu nueva fecha de exámen médico ocupacional. Esperamos que la respuesta te haya sido de gran ayuda.</t>
  </si>
  <si>
    <t>Tengo descanso medico por resfrío hasta el lunes 17 que es el día de mi apto medico, deberán reprogramarlo</t>
  </si>
  <si>
    <t>Inscripción de Taller voluntario de Seguridad Abril no es posible</t>
  </si>
  <si>
    <t>¡Gracias por la información! Te recordamos que la inscripción al Taller Voluntario de Seguridad se realiza a través de OSSA Esperamos que la respuesta te haya sido de gran ayuda.</t>
  </si>
  <si>
    <t>¡Gracias por la información! Te comentamos que tenemos mapeado tu caso, por lo que te estaremos enviando por correo la programación de tu nueva fecha de apto médico. ¡Agradecemos mucho tu colaboración y comprensión!</t>
  </si>
  <si>
    <t>Quisiera hacer una consulta sobre el taller voluntario de procedimientos de seguridad</t>
  </si>
  <si>
    <t>9941ff6c-LATAM-LP</t>
  </si>
  <si>
    <t>15/11/2025 10:39</t>
  </si>
  <si>
    <t>Buenos días, quisiera saber si aun puedo inscinscribir al taller de seguridad del día 25/05</t>
  </si>
  <si>
    <t>Estimados buenos días: Para comentarles que hay un cruce en mis vacaciones para el mes de DIC25. Me llegó el correo de la confirmación de mis vacaciones para DIC25 (que efectivamente son las que había pedido, del 16-23), pero en el PBS me figura las vacaciones del 23-30. Sumado a esto tengo bloqueados los días 17-18-19-22 por entrenamiento y que además se cruzan con las fechas de vacaciones pedidas y confirmadas en el correo de soporte. Quedo atento a sus comentarios para poder solicitar días libres y vuelos (antes del cierre, día 16DIC) y no pasarme de la fecha.</t>
  </si>
  <si>
    <t>"¡Gracias por la información! Te comentamos que verificamos que las vacaciones que te corresponden para diciembre son del 16/12 al 23/12. Asimismo, te informamos que tienes programado tus reentrenamientos del 10/12 al 15/12, ¡Agradecemos mucho tu colaboración y comprensión!"</t>
  </si>
  <si>
    <t>bff328ed-LATAM-LP</t>
  </si>
  <si>
    <t>15/11/2025 19:38</t>
  </si>
  <si>
    <t>Buenas tardes, recibí un correo solicitandome manera voluntaria dejar mis vacaciones prepublicadas del 24 al 31, he respondido que no puedo y acabo de recibir un correo de confirmación de vacaciones pero sólo de la primera semana (16-23).</t>
  </si>
  <si>
    <t>Inscripción curso de seguridad no me carga en el sistema</t>
  </si>
  <si>
    <t>"""¡Gracias por la información! Te comentamos que la confirmación del bloque pendiente de tus vacaciones aún serán notificadas con 30 días de anticipación. ¡Agradecemos mucho tu colaboración y comprensión!"""</t>
  </si>
  <si>
    <t>Holaaa que tal me gustaría inscribirme para el taller del 13 pero no me permite</t>
  </si>
  <si>
    <t>Hola Sandra, esperamos te encuentres bien Si no te permite ingresar, es porque la capacidad ya alcanzó su límite y, por el momento, no contamos con cupos disponibles. Esperamos haberte ayudado</t>
  </si>
  <si>
    <t>dbd27d4c-LATAM-LP</t>
  </si>
  <si>
    <t>16/11/2025 12:29</t>
  </si>
  <si>
    <t>Por favor no puedo conectarme no puedo usar mi cuenta ninguna aplicacion es urgente</t>
  </si>
  <si>
    <t>Perdí mi vuelo de experiencia reciente para Miami y necesito que me ayuden poniéndome un vuelo en 767 para no vencerme este mes</t>
  </si>
  <si>
    <t>"""¡Gracias por la información! Te comentamos que tu fecha de vencimiento fue el 16/11, por lo que no te encuentras habilitada en esta flota. Por ello, te informamos que se estará programando tu reentrenamiento para los siguientes meses en base a la holgura operativa. ¡Agradecemos mucho tu colaboración y comprensión!"""</t>
  </si>
  <si>
    <t>Reprogramación Exámen Médico Ocupacional por código RTI del 04/05/2026 al 07/05/2026</t>
  </si>
  <si>
    <t>Hola, Cindy: Esperamos que hayas tenido un excelente día. Muchas gracias por comunicarte con nosotros. Respecto a tu consulta sobre la reprogramación, te informamos que el Examen Médico Ocupacional es parte integral de tu proceso de RTI, por lo que no existe inconveniente en que ambas actividades aparezcan programadas en las mismas fechas. Para mantener tu expediente actualizado, te solicitamos por favor que nos confirmes por este medio si lograste asistir a tu cita. Esperamos haberte ayudado.</t>
  </si>
  <si>
    <t>6ae6d23c-LATAM-LP</t>
  </si>
  <si>
    <t>16/11/2025 13:17</t>
  </si>
  <si>
    <t>Consulta sobre formulario de la RTA 01 2026, me aparece como YA RESPONDIDO pero no lo he llenado aún</t>
  </si>
  <si>
    <t>"¡Gracias por la información! Te pedimos volver a ingresar al formulario para que registre su respuesta. Esperamos que la respuesta te haya sido de gran ayuda."</t>
  </si>
  <si>
    <t>Buenas Tardes queria avisar que mi experiencia reciente en la flota B767 esta proximo a vencer (ultimo vlo 23AGO) tenia asignado mi vuelo de habilitación el dia 18NOv pero me lo acaban de retirar, por favor su apoyo programando mi vuelo de habilitación.</t>
  </si>
  <si>
    <t>Deseo saber cuál es el trámite para renovar mi licencia de vuelo de Chile que vence el 31 de enero del 2026?</t>
  </si>
  <si>
    <t>"""¡Gracias por la información! Te comentamos que hemos verificado que registraste tu habilitación en la bitácora el 18/11, por lo que te encuentras vigente para tu experiencia reciente en la flota B767. ¡Agradecemos mucho tu colaboración y comprensión!"""</t>
  </si>
  <si>
    <t>Solicitud o seguimiento de reembolso</t>
  </si>
  <si>
    <t>Sobre proceso de reembolso pasaporte; no tengo la opción.</t>
  </si>
  <si>
    <t>"¡Gracias por la información! Te comentamos que el reembolso por renovación de pasaporte se ingresa directamente en el SAP concur, en el cual deberás de crear la solicitud indicando el reembolso por renovación de pasaporte. Adjuntamos link de SAP concur: https://us2.concursolutions.com/ ¡Agradecemos mucho tu colaboración y comprensión!"</t>
  </si>
  <si>
    <t>bd41eda3-LATAM-LP</t>
  </si>
  <si>
    <t>16/11/2025 13:15</t>
  </si>
  <si>
    <t>Experiencia Reciente B767</t>
  </si>
  <si>
    <t>Buenas tardes, donde puedo solicitar el reembolso por la renovación de mi pasaporte? Gracias.</t>
  </si>
  <si>
    <t>"¡Gracias por la información! Te comentamos que para solicitar tu reembolso debes ingresar al site LP en la sección de SAP Concur y seguir las indicaciones del manual publicado. ¡Agradecemos mucho tu colaboración y comprensión!"</t>
  </si>
  <si>
    <t>Buenas tardes, estoy haciendo mi trámite de reembolso por renovación de pasaporte, pero en formulario del site mo figura la opción ( adjunto foto) saludos</t>
  </si>
  <si>
    <t>¡Gracias por la información! Te comentamos que el reembolso por renovación de pasaporte se ingresa directamente en el SAP concur, en el cual deberás de crear la solicitud indicando el reembolso por renovación de pasaporte. Adjuntamos link de SAP concur: https://us2.concursolutions.com/ ¡Agradecemos mucho tu colaboración y comprensión!</t>
  </si>
  <si>
    <t>Solicitud de reposición de equipo o uniforme</t>
  </si>
  <si>
    <t>Buenas tardes tengo pendiente una entrega urgente de balerinas como podría hacer por su apoyo</t>
  </si>
  <si>
    <t>2b9a4084-LATAM-LP</t>
  </si>
  <si>
    <t>Buen día, un gusto saludarte. Por favor, considerar que debes ingresar tu solicitud de emergencia en la plataforma Armario Latam, en la dirección : https://armlt.appslatam.com/#/login Recuerda actualizar tus datos en people manager previamente. Saludos cordiales.</t>
  </si>
  <si>
    <t>16/11/2025 18:09</t>
  </si>
  <si>
    <t>Vencimiento de Tilan: Buenas noches solicito por favor nuevo Tilan debido a vencimiento. MUCHAS GRACIAS</t>
  </si>
  <si>
    <t>Me salían cargados dos exámenes de newsletter ya realicé el que dice newsletter Perú aún me sale otro que dice región andina</t>
  </si>
  <si>
    <t>"¡Gracias por la información! Te compartimos el siguiente link para que puedas gestionar la renovación de tu fotocheck. https://www.appsheet.com/start/fc09f2b3-fd11-46ae-882b-d8ce2cb7a8d1?platform=desktop#appName=SolicitudDeCredencialesPE-501453028&amp;vss=H4sIAAAAAAAAA6WPsU7EMBBE_2Vrp4BzSOIWUZwQNCAaTLHYa8m6nH2yN8Ap8r9jwyFogXJm9Z5mV3jx9HrHaHagHtfvdE1HULBquD8eSIPScBkDpzhrEBpucX8qE1kKxuNMWUOB8iS-HEwZ1Pp7hfr_CgG-ZvbOU2q-RlfPia3nRrbiBwdFwH5hfJ7pY3zjfN6GK-v5JtqaOS0kgBOGjIZ9DFtbHf3mbJIobTc64zrZj7Ib--m8GwYah42UduovoJRqd9EsmexDfe6PT7U5bwcM9nOQwzlTeQfP0flgwwEAAA==&amp;view=Credenciales ¡Agradecemos mucho tu co</t>
  </si>
  <si>
    <t>Problema de acceso a newsletters o manuales</t>
  </si>
  <si>
    <t>Hola envie mi solicitud de renovacion de tilan, quisiera saber si fue recepcinada, porque no me llego ningun correo de confirmacion</t>
  </si>
  <si>
    <t>Hola, Hellen: Esperamos que tengas un excelente día. Muchas gracias por comunicarte con nosotros. Respecto a tu consulta sobre la renovación de tu Tilan, te brindamos la siguiente aclaración para tu tranquilidad: Te confirmamos que no se genera un correo automático de notificación; sin embargo, con el hecho de que la plataforma te haya mostrado el mensaje de formulario enviado con éxito, tu solicitud ya se encuentra correctamente recibida y considerada en nuestros registros para el proceso correspondiente.</t>
  </si>
  <si>
    <t>Trámite de fotocheck (renovación, vencimiento, estado)</t>
  </si>
  <si>
    <t>9288cd0d-LATAM-LP</t>
  </si>
  <si>
    <t>16/11/2025 18:51</t>
  </si>
  <si>
    <t>Por favor indicar Pasos para renovación de fotocheck</t>
  </si>
  <si>
    <t>"¡Gracias por la información! Ten en cuenta que la información de la renovación de tu fotocheck se encuentra disponible en el SITE para casos de LP. Te compartimos el siguiente link para que puedas gestionarlo. https://www.appsheet.com/start/fc09f2b3-fd11-46ae-882b-d8ce2cb7a8d1?platform=desktop#appName=SolicitudDeCredencialesPE-501453028&amp;vss=H4sIAAAAAAAAA6WPsU7EMBBE_2Vrp4BzSOIWUZwQNCAaTLHYa8m6nH2yN8Ap8r9jwyFogXJm9Z5mV3jx9HrHaHagHtfvdE1HULBquD8eSIPScBkDpzhrEBpucX8qE1kKxuNMWUOB8iS-HEwZ1Pp7hfr_CgG-ZvbOU2q-RlfPia3nRrbiBwdFwH5hfJ7pY3zjfN6GK-v5JtqaOS0kgBOGjIZ9DFtbHf3mbJIobTc64zrZj7Ib--m8GwYah42Uduov</t>
  </si>
  <si>
    <t>Estimados, buen día, El día 23 de octubre tenía programado mi verificación de competencia, debido a un descanso médico no pude realizar el vuelo, por favor pido su colaboración para que me programen una nueva fecha para mi LCK, quedo atenta. Muchas gracias</t>
  </si>
  <si>
    <t>Llené un formulario de renovacion fotocheck y no me llegó un correo de confirmación. Quisiera saber si el trámite ha sido admitido y está en curso para la renovación por vencimiento de fotocheck</t>
  </si>
  <si>
    <t>"¡Gracias por la información! Te recomendamos revisar este caso directamente con tu CPL o ingresar nuevamente tu solicitud en el sitio correspondiente. Ten en cuenta que nuestra área no se encarga de la gestión de fotochecks. Esperamos que la respuesta te haya sido de gran ayuda."</t>
  </si>
  <si>
    <t>"¡Gracias por la información! Te comentamos que la programación de tu verificación de la competencia para la flota A320 se realizará para el mes de diciembre.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</si>
  <si>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Vencimiento de Fotocheck: Estimados mi consulta es sobre el vencimiento de mi fotocheck, este vence el 06/2026, yo realice el tramite el día 4/05 por medio del formulario, al terminarlo me salió un mensaje que mi solicitud había sido recibida con éxito, como puedo verificar si esta todo bien con el procedimiento y que efectivamente no tendré ningún inconveniente para obtener el fotocheck nuevo. Quedo atenta gracias.</t>
  </si>
  <si>
    <t>20035b67-LATAM-LP</t>
  </si>
  <si>
    <t>17/11/2025 00:38</t>
  </si>
  <si>
    <t>Hola, Carmen: Esperamos que te encuentres muy bien. Muchas gracias por comunicarte con nosotros y por realizar tus trámites regulatorios de manera anticipada. Respecto a tu consulta sobre la validación de tu solicitud de renovación de fotocheck, te informamos que en caso de que aún no hayas recibido una comunicación oficial sobre el estado del proceso, lo recomendable es levantar tu caso directamente con Luis Gómez (luis.gomez@latam.com), Jefe de Seguridad. Él y su equipo te podrán brindar el estado exacto de tu requerimiento y asegurar que todo marche de forma correcta para la entrega de tu n</t>
  </si>
  <si>
    <t>Gestión de alta médica</t>
  </si>
  <si>
    <t>Consulta sobre reconocimientos, postulaciones y otros procesos</t>
  </si>
  <si>
    <t>Buenas tardes una consulta quisiera saber si se abriran fechas de postulacion para Tc muchas gracias</t>
  </si>
  <si>
    <t>Hola Sandra, esperamos que te encuentres muy bien. Por favor, ¿podrías brindarnos un poco más de detalle sobre tu consulta relacionada con la postulación para TC? De esta manera, podremos ayudarte de la mejor manera posible. Quedamos atentos a tu respuesta.</t>
  </si>
  <si>
    <t>Buenas tardes estimados , llene el formulario de aceptación de HR para el mes de abril y no tengo en mi correo ningún mensaje de confirmación o negación .</t>
  </si>
  <si>
    <t>413eb7ff-LATAM-LP</t>
  </si>
  <si>
    <t>Te comentamos que no recibimos la solicitud en nuestras bases y por ende no te llego una respuesta. Si es que tuvieras alguna evidencia del registro, por favor te solicitamos que nos la puedas enviar.</t>
  </si>
  <si>
    <t>17/11/2025 06:18</t>
  </si>
  <si>
    <t>Hola, mi LCK del año pasado fue en Enero, al realizar mis pedidos en el PBS, no tengo programado ningún chequeo , pongo de su conocimiento para que lo puedan programar. Saludos.</t>
  </si>
  <si>
    <t>Buenas noches, en el app de my team figura fecha actualizacion mes junio, quisiera saber como hacer para que figuren los 3 reconocimientos en la app muchas gracias quedo atenta. Importante mencionar desfase de 2 meses a mas</t>
  </si>
  <si>
    <t>Hola Sandra, esperamos te encuentres bien Para consultas sobre Myteam te brindamos el link para que puedas ingresar tu ticker: https://projectmanagement.appslatam.com/servicedesk/customer/portal/7/create/58 Esperamos haberte ayudado</t>
  </si>
  <si>
    <t>¡Gracias por la información! Te comentamos que el 01/01 te enviamos un correo informándote los vencimiento de tus actividades regulatorias. Con respecto a tu verificación de la competencia, te informamos que, dado que tu mes base es febrero y según lo establecido en la RAP 63, esta actividad puede ser programada dentro de un período de elegibilidad que comprende 30 días antes, durante y después de tu mes base. Por lo tanto, esta podrá ser agendada tanto en enero como en marzo,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</si>
  <si>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Curso Svc</t>
  </si>
  <si>
    <t>f9352b0a-LATAM-LP</t>
  </si>
  <si>
    <t>17/11/2025 16:42</t>
  </si>
  <si>
    <t>Gracias</t>
  </si>
  <si>
    <t>Buenas tardes, quisiera saber hasta cuando debería esperar la confirmación de vacaciones? Yo solicite del 16 al 31 de Diciembre, entiendo que por la operación están teniendo problema pero llega este correo después de perder la posibilidad de pedir libre en Navidad, al tener el pre publicado no solicité libre en Navidad porque en 17 años nunca me había pasado que no me confirmaran y pense en que compañeros pudieran pedir sus libres esas fechas porque yo había pedido vacaciones, es triste que me den solo una fecha que al no tener del 24 al 31 ya no tiene motivo de salir de vacaciones, porque mis intenciones era viajar a Cusco con mi familia parabpasar Navidad, y ahora ya no me sirven al no tener confirmadas las fechas por las que viajaba, me quede sin posibilidad de solicitar mi libre en Navidad también, quisiera saber si al no recibir la confirmación del 24 al 31 significa que ya no me darán las vacaciones o si aún hay alguna posibilidad? gracias</t>
  </si>
  <si>
    <t>hola anthony</t>
  </si>
  <si>
    <t>Reporte de error de contenido en una evaluación</t>
  </si>
  <si>
    <t>"""¡Gracias por la información! Te comentamos que la confirmación del bloque pendiente de tus vacaciones serán notificadas con 30 días de anticipación. ¡Agradecemos mucho tu colaboración y comprensión!"""</t>
  </si>
  <si>
    <t>Evaluación B767, aparece una pregunta donde las alternativas no están correctas. Pregunta cuántos baños hay en un 767, y no indica la respuesta correcta.</t>
  </si>
  <si>
    <t>"¡Gracias por la información! Te informamos que tras revisar la pregunta adjunta, confirmamos que la respuesta correcta no figuraba entre las alternativas, tal como mencionaste. Por ello, hemos validado tu respuesta y actualizado tu calificación a 100 en nuestro sistema. Asimismo, te comentamos que el cambio no se reflejará en la academia (seguirá figurando 90), pero el ajuste ya es válido internamente. ¡Agradecemos mucho tu colaboración y comprensión!"</t>
  </si>
  <si>
    <t>fd3c8fb2-LATAM-LP</t>
  </si>
  <si>
    <t>17/11/2025 19:03</t>
  </si>
  <si>
    <t>Devolucion de alimentos con 3 horas de espera</t>
  </si>
  <si>
    <t>"¡Gracias por la información! Te comentamos que para solicitar tu reembolso debes ingresar al site LP en la sección de SAP Concur y seguir las indicaciones del manual publicado. Esperamos que la respuesta te haya sido de gran ayuda."</t>
  </si>
  <si>
    <t>Buenas noches ,estoy apoyando en oficina por maternidad, quiero salir 7 dias de vacaciones del 26/11 al 03//12/2025. Por favor gracias. Mi coordinadora y jefa de tc ya las autorizaron Gracias.</t>
  </si>
  <si>
    <t>Devolution de dinero por gastos desayuno en Ato ROS.vlo demorado y cxld</t>
  </si>
  <si>
    <t>Espera en el aeropuerto de cusco: llegada al ato 9am salida etd 11:25 LA2014</t>
  </si>
  <si>
    <t>3ed576a9-LATAM-LP</t>
  </si>
  <si>
    <t>17/11/2025 19:12</t>
  </si>
  <si>
    <t>LC03</t>
  </si>
  <si>
    <t>Consulta acerca de pago incompleto en edenred</t>
  </si>
  <si>
    <t>Me han depositado s/.165 el 20 dejulio, sin embsrgo</t>
  </si>
  <si>
    <t>464f6d44-LATAM-LP</t>
  </si>
  <si>
    <t>17/11/2025 19:58</t>
  </si>
  <si>
    <t>Buenos días , quisiera saber porque no se me realizó el deposito en la tarjeta edenred, muchas gracias .</t>
  </si>
  <si>
    <t>Hola, Melany: Esperamos que te encuentres muy bien. Muchas gracias por comunicarte con nosotros y por hacernos llegar tu consulta. Respecto a tu duda sobre el depósito en tu tarjeta Edenred, te informamos que hemos revisado tu estado y se evidencia que desde el pasado 1 de abril diste inicio a tu periodo de licencia por maternidad. Por tal motivo durante el transcurso de dicha licencia no se contempla la asignación ni el pago por los conceptos de vales de alimentación. Agradecemos mucho tu comprensión y quedamos a tu disposición si tienes alguna otra consulta sobre tus procesos de soporte. Sal</t>
  </si>
  <si>
    <t>Buenas noches, el jueves 20/11 tenia programado LCK de Airbus pero estoy con descanso médico hasta el 21/11; les pido por favor su ayuda con la reprogramación del LCK Airbus ya sea para Noviembre o para el rol de Diciembre. De antemano muchas gracias por su ayuda y disculpen la molestia.</t>
  </si>
  <si>
    <t>Consulta sobre entrega, renovación o cambio de tarjeta</t>
  </si>
  <si>
    <t>Hola! Quisiera saber cuándo me proporcionarán la tarjeta EDENRED, por favor, cómo es el proceso? Muchas gracias.</t>
  </si>
  <si>
    <t>Estimada, Debe gestionarlo directamente con RH.</t>
  </si>
  <si>
    <t>Tarjeta Edenred : nos indicaron que nosotros tendríamos la tarjeta edenred al sexto mes. En este caso mi duda es si es acumulativo ? O inicia desde 0 en julio ?</t>
  </si>
  <si>
    <t>0bfa0eec-LATAM-LP</t>
  </si>
  <si>
    <t>18/11/2025 10:08</t>
  </si>
  <si>
    <t xml:space="preserve">Hola, Elizabeth: Esperamos que te encuentres muy bien. Muchas gracias por comunicarte con nosotros y por hacernos llegar tus dudas respecto a tus beneficios. En relación a tu consulta sobre las condiciones y la entrega de tu tarjeta de alimentación Edenred al cumplir el sexto mes, te informamos que este procedimiento debe ser revisado y gestionado directamente a través del portal de RH Connect. Debido a que los temas vinculados con la administración de beneficios de alimentación, validación de tiempos de antigüedad corporativa y asignaciones de saldos corresponden al área de Recursos Humanos, </t>
  </si>
  <si>
    <t>Buenos dias hoy era mi line check y el instructor no vino estoy con prorroga van 2 veces x favor no quiero perder la licencia</t>
  </si>
  <si>
    <t>Buen día hice cambio de tarjeta por vencimiento. Se me dijo que desde el 1 de agosto todo depósito se haría a la nueva tarjeta y la anterior quedaría obsoleta, pero veo que sigue activa y se ha hecho un depósito. Cómo puedo pasar el saldo a la nueva tarjeta?</t>
  </si>
  <si>
    <t>Estimado, Por este medio no contamos con la información sobre la nueva tarjeta, debe realizar su consulta a RH.</t>
  </si>
  <si>
    <t>Consulta o reclamo por otros pagos variables (HR, bono, viáticos)</t>
  </si>
  <si>
    <t>"""¡Gracias por la información! Te comentamos que hemos mapeado cupos disponibles para poder recuperar tu line check, por lo que la fecha que te podemos asignar es el 25/11, en el cual requerimos de tu confirmación debido a que afectaría los vuelos a CUZ y GIG. ¡Agradecemos mucho tu colaboración y comprensión!"""</t>
  </si>
  <si>
    <t>Pago en perusuyo por reserva en aeropuerto</t>
  </si>
  <si>
    <t>8f2aea88-LATAM-LP</t>
  </si>
  <si>
    <t>18/11/2025 11:05</t>
  </si>
  <si>
    <t>Hola, realice un vuelo 26-27 de agosto como HR, y no se me ha pagado.</t>
  </si>
  <si>
    <t>"¡Gracias por la información! Te comentamos que se realizará la regularización por 7.28 horas como HR. ¡Agradecemos mucho tu colaboración y comprensión!"</t>
  </si>
  <si>
    <t>Verificacion de competencia 787 . Buenos dias pata informarles que por motivos de medicacion tengo que esperar 8 dias los cuales perderia mi chekeo del dia 26/11/2025 vuelo La2697 para que me puedan programar para el mes de diciembre si es posible ya que mi vencimiento sale el 31/12/2025 muchas graciaa</t>
  </si>
  <si>
    <t>Hola, quisera saber porque no me llegan los correos de postulacion para mes completo de HR</t>
  </si>
  <si>
    <t>Consulta general sobre el vale de alimentación sin detalle</t>
  </si>
  <si>
    <t>Solicitud Vale vuelo LA2271-LA2007 (1:46 hrs entre vuelos)</t>
  </si>
  <si>
    <t>Hola, Carlos: Esperamos que tengas un excelente día. Muchas gracias por comunicarte con nosotros. Respecto a tu solicitud para la emisión del vale de alimentación por la conexión de tus vuelos LA2271 y LA2007, te brindamos la siguiente orientación: Te informamos que la gestión, aprobación y entrega de estos beneficios son administradas de manera exclusiva por el equipo de Sala de Tripulantes en el aeropuerto. "Sala.tripulantes@latam.com" Debido a que nosotros no contamos con las facultades en el sistema para generar dichos vales, te sugerimos acercarte o contactar directamente con ellos cuando</t>
  </si>
  <si>
    <t>0ca12d63-LATAM-LP</t>
  </si>
  <si>
    <t>18/11/2025 11:04</t>
  </si>
  <si>
    <t>Buenos días , qué tal ? Es sobre la edenred, yo soy movimiento interno, en este caso como seria ?</t>
  </si>
  <si>
    <t>Verificacion se competencia 787</t>
  </si>
  <si>
    <t>"¡Gracias por tu mensaje!. Te comentamos que el pago se realizará a raiz de la operación que se te asigne a partir del 15/12. Asimismo, te informamos que el pago se realiza a mes cerrado, por lo cual estarías recibiendo el depósito de las operaciones de diciembre en el mes de enero. ¡Agradecemos mucho tu colaboración y comprensión!"</t>
  </si>
  <si>
    <t>Saque cita para renovacion de mi edenred pero no asisti debido a que se me paso la fecha. Quisiera saber como hacer para or a recogef la edenred</t>
  </si>
  <si>
    <t>Estimado, Debe comunicarse con RH para que lo puedan ayudar.</t>
  </si>
  <si>
    <t>Consulta sobre detalle o histórico de abonos</t>
  </si>
  <si>
    <t>f43443d6-LATAM-LP</t>
  </si>
  <si>
    <t>18/11/2025 13:25</t>
  </si>
  <si>
    <t>Deseo saber el detalle de pago de edenred del mes de enero y febrero 2026</t>
  </si>
  <si>
    <t xml:space="preserve">¡Gracias por la información! Te informamos que el pago comprendió los siguientes Bonos. ENERO Bono Cumplimiento de Rol: 15% de tu remuneración básica. Esto se debe a que tuvo un total de 2 días de descanso médico en enero. Bono Demora: 3.12 hrs, lo que equivale S/ 116.38 Bono Operación NB: S/. 102.93. DICIEMBRE Bono Cumplimiento de Rol: 20% de tu remuneración básica, el cual equivale a S/ 232.40. Bono Demora: 1.28 hrs, lo que equivale S/ 47.74 Bono Operación NB: S/. 265.62. En caso desees consultar por este bono, debes comunicarte con Osmar Neves. Es importante resaltar que la información del </t>
  </si>
  <si>
    <t>Estimados, acabo de realizar el curso virtual Emergencias Generales en la Academia Corporativa y he obtenido nota 90. Solicito que por favor se revisen mis respuestas, ya que considero que la nota obtenida debió haber sido 100. Cuento con las capturas de pantalla de las preguntas y respuestas. Quedo atenta a su respuesta, muchas gracias.</t>
  </si>
  <si>
    <t>Me han depositado una cantidad mucho menor a lo que regularmente me depositan en edenred, 169,97, necesito saber cual es el motivo exacto y el detalle</t>
  </si>
  <si>
    <t>Donde puedo ver el detalle de lo abonado en edenred, ya que tenia vales generados y no tengo conocimiento si fueron abonados correctamente, muchas gracias</t>
  </si>
  <si>
    <t>9405c025-LATAM-LP</t>
  </si>
  <si>
    <t>Estimada, Se consideraron 60 soles por los vales generados.</t>
  </si>
  <si>
    <t>18/11/2025 17:03</t>
  </si>
  <si>
    <t>Cursos online</t>
  </si>
  <si>
    <t>RV09</t>
  </si>
  <si>
    <t>Buenas tardes el sap concur no me permite ingresar una solicitud de reembolso</t>
  </si>
  <si>
    <t>¡Gracias por la información! Te comentamos que el canal para realizar este tipo de consultas sería a través de tu CPL o directamente con Yoko Noborikawa vía correo Esperamos que la respuesta te haya sido de gran ayuda.</t>
  </si>
  <si>
    <t>Buenos dias, por favor me puedan ayudar, creo que ha habido una equivocacion, me han depositado una cantidad muy baja este ultimo deposito, por favor si lo pueden corregir.</t>
  </si>
  <si>
    <t>645c7ccc-LATAM-LP</t>
  </si>
  <si>
    <t>Hola, Ingrid: Esperamos que te encuentres muy bien. Muchas gracias por comunicarte con nosotros y por hacernos llegar tu consulta para revisar tu liquidación. Respecto a tu reclamo sobre el monto abonado en tu último depósito de variables, te informamos que hemos procedido a verificar el estado de tus registros. Durante el mes de abril registraste 3 Descansos Médicos (DMs), con lo cual sumaste un total de 6 DMs en lo que va del año; debido a esto, bajo la política vigente, te corresponde la asignación del 10% del bono de cumplimiento de rol. Asimismo, te informamos que en dicho periodo no cont</t>
  </si>
  <si>
    <t>18/11/2025 17:06</t>
  </si>
  <si>
    <t>cursos online</t>
  </si>
  <si>
    <t>El deposito fué inferior a lo que me depositan mensual</t>
  </si>
  <si>
    <t>"¡Gracias por la información! Te informamos que el pago comprendió los siguientes Bonos. Bono Cumplimiento de Rol: 10% de tu remuneración básica. Esto se debe que en el mes de octubre contó con 2 días de descanso médico, por lo que estaría acumulando en el año un total de 6 días, lo cual su bono de cumplimiento de rol se vio afectado en su pago. Bono Operación NB: S/. 13.39. En caso desees consultar por este bono, debes comunicarte con Osmar Neves. ¡Agradecemos mucho tu colaboración y comprensión!"</t>
  </si>
  <si>
    <t>Consulta sobre el proceso o canal del trámite</t>
  </si>
  <si>
    <t>Buenas tardes, tengo una consulta a cerca del pago de horas de vuelo donde fui activada como HR en febrero LA2375 del 09/02/26 LA2376 del 12/02/26 Esto no se ve reflejado en mi boleta de pago de marzo. Agradecería me aclaren cuando debería ser efectuado el pago por bonificación HR de estos vuelos realizados en febrero. Quedo atenta Gracias</t>
  </si>
  <si>
    <t>¡Gracias por la información! Te comentamos que el pago será regularizado en la boleta de este mes (Abril). Esperamos haberte ayudado</t>
  </si>
  <si>
    <t>93cc8c90-LATAM-LP</t>
  </si>
  <si>
    <t>Estimados buenas tardes. Yo tenía reva programada para Septiembre pero por descanso médico no lo pude tomar, me o han reprogramado y debo hacer los cursos de la academia pero solo tengo los antiguos (los que me cargaron inicialmente) pero están vencidos, no hay problema? o deben cargarme nuevos cursos (vigentes)? Gracias por su atención.</t>
  </si>
  <si>
    <t>Quiero juntar mis vacaciones con mi licencia post parto</t>
  </si>
  <si>
    <t>duplicado</t>
  </si>
  <si>
    <t>Buenas tardes , tengo vacaciones en marzo y desearìa tomar mis vacaciones al final de mi periodo de maternidad.Muchas Gracias</t>
  </si>
  <si>
    <t>"¡Gracias por la información! Estaremos considerando su solicitud. Esperamos que la respuesta te haya sido de gran ayuda."</t>
  </si>
  <si>
    <t>Buenas tardes tengo vacaciones a fin de mes. Hable con mi Cpl y me dijo q me comunique con ustedes para aplazarlas y tenerlas hasta q termine mi natalidad</t>
  </si>
  <si>
    <t>Espera de documentación para el no apto médico</t>
  </si>
  <si>
    <t>¡Gracias por tu mensaje!. Te comentamos que puedes completar los cursos que tienes colgados de la Academia. ¡Agradecemos mucho tu colaboración y comprensión!</t>
  </si>
  <si>
    <t>Intento ingresar al formulario para adjuntar mi constancia de NO APTO, pero me sale YA NO SE ACEPTAN MAS RESPUESTAS EN EL FORMULARIO NO APTO</t>
  </si>
  <si>
    <t>34ea3d16-LATAM-LP</t>
  </si>
  <si>
    <t>Hola, Header: Gracias por ponerte en contacto con nosotros. Te confirmamos que el formulario que intentabas utilizar ya no se encuentra vigente. Te compartimos el formulario que se encuentra habilitado actualmente para que puedas adjuntar tu documentación sin inconvenientes: "https://forms.gle/kacTrtP44NjMTvzj8" Esperamos haberte ayudado!</t>
  </si>
  <si>
    <t>18/11/2025 18:49</t>
  </si>
  <si>
    <t>Vencimiento Vacaciones - Buenas tardes, el motivo de mi consulta es para recibir información acerca del vencimiento de mis vacaciones, ya que cuento con 30 días para tomar VAC antes de mi fecha de vencimiento, la cual es el 04-03-26. En este caso, tanto mi pre y mi post Natal comprende desde el 15/12/25 hasta 22/03/26. Se correrá mi licencia para que pueda tomar mis vacaciones antes del vencimiento o como se maneja ello? Muchas Gracias. Quedo atenta</t>
  </si>
  <si>
    <t>NA02</t>
  </si>
  <si>
    <t>Buenas tardes. Consulta, estuve esperando que me envíen algún documento para poder completar mi formulario de no apto. Llamé para consultar y me indicaron que no me enviarán algún documento adicional, únicamente el correo donde el doctor indica la validez de la gestación. Quisiera consultar si con ello es suficiente para completar mi formulario. Quedo atenta. Gracias.</t>
  </si>
  <si>
    <t>Hola, Maytee: Esperamos que te encuentres muy bien. Muchas gracias por comunicarte con nosotros y por consultarnos sobre este paso de tu proceso. Respecto a tu consulta, te informamos que no es necesario que esperes un documento adicional, debido a que la Clínica Los Andes se encarga de reportar directamente el "no apto" ante la DGAC. Por lo tanto, ya no es requerido que realices el paso 2 que se detallaba en las instrucciones del correo enviado bajo el asunto "Bajada a Tierra LP - TC - HIDALGO AMARO MAYTEE DAYANA". Puedes proceder con total tranquilidad a continuar directamente con las indica</t>
  </si>
  <si>
    <t>¡Gracias por tu mensaje!.Te comentamos que te estaremos enviando tu línea de retorno con la información de tu fecha pre-natal, post-natal, lactancia y vacaciones. ¡Agradecemos mucho tu colaboración y comprensión!</t>
  </si>
  <si>
    <t>Consulta o seguimiento de la línea de retorno y reincorporación</t>
  </si>
  <si>
    <t>Hola tengo pendiente mi vuelo de recalificacion</t>
  </si>
  <si>
    <t>Informativo porque se envió correo con la información del chequeo</t>
  </si>
  <si>
    <t>7004fecb-LATAM-LP</t>
  </si>
  <si>
    <t>18/11/2025 18:54</t>
  </si>
  <si>
    <t>Buenas tardes. Quisiera recibir información acerca del procedimiento de la solicitud de días de Lactancia. Ello deberia revisarlo con directamente con uds o a traves de mi CPL? Quedo atenta. Muchas gracias</t>
  </si>
  <si>
    <t>Buen día estoy retornando de natalidad, me indicaron hoy retornaba pero mi rol todo sigue saliendo OPC excepto por mis DO. Quedo atenta.</t>
  </si>
  <si>
    <t>NA05</t>
  </si>
  <si>
    <t>""Hola Camila, Esperamos que te encuentres muy bien. Muchas gracias por comunicarte con nosotros y por hacernos llegar tu consulta para verificar tu estado en el sistema. Te notificamos que el equipo de Recovery ya asignó tus vuelos y reservas correspondientes a este mes de manera progresiva. Saludos cordiales,"""</t>
  </si>
  <si>
    <t>INformativo</t>
  </si>
  <si>
    <t>Quisiera saber cuando sería el retorno a línea ,es decir cuando empezaría mi curso de re entrenamiento para retornar a línea ,si me podrían enviar lás fechas específicas .gracias</t>
  </si>
  <si>
    <t>¡Hola Sandra! ¿Cómo estas? Su RTI esta programado para la tercera semana del mes de septiembre; después de ello se programarán sus Chequeos en Vuelo. (podría ser entre la última semana del mes o las primeras del mes siguiente). Asimismo se envíará un correo con su linea de retorno correspondiente. Por favor recuerdas que las fechas que se envían son tentantivas</t>
  </si>
  <si>
    <t>2ad74043-LATAM-LP</t>
  </si>
  <si>
    <t>Solicitud de rol sin pernoctes al retorno a línea</t>
  </si>
  <si>
    <t>19/11/2025 05:43</t>
  </si>
  <si>
    <t>Estimados señores : Quisiera por favor dejar SIN efecto mi pedido de Rol Sin Perncotes</t>
  </si>
  <si>
    <t>"¡Gracias por la información! Te comentamos que se considerará la solicitud mencionada a partir del rol de marzo. Esperamos que la respuesta te haya sido de gran ayuda."</t>
  </si>
  <si>
    <t>Estimados espero que se encuentren muy bien,por favor si podrían confirmarme mis vacaciones del 24 al 31 de diciembre se los agradecería ya que el año pasado no pude obtener ningún cupo y me indicaron que esperemos pero pese a eso tampoco conseguí cupo y me encuentro de duelo y deseo pasarla en casa por favor..espero puedan ayudarme ya que las vacaciones anteriores no pude obtenerlas y así periodos sucesivos...muchas gracias</t>
  </si>
  <si>
    <t>"¡Gracias por la información! Te comentamos que la confirmación del bloque pendiente de tus vacaciones serán notificadas con 30 días de anticipación. ¡Agradecemos mucho tu colaboración y comprensión!"</t>
  </si>
  <si>
    <t>Rol sin pernoctes: Estimados por favor a mi retorno a línea solicito un rol sin pernoctes por favor, ya que no tengo con quien dejar a mi bebé. Muchas gracias</t>
  </si>
  <si>
    <t>22004901-LATAM-LP</t>
  </si>
  <si>
    <t>19/11/2025 11:11</t>
  </si>
  <si>
    <t>Hola buenos dias, actualmente me encuentro en licencia por maternidad. Quisiera solicitar que en mi retorno a linea no me programen pernoctes hasta que mi hijo cumpla un año. Quedo atenta a su respuesta.</t>
  </si>
  <si>
    <t>Hola cómo están, quisiera saber cuándo me re programarían mi apto médico lo tenía para el 17 de noviembre pero al sentirme mal fui al doctor y me dieron medicamentos, recibí dos días de descanso 17 y 18 pero hasta ahora no obtengo respuesta de mi re programación para volver a línea, quiero que sepan que tomé pastillas hasta el día de hoy 19 de noviembre, lo menciono para no verme afectada en mi apto, muchas gracias.</t>
  </si>
  <si>
    <t>¡Gracias por la información! Se tomará en cuenta tu solicitud. Esperamos que la respuesta te haya sido de gran ayuda.</t>
  </si>
  <si>
    <t>Consulta general sobre el proceso de natalidad sin detalle</t>
  </si>
  <si>
    <t>Buenas tardes quiero solicitar el beneficio de no tener pernoctes cuando regrese de mi licencia porfavor</t>
  </si>
  <si>
    <t>dc7f5102-LATAM-LP</t>
  </si>
  <si>
    <t>Estimados señores : con fecha 8 de oct 2025 solicité que debido a la vuelta de maternidad se me considere no tener pernoctes para el mes de DICIEMBRE (adjunto foto de correo) sin embargo, el embargo el mes de enero no tuve ningún pernocte programado en mi rol. Entendí que podía deberse a algún error y envié una solicitud para que se me considere un rol normal el mes de febrero siendo la respuesta que recién se me podría considerar para marzo. Quisiera por favor tener en consideración que mi solicitud inicial sólo fue para el mes de diciembre. Agradezco de antemano la atención.</t>
  </si>
  <si>
    <t>19/11/2025 11:14</t>
  </si>
  <si>
    <t>"¡Gracias por la información! Te comentamos que hemos revisado tu caso y se realizará la gestión correspondiente para que puedan deshabilitar la protección de rol sin pernoctes a patir del rol de febrero. Esperamos que la respuesta te haya sido de gran ayuda."</t>
  </si>
  <si>
    <t>Hola cómo están, yo me vencí debido a mi operación de apéndice, quisiera saber si hay una manera de poder extender mi plazo para poder tomar mi Linecheck de Boing y Airbus y así no vencerme porfavor se los agradecería mucho.</t>
  </si>
  <si>
    <t>LK04</t>
  </si>
  <si>
    <t>"¡Gracias por la información! Te comentamos que es necesario que cuentes con un levantamiento de tu no apto para comenzar con la recuperación de tus capacitaciones. ¡Agradecemos mucho tu colaboración y comprensión!"</t>
  </si>
  <si>
    <t>Estimados, ya llene el formulario de lactantes donde me piden mi fecha de parto e inicio y fin de licencia de maternidad. Quiero recalcar que las fechas son aproximadas ya que la fecha de parto puede variar y con ello el inicio de mi licencia. Muchas gracias.</t>
  </si>
  <si>
    <t>"¡Gracias por la información! Te informamos que quedaremos atentos cuando reporte su licencia de maternidad para poder armar su línea de retorno con anticipación. ¡Agradecemos mucho tu colaboración y comprensión!"</t>
  </si>
  <si>
    <t>74885d9b-LATAM-LP</t>
  </si>
  <si>
    <t>19/11/2025 15:52</t>
  </si>
  <si>
    <t>Notificación de estado de gestación</t>
  </si>
  <si>
    <t>Buenas tardes, reciban un cordial saludo. Mi consulta es ya que estuve bajada en tierra por mi apto médico (el cual ya lo tengo en físico e hice el correspondiente acuse de recibido) sin embargo aún no tengo vuelos este mes. Quisiera saber si esto se debe a la REVA que perdí? Muchas gracias y disculpe las molestias.</t>
  </si>
  <si>
    <t>RO08</t>
  </si>
  <si>
    <t>Buenas tardes, Por medio del presente, quisiera informarles que me encuentro en estado de gestación, conforme a un resultado positivo de análisis de sangre realizado recientemente. Quedo atenta a las indicaciones o procedimientos correspondientes.</t>
  </si>
  <si>
    <t>"¡Gracias por la información! Te comentamos que te estarán notificando tu retorno a rol el 22 de noviembre. ¡Agradecemos mucho tu colaboración y comprensión!"</t>
  </si>
  <si>
    <t>Estimados/as, Por medio del presente, deseo manifestar mi interés en continuar desempeñándome en jornada a tiempo completo, manteniendo mi disponibilidad y compromiso laboral con la empresa. No obstante, al encontrarme actualmente en estado de gestación y presentar una condición médica que implica un embarazo con mayor riesgo, según informe de mi médico tratante (el cual adjunto), solicito se pueda evaluar la posibilidad de asignación a una modalidad remota, de existir algún área que requiera este tipo de apoyo. La presente solicitud se sustenta en la recomendación médica de evitar traslados y</t>
  </si>
  <si>
    <t>"¡Gracias por la información! Te pedimos que la coordinación directa lo debes canalizar con tu jefe en tierra. Esperamos que la respuesta te haya sido de gran ayuda."</t>
  </si>
  <si>
    <t>24c8b453-LATAM-LP</t>
  </si>
  <si>
    <t>19/11/2025 17:41</t>
  </si>
  <si>
    <t>Buenos días, me mandaron correo con los codigos de reserva para mi chequeo LATAM en B767 pero al ingresar en el app y pagina web el del vuelo de retorno LA2481 me sale que no lo encuentran</t>
  </si>
  <si>
    <t>Buenas tardes, escribo para comentar que este 30 de Noviembre vence mi Licencia chilena y aún no recibo el correo con la actualización para poder imprimirla. Imagino que lo tienen mapeado pero de igual manera lo hago presente. Gracias!! Lucia Mejía BP4217078</t>
  </si>
  <si>
    <t>Buenas tardes, un gusto saludarlos. Para comentar que tengo pendiente mi chequeo DGAC de habilitación B767, espero por favor me consideren la reprogramación lo mas pronto poible. Gracias, saludos cordiales!</t>
  </si>
  <si>
    <t>¡Gracias por la información! Te comentamos que la asignación de tus chequeos se te va a programar en los siguientes meses en base a la holgura operativa.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gestionarlo. Esperamos que la respuesta te haya sido de gran ayuda.</t>
  </si>
  <si>
    <t>a177b23a-LATAM-LP</t>
  </si>
  <si>
    <t>Chequeo DGAC ; buenas tardes soy Melissa Cabanillas BP6014173 y quisiera consultar cuando me.estarian programando mi chequeo DGACb767 ya que me indicaron que me estarían programando la.primera semana de marzo sin embargo ya salio el rol y no aparece mi chequeo programado.</t>
  </si>
  <si>
    <t>20/11/2025 17:01</t>
  </si>
  <si>
    <t>"¡Gracias por la información! Te comentamos que se te estará programando tu chequeo antes de su fecha de vencimiento el cual será informado por correo. Esperamos que la respuesta te haya sido de gran ayuda."</t>
  </si>
  <si>
    <t>Solicitud de cupo o programación del curso de transición</t>
  </si>
  <si>
    <t>Buen día quisiera saber cuando me podrían reprogramar mi curso de transición a boeing ,ya tengo mi visacrew</t>
  </si>
  <si>
    <t>Hola, Daysi: Esperamos que hayas tenido un excelente día. Muchas gracias por tu comunicación y por confirmarnos que ya cuentas con tu visacrew. Al respecto, te informamos que tu solicitud está siendo tomada en consideración para las próximas planificaciones. El curso de transición a Boeing será programado más adelante, de acuerdo con la disponibilidad de cupos y las necesidades operacionales. Una vez que tengamos una fecha asignada, los detalles serán notificados a través del correo. Esperamos haberte ayudado!</t>
  </si>
  <si>
    <t>Buen día en nov-dic no pase el curso de Boeing, mi consulta es cuando aproximadamente habría otro cupo para poder llevar el curso nuevamente</t>
  </si>
  <si>
    <t>"¡Gracias por la información! Te comentamos que se te estará programando tu curso en tierra según disponibilidad de instructores y holgura operativa. Asimismo, te comentamos que para que se te pueda programar al curso, deberás contar con tu visa actualizada. Esperamos que la respuesta te haya sido de gran ayuda."</t>
  </si>
  <si>
    <t>fddedc3b-LATAM-LP</t>
  </si>
  <si>
    <t>19/11/2025 18:29</t>
  </si>
  <si>
    <t>Buenos días, será posible saber la fecha aproximada para llevar mi curso del 767. Teniendo en cuenta, que ya actualicé mi visa crew, solo falta esperar la confirmación. Muchas gracias</t>
  </si>
  <si>
    <t>Mi chequeo LATAN para flota 767 fue cancelado por ilegalidad, espero reprogramación</t>
  </si>
  <si>
    <t>TR01</t>
  </si>
  <si>
    <t>¡Gracias por la información! Te comentamos que se te estará programando tu curso en tierra según disponibilidad de instructores y holgura operativa. Esperamos que la respuesta te haya sido de gran ayuda.</t>
  </si>
  <si>
    <t>Reprogramación de chequeo perdido o retirado</t>
  </si>
  <si>
    <t>"¡Gracias por la información! Te comentamos que tenemos mapeado tu caso, por lo que estaremos asignando tu chequeo latam y DGAC en los siguientes meses en base a la holgura operativa. ¡Agradecemos mucho tu colaboración y comprensión!"</t>
  </si>
  <si>
    <t>5a16c22e-LATAM-LP</t>
  </si>
  <si>
    <t>20/11/2025 00:07</t>
  </si>
  <si>
    <t>Me han programado el chequeo DGAC de Boeing767 a MIA del 17-18 de abril, pero todavía no he tenido mi chequeo Latam. El chequeo lo perdí por DM.</t>
  </si>
  <si>
    <t>¡Gracias por la información! Te comentamos que se procedio con el retiro de la asignación, por lo que estaremos asignando tu chequeo latam y DGAC en los siguientes meses en base a la holgura operativa. Esperamos que la respuesta te haya sido de gran ayuda.</t>
  </si>
  <si>
    <t>ED04</t>
  </si>
  <si>
    <t>Chequeo DGAC b767 , buenas noches en el mes de Febrero tenia programado mi vuelo de chequeo DGAC del B767 sin embargo me lo retiraron y me dijeron que me lo programarian las primeras semanas de Marzo. Y hasta la fecha no me han programado nada, quisiera saber si para el mes de abril me pondrian mi chequeo , ya que teniendo fecha programada me movieron varias veces el chequeo para al final cancelarmelo y decirme que tendría prioridad y que me lo programarian lo mas pronto posible. Espero su respuesta muchas gracias</t>
  </si>
  <si>
    <t>¡Gracias por la información! Te comentamos que no fue posible programarle su Chequeo en este mes, debido al impacto que podiamos tener en la operción. Comentarle que hemos solicitado la programación del Chequeo para el mes de Abril. Esperamos que la respuesta te haya sido de gran ayuda.</t>
  </si>
  <si>
    <t>Consulta general sobre la transición de flota sin detalle</t>
  </si>
  <si>
    <t>1e5ad8a4-LATAM-LP</t>
  </si>
  <si>
    <t>20/11/2025 06:41</t>
  </si>
  <si>
    <t>Deseo ser agendada para mi chequeo boeing 767 inicicial</t>
  </si>
  <si>
    <t>¡Gracias por la información! Te comentamos que la asignación de tus chequeos se te va a programar en los siguientes meses en base a la holgura operativa.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gestionarlo. ¡Agradecemos mucho tu colaboración y comprensión!</t>
  </si>
  <si>
    <t>ZZ02</t>
  </si>
  <si>
    <t>Retorne de dm prolongado en diciembre y todavia no me han puesto el curso para habilitacion de Boeing 767, necesito mi habilitacion porfavor, muchas gracias.</t>
  </si>
  <si>
    <t>ad73d31f-LATAM-LP</t>
  </si>
  <si>
    <t>Lleve mi curso de boing en octubre del año pasado, presente mi vida en abril de este año y hasta el momento no me programan chequeo para habilitarme en boing.</t>
  </si>
  <si>
    <t>20/11/2025 09:47</t>
  </si>
  <si>
    <t>Estimados, quisiera su apoyo en programar la cita para la actualizacion de mi certificafo medico que esta por vencer el 30/11/2025</t>
  </si>
  <si>
    <t>Consulta sobre estado de la habilitación</t>
  </si>
  <si>
    <t>AM09</t>
  </si>
  <si>
    <t>Quisiera reforzar la reprogramación de chequeo 76, para evitar el vencimiento del curso, ya que no fue considerado en el rol del mes siguiente.</t>
  </si>
  <si>
    <t>¡Gracias por la información! Te comentamos que se te estará programando tu chequeo antes de su fecha de vencimiento. Asimismo, te informamos que para el mes de Diciembre y Enero no se está considerando ningún chequeo de Transición 767. Esperamos que la respuesta te haya sido de gran ayuda.</t>
  </si>
  <si>
    <t>"¡Gracias por la información! Dado que te encuentras con descanso médico prolongado, primero debes contar con la alta médica de salud laboral y luego se te debe agendar en la clínica Los Andes. ¡Agradecemos mucho tu colaboración y comprensión!"</t>
  </si>
  <si>
    <t>Hola, hace poco consulte sobre mi estado en la flota B767 ya quee estuve fuera de vuelo por maternidad. Me dijeron que requeria un curso de tansicion. Queria saber para aproximadamente cuando o en cuanto tiempo me lo estarian progamando. Gracias!</t>
  </si>
  <si>
    <t>e248eff9-LATAM-LP</t>
  </si>
  <si>
    <t>20/11/2025 10:05</t>
  </si>
  <si>
    <t>Consulta sobre requisitos (visa crew) para el chequeo</t>
  </si>
  <si>
    <t>Chequeo boing, buenas tardes tuve el curso en tierra en mayo pero la visa me la negaron, actualmente ya la conseguí su apoyo para ser chequeada y no perder el curso bp 06009020</t>
  </si>
  <si>
    <t>LC09</t>
  </si>
  <si>
    <t>Chequeo en 767, una consulta me negaron la visa de tripulante en Mayo 2025 y ese mismo mes tuve el curso en tierra. No fui chequeada en ninguna ruta por motivo de mi visa. Ahora, conseguí la visa de tripulante ese mes 2026 y quisiera pedir su apoyo para que me chequeen en Mayo para no vencerme y poder ser bi habilitada</t>
  </si>
  <si>
    <t>Estimada Sandra Lizbeth Te comentamos que se hará lo posible para poder asignarte los vuelos solicitados. Esperamos haberte podido ayudar!</t>
  </si>
  <si>
    <t>d42adade-LATAM-LP</t>
  </si>
  <si>
    <t>Reporte de problema con códigos de reserva o logística del chequeo</t>
  </si>
  <si>
    <t>20/11/2025 10:39</t>
  </si>
  <si>
    <t>Buenos días, escribo para informar que el código de reserva GYDWNB para el tramo LIM-BOG LA2489 a mi nombre LILIAM ALEXANDRA DÍAZ MIRANDA no es encontrado a través de la plataforma Latam para poder agregar mi reserva y posterior hacer check in. He intentado a través de la aplicación y a través de la web y no reconoce el número de reserva y/o mi apellido. Por favor si me pudiera ayudar. Quedo atenta</t>
  </si>
  <si>
    <t>Buenos días, mi consulta es relacionada al día de prácticas, emergencia y ditching en el cae, tuve insatisfactorio en door trainning A320, la instructora me comentó que hay una programación del día de prácticas de emergencia el martes 25 de noviembre y quería si habría posibilidad de incluirme en ese día para evitar que me retiren mi vuelo solicitado del 27 por favor. Quedo atento a su comentario. Saludos</t>
  </si>
  <si>
    <t>RV04</t>
  </si>
  <si>
    <t>Hola, no me cargaron el 1er control lectura en el portal.</t>
  </si>
  <si>
    <t>"¡Gracias por la información! Te estaremos enviando por correo la recuperación de tu revalidación de seguridad. ¡Agradecemos mucho tu colaboración y comprensión!"</t>
  </si>
  <si>
    <t>"¡Gracias por tu mensaje!. Verificamos que culminaste el curso en mención el 11-marzo-2026. Te recordamos que las consultas sobre errores de plataforma, notas o problemas con la interfaz deben ser gestionadas a través del canal de Soporte de Academia LATAM. Además, durante las evaluaciones es importante seguir los lineamientos indicados para evitar posibles errores. Puedes acceder al formulario mediante el siguiente link: https://sites.google.com/latam.com/sscap-ssc/soporte-academia-corporativa Esperamos que la respuesta te haya sido de gran ayuda."</t>
  </si>
  <si>
    <t>54740318-LATAM-LP</t>
  </si>
  <si>
    <t>Buenos días, no tengo acceso a ningún NL, incluidos los de enero de este año.</t>
  </si>
  <si>
    <t>20/11/2025 11:27</t>
  </si>
  <si>
    <t>"¡Gracias por la información! Te recordamos que puedes acceder a la información y contenido de los NL publicado a través del portal LP. Puedes acceder mediante el siguiente link: https://sites.google.com/latam.com/sab-pe-manuales-comunicados/inicio Esperamos que la respuesta te haya sido de gran ayuda.</t>
  </si>
  <si>
    <t>Actualmente me encuentro de vacaciones hasta el día 23/11/2025 y el día lunes 24/11/2025 tengo programado mi Apto Médico y EMO, a la fecha me encuentro con sintomatología de faringitis aguda y rinitis aguda con tratamiento médico, según el correo no debo presentarme así al apto médico, agradecería me puedan Reprogramar. Adjunto tratamiento médico. Quedo atenta, Saludos.</t>
  </si>
  <si>
    <t>No se visualiza el contenido de los newsletter de octubre, noviembre y diciembre</t>
  </si>
  <si>
    <t>"¡Gracias por la información! Te estaremos reprogramando tu apto médico. Asimismo, tener en cuenta que tu apto médico y licencia chilena vencen en noviembre, por lo que debes considerar que para renovar tu licencia chilena, debes contar con tu apto médico vigente, y es posible que por los plazos tengamos que bajarte de vuelo a inicios de diciembre. ¡Agradecemos mucho tu colaboración y comprensión!"</t>
  </si>
  <si>
    <t>c9c96791-LATAM-LP</t>
  </si>
  <si>
    <t>Quisiera saber cual fue la respuesta equivocada en primer control de lectura 2026, creo que todas mis respuestas fueron correctas</t>
  </si>
  <si>
    <t>19/11/2025 21:44</t>
  </si>
  <si>
    <t>"¡Gracias por tu mensaje!. Verificamos que la pregunta respondida erróneamente es la siguiente: "Si nos referimos al nuevo proceso de "Auto Gen Dec", ¿cuántas horas antes del ETD del vuelo, desde SCL, estarán disponibles para su impresión?" Te recordamos que las consultas sobre errores de plataforma, notas o problemas con la interfaz deben ser gestionadas a través del canal de Soporte de Academia LATAM. Además, durante las evaluaciones es importante seguir los lineamientos indicados para evitar posibles errores. Puedes acceder al formulario mediante el siguiente link: https://sites.google.com/</t>
  </si>
  <si>
    <t>OS06</t>
  </si>
  <si>
    <t>Buenas tardes, acabo de realizar el examen de newsletter, saque 90, por favor quisiera saber en que pregunta me equivoque. Muchas gracias.</t>
  </si>
  <si>
    <t>"¡Gracias por tu mensaje!. Verificamos que la pregunta respondida erróneramente es la siguiente: "De acuerdo a la RTM 10 - 2025 "USO DE TOBOGANES Y TOBOGANES BALSA EN DITCHING A320 FAM", durante una preparación de cabina para ditching, en aviones A319 con tobogán balsa, puertas 4 L/R, ¿en qué paso debemos de retirar la cubierta del tobogán balsa?" Te recordamos que las consultas sobre errores de plataforma, notas o problemas con la interfaz deben ser gestionadas a través del canal de Soporte de Academia LATAM. Además, durante las evaluaciones es importante seguir los lineamientos indicados par</t>
  </si>
  <si>
    <t>"¡Gracias por la información! Te compartimos el siguiente link para que puedas gestionar la renovación de tu fotocheck. https://www.appsheet.com/start/fc09f2b3-fd11-46ae-882b-d8ce2cb7a8d1?platform=desktop#appName=SolicitudDeCredencialesPE-501453028&amp;vss=H4sIAAAAAAAAA6WPsU7EMBBE_2Vrp4BzSOIWUZwQNCAaTLHYa8m6nH2yN8Ap8r9jwyFogXJm9Z5mV3jx9HrHaHagHtfvdE1HULBquD8eSIPScBkDpzhrEBpucX8qE1kKxuNMWUOB8iS-HEwZ1Pp7hfr_CgG-ZvbOU2q-RlfPia3nRrbiBwdFwH5hfJ7pY3zjfN6GK-v5JtqaOS0kgBOGjIZ9DFtbHf3mbJIobTc64zrZj7Ib--m8GwYah42UduovoJRqd9EsmexDfe6PT7U5bwcM9nOQwzlTeQfP0flgwwEAAA==&amp;view=Credenciales ¡Agradecemos mucho tu colaboración y comprensión!"</t>
  </si>
  <si>
    <t>Buenas tardes, espero que se encuentren bien. Revisando mis cursos en la plataforma, me di cuenta que el Primer Control de Lectura de este año 2026 está pendiente de completar. Yo ya completé dicho control y tengo fotos de la nota y le di la opción de verificar terminar el curso, el cual también tengo foto. Podrían ayudarme a quitarlo o darle completado y así no me perjudique? Muchas gracias.</t>
  </si>
  <si>
    <t>dc19f3e7-LATAM-LP</t>
  </si>
  <si>
    <t>20/11/2025 18:08</t>
  </si>
  <si>
    <t>Hola, Cristopher: Esperamos que te encuentres muy bien. Muchas gracias por comunicarte con nosotros y por adjuntar el respaldo de la finalización de tu actividad. Respecto a tu consulta sobre la actualización del estado de tu Primer Control de Lectura 2026, te informamos que el soporte técnico y la regularización de estatus dentro de la plataforma de aprendizaje son gestionados directamente por el equipo de la Academia Corporativa. Debido a que nosotros no contamos con los accesos para modificar dichos registros, te solicitamos amablemente derivar tu caso y tus evidencias con ellos a través de</t>
  </si>
  <si>
    <t>Mi experiencia reciente del boeing 767 vence el próximo mes aproximadamente en quincena. Necesito un vuelo en esa flota en los primeros quince días de diciembre.</t>
  </si>
  <si>
    <t>Buenas tardes, realicé mi 4to contorl de lectura newsletter 2025 el 14/11/25, me descargué el certificado, sin mebargo cunado entra al portal/aprendizaje/sección cursos obligatorios corporativos aparece que tengo pendiente el examen 4to control de lectura. me podrían confirmar por favor. quedo atento</t>
  </si>
  <si>
    <t>¡Gracias por tu mensaje!. Te comentamos que hemos revisado en el sistema que el curso se encuentra aprobado. ¡Agradecemos mucho tu colaboración y comprensión!</t>
  </si>
  <si>
    <t>Manuales y comunicados no actualizado. Ingrese una solicitud ya que no tenemos acceso al NL, en respuesta me brindaron el link directo. El cual no se encuentra actualizado, los últimos comunicados son del mes de agosto cuando el control de lectura abarca los meses de octubre, noviembre y diciembre. Gracias.</t>
  </si>
  <si>
    <t>¡Gracias por la información! Te pedimos por favor ingresar nuevamente y revisar las carpetas respectivas con la información correspondiente de cada mes. Puedes acceder mediante el siguiente link: https://sites.google.com/latam.com/sab-pe-manuales-comunicados/inicio Esperamos que la respuesta te haya sido de gran ayuda."</t>
  </si>
  <si>
    <t>6f69d58d-LATAM-LP</t>
  </si>
  <si>
    <t>Consulta sobre obligatoriedad o exoneración del control</t>
  </si>
  <si>
    <t>20/11/2025 19:36</t>
  </si>
  <si>
    <t>En donde se informa o se tiene la información sobre la no obligatoriedad de realizar el Control de Lectura al haber tenido 8 días de descanso médico (DM) entre el periodo del 29.10 al 26.11. En mi caso tuve un DM de ocho (08) días en el mes de noviembre los días 10, 11, 12, 14, 15, 16, 17 y 18.</t>
  </si>
  <si>
    <t>solicito por favor confirmación del pago por postergación de vacaciones y por un día libre afectado (del 15) que cambió su secuencia laboral. Inicialmente mi vacaciones era del 16 al 22 pero al llegar tarde tocaron mi libre del 15 y secuencia cambió a 5x2 corriendo mis vacaciones del 18 al 24 . Quedo atenta ,gracias!</t>
  </si>
  <si>
    <t>¡Gracias por tu mensaje!. Te comentamos que consideres la información brindada en el Newsletter del 4to control de lectura: "Los tripulantes que se encuentren inactivos por 8 días o más dentro de este periodo (del 29-oct al 26-nov), estarán exonerados de realizarlo. Cabe precisar que la inactividad corresponde a vacaciones, descanso médico, bajada a tierra por embarazo, maternidad, lactancia y licencia sin goce". ¡Agradecemos mucho tu colaboración y comprensión!</t>
  </si>
  <si>
    <t>Buenas tardes, una consults respecto a los curss de pacifico me figura estado pendiente pero si lo completé como se regularza?</t>
  </si>
  <si>
    <t>Hola Sandra, Por favor, te solicitamos canalizar tu consulta a través del siguiente correo electrónico: andrea.troncos@latam.com Esperamos haberte ayudado</t>
  </si>
  <si>
    <t>"¡Gracias por la información! Te comentamos que efectivamente te corresponde el pago de cancelación de vacaciones y será bonificada en tu boleta de diciembre . Por otro lado, te recomendamos ingresar por el formulario de rol subsiguiente tu consulta de solicitud de libre compensando. Puedes ingresar a través del siguiente link: https://docs.google.com/forms/d/e/1FAIpQLSf2ZeSd_3xVx7iObNiLZ1M6VVeD0hG3u8jBW4ZpvQobARihsw/viewform ¡Agradecemos mucho tu colaboración y comprensión!"</t>
  </si>
  <si>
    <t>53097fd4-LATAM-LP</t>
  </si>
  <si>
    <t>21/11/2025 09:48</t>
  </si>
  <si>
    <t>Line check A320F vencido 19/11/2025</t>
  </si>
  <si>
    <t>Consulta general sobre el control de lectura sin detalle</t>
  </si>
  <si>
    <t>Vacaciones adicionales</t>
  </si>
  <si>
    <t>"¡Gracias por la información! Te informamos que, para solicitar vacaciones adicionales debes hacerlo a través del formulario ""Pedido, Cesión e Intercambio de Vacaciones LP 2026-01"". Puedes acceder al formulario mediante el siguiente link: https://docs.google.com/forms/d/e/1FAIpQLSdmXt-iSndWo5_kb3Bithorzgp7OTZOBAa-lYgrbwGZuQBVcw/viewform Asimismo, te recordamos que la confirmación de tus vacaciones serán notificadas con 30 días de anticipación del inicio de las mismas. Asimismo, te recomendamos ingresar cualquier consulta relacionada con este tema en la sección correcta de la plataforma, bajo</t>
  </si>
  <si>
    <t>Estimados, estoy intentando cargar mi descanso médico sin embargo el sistema no lo permite. Adjunto captura del aviso. Quedo atenta. Saludos.</t>
  </si>
  <si>
    <t>64770bf6-LATAM-LP</t>
  </si>
  <si>
    <t>"¡Gracias por la información! Te pedimos por favor canalizar tu consulta por el canal correcto: RH conect ¡Agradecemos mucho tu colaboración y comprensión!"</t>
  </si>
  <si>
    <t>21/11/2025 21:55</t>
  </si>
  <si>
    <t>Estimados, en una formulario anterior envié el mensaje que me aparece que no me permite cargar mi DM. Por este envío el documento de DM. Quedo atenta.</t>
  </si>
  <si>
    <t>Estimados, estoy queriendo registrar la extension de mi descanso medico prolongado por 21 dias pero el sistema no me deja. Me podrian indicar la razón por favor.</t>
  </si>
  <si>
    <t>"¡Gracias por la información! Te comentamos que el link para registrar tu descanso médico es el siguiente: https://docs.google.com/forms/d/e/1FAIpQLSeu5aBra_kvB9DgJRLmWfBCe-qMNEHjVqzqGiZi9zAKVvX1MA/viewform Esperamos que la respuesta te haya sido de gran ayuda."</t>
  </si>
  <si>
    <t>61934d3d-LATAM-LP</t>
  </si>
  <si>
    <t>21/11/2025 21:57</t>
  </si>
  <si>
    <t>Estimados, estando próximo a vencer licencia chilena 31/12 /2025, solicito el envío de la licencia cuya reva fue realizada en febrero de este año, estare atenta, muchas gracias !</t>
  </si>
  <si>
    <t>"¡Gracias por la información! Te comentamos que la gestión de tu licencia chilena se realizará antes de la fecha de vencimiento. Asimismo,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</si>
  <si>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Descanso médico por 45 días y tengo el alta desde el 16 de julio , y estoy apta desde el 27 de julio que recibí el correo de la clínica y no he recibido noticias sobre mi programación . Gracias</t>
  </si>
  <si>
    <t>e7cb790b-LATAM-LP</t>
  </si>
  <si>
    <t>22/11/2025 10:17</t>
  </si>
  <si>
    <t>Buenas tardes, quisiera saber si es posible que mi doctor me dé el alta antes, para poder volver a volar el próximo mes? Y si no cuánto es el tiempo que demora en que me programen el examen médico?</t>
  </si>
  <si>
    <t>Cancelar vacaciones</t>
  </si>
  <si>
    <t>""Hola Andrea, Esperamos que te encuentres muy bien. Muchas gracias por comunicarte con nosotros y por hacernos llegar tu consulta para verificar tu estado en el sistema. Si en caso cuentas con el alta médica de tu médico tratante, el flujo correcto es reportarlo con tu CPL para que lo pueda validar con el equipo de salud laboral y con ello programarte tu apto médico para que puedas volver a la línea. Saludos cordiales,"""</t>
  </si>
  <si>
    <t>Consulta o corrección de los días de DM registrados</t>
  </si>
  <si>
    <t>Buenos días ! Escribo para hacer la consulta sobre mis descansos medicos, me llego un correo indicando que tengo 17 días , los cuales solo tengo 16 , me reporte enferma el día 05/03 y del 29 de abril al 13 de mayo serian 16 días, quedo atenta</t>
  </si>
  <si>
    <t>Hola, Katia: Esperamos que te encuentres muy bien. Muchas gracias por comunicarte con nosotros. Respecto a tu consulta sobre el conteo de tus días de descanso médico (DM) y la notificación recibida, te brindamos la siguiente información para tu tranquilidad: Sobre la cantidad de días: Tenemos mapeado tu descanso médico hasta el 15 de mayo. No obstante, procederemos a revisar el detalle de las fechas que nos mencionas (del 05/03 y del 29/04 al 13/05) para corregir el registro en caso de que exista alguna discrepancia en el número total de días. Sobre el correo recibido: Te confirmamos que dicha</t>
  </si>
  <si>
    <t>f5344ec0-LATAM-LP</t>
  </si>
  <si>
    <t>Buenas tardes, escribo ya que recién llegó el rol y veo que me han puesto rol completo en enero, sin embargo, actualmente yo estoy con descanso médico el cual será prolongado por mi diagnóstico, reporté mis días del primer DM que va hasta el 15 de enero, ya mandé toda la documentación de este descanso reportando también por el formulario todos los días indicados, por otro lado, he empezado tratamiento con pregabalina el cual será continuo por la condición clínica actual que tengo, y que no está permitida para volar, por lo que el proceso tendría que ser prolongado según lo conversado con el do</t>
  </si>
  <si>
    <t>¡Gracias por la información! Te pedimos por favor canalizar esta información con tu CPL y con movimiento diario. En caso extiendan tus días de descanso médico, te pedimos que lo reportes con movimiento diario para que se pueda reflejar en tu rol. Esperamos que la respuesta te haya sido de gran ayuda."</t>
  </si>
  <si>
    <t>Porfavor al estar de NAT agradeceré cancelar mis vacaciones de diciembre ya que deseo guardar dias para despues del nacimiento. Muchas gracias. Tambien envié correo a CPL. Muchas gracias</t>
  </si>
  <si>
    <t>Tengo una duda respecto a mi rol, aún estoy con DM, sin embargo veo que aparezco como “NME” todo el mes de febrero en vez de “SICK”, que significa?.</t>
  </si>
  <si>
    <t>"¡Gracias por la información! Te comentamos que te estamos protegiendo de rol con NME ya que visualizamos que has prolongado tu DM hasta el 6 de febrero, en caso de que se extienda el DM te pedimos que lo reportes con el equipo de movimiento diario para que lo actualice y lo refleje en tu rol. Esperamos que la respuesta te haya sido de gran ayuda."</t>
  </si>
  <si>
    <t>"¡Gracias por la información! Te comentamos que procederemos con la cancelación de tus vacaciones de diciembre. ¡Agradecemos mucho tu colaboración y comprensión!"</t>
  </si>
  <si>
    <t>Consulta o seguimiento de programación de reentrenamiento o recalificación</t>
  </si>
  <si>
    <t>8aedab09-LATAM-LP</t>
  </si>
  <si>
    <t>22/11/2025 21:05</t>
  </si>
  <si>
    <t>Hola buen dia. Aun no recibo información detallada de mis actividades. Cursos Elearning, Reentrenaiento, Recalificacion B767. En mi Iflight ya sale RTI para el 8 y 9 de Abril. Estare atenta a las indicaciones. Gracias</t>
  </si>
  <si>
    <t>Por temas de salud perdí mi vuelo en boeing este mes, y mi último vuelo fue el 27/09/25. Por favor si pudieran asignarme un vuelo en diciembre para no perder mi habilitación. Muchas gracias</t>
  </si>
  <si>
    <t>Buen día me programaron mi recalificacion y mi reentrenamiento para el 20 y 25 de mayo. Sin embargo, yo aún no me encuentro apta ya que cuando me programaron mi apto médico y mi examen médico ocupacional me vino el periodo por lo que me bajaron de mi reva también. Entonces aún sin eso puedo hacer esos vuelos ?</t>
  </si>
  <si>
    <t>Estimados. El 15 Abril retorne de Miami despues de tener un RET satisfactorio con el IDE C. Rondon, he estado a la espera de mi siguiente programación evaluativa. Acabo de revisar mi rol del mes de Mayo y aun no hay ninguna programación aún. Espero puedan revisar mi caso. Estare atenta a sus respuestas muchas gracias. Cecilia Nuñez</t>
  </si>
  <si>
    <t>d5e4ff0a-LATAM-LP</t>
  </si>
  <si>
    <t>23/11/2025 23:13</t>
  </si>
  <si>
    <t>controles que no me corresponden por vac</t>
  </si>
  <si>
    <t>CL04</t>
  </si>
  <si>
    <t>Estimados, buenas tardes. Acabo de recibir la invitación al curso al 50%, sin embargo la fecha de inicio es dentro de mis dias de vacaciones. Por favor verificarlo. Quedo atenta a sus comentarios. Saludos. Danneri Swidin</t>
  </si>
  <si>
    <t>66d8417c-LATAM-LP</t>
  </si>
  <si>
    <t>23/11/2025 13:39</t>
  </si>
  <si>
    <t>Acerca de la tarjeta Edenred, en este mes recibí el abono de un monto menor al estipulado teniendo asistencia a todas mis asignaciones.</t>
  </si>
  <si>
    <t>ED02</t>
  </si>
  <si>
    <t>Consulta general sobre la recalificación sin detalle</t>
  </si>
  <si>
    <t>Consulta si me curso sera en diciembre o Enero</t>
  </si>
  <si>
    <t>¡Gracias por la información! Te comentamos que tu curso del 50% te corresponde realizarlo a partir de febrero a penas culmines tus vacaciones. Asimismo, comentarte que se estará regularizando en el rol IFN. ¡Agradecemos mucho tu colaboración y comprensión!</t>
  </si>
  <si>
    <t>"¡Gracias por la información! Te informamos que el pago comprendió los siguientes Bonos. Bono Cumplimiento de Rol: 10% de tu remuneración básica. Esto se debe que en el mes de octubre contó con 4 días de descanso médico, por lo que estaría acumulando en el año un total de 6 días, lo cual su bono de cumplimiento de rol se vio afectado en su pago. Bono Operación NB: S/. 56.06. En caso desees consultar por este bono, debes comunicarte con Osmar Neves. ¡Agradecemos mucho tu colaboración y comprensión!"</t>
  </si>
  <si>
    <t>947186b7-LATAM-LP</t>
  </si>
  <si>
    <t>23/11/2025 16:51</t>
  </si>
  <si>
    <t>Buen día mande la consulta por los cursos en la academia Latam porque los de la reva pasada que me tuvieron que reprogramar ya vencieron y aún no tengo los cursos de esta reva.</t>
  </si>
  <si>
    <t>Tenía mi lck de airbus para el 26 de noviembre pero me han activado un vuelo LIM GIG LIM del 25 al 27. Quisiera saber si no hay problema y ya ustedes me avisan sobre la reprogramacion de mi chequeo o como procedería mi caso. Quedo atenta y muchas gracias.</t>
  </si>
  <si>
    <t>LK06</t>
  </si>
  <si>
    <t>Solicitud de licencia sin goce de haber</t>
  </si>
  <si>
    <t>Solicitar licencia sin sueldo, mayo 2026.</t>
  </si>
  <si>
    <t>Estimada Irina, esperamos te encuentres bien Te comentamos que existen convocatorias para solicitar licencia sin goce y se envian mediante el correo; sin embargo, por este medio no podemos realizar esa gestion. Saludos Cordiales!</t>
  </si>
  <si>
    <t>"¡Gracias por la información! Te comentanmos que tenemos mapeado tu caso. Asimismo, te informamos que, dado que tu mes base es diciembre y según lo establecido en la RAP 63, esta actividad puede ser programada dentro de un período de elegibilidad que comprende 30 días antes, durante y después de tu mes base. Por lo tanto, tu verificación de la competencia podrá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</si>
  <si>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Me gustaría solicitar una licencia sin goce de sueldo durante el mes de febrero. El objetivo de esta solicitud es poder extender y complementar mi periodo de descanso posparto. Agradeceré mucho que evalúen mi solicitud y me confirmen si es posible.</t>
  </si>
  <si>
    <t>¡Gracias por la información! Te pedimos por favor canalizar esta información con tu CPL. ¡Agradecemos mucho tu colaboración y comprensión!</t>
  </si>
  <si>
    <t>a97ea8ea-LATAM-LP</t>
  </si>
  <si>
    <t>23/11/2025 18:35</t>
  </si>
  <si>
    <t>Buenas tardes, quisiera consultar por el estado de mi renovacion de mi licencia chilena que tiene fecha de vencimiento este 30 de noviembre. Les agradezco de antemano su tiempo y ayuda.</t>
  </si>
  <si>
    <t>Buenos dias , me gustaria solicitar licencia sin goce para el mes de setiembre y octubre ( o los meses que puedan otorgarme). Estoy en post natal + Vacas +lactancia retorno finales de agosto. Tuve en el embarazo restriccion de crecimiento fetal y quiero poder darle lactancia materna exclusiva a mi bebe el mayor tiempo posible. Si podrian apoyarme. Gracias</t>
  </si>
  <si>
    <t>Estimada Paola, Espero que te encuentres muy bien junto a tu bebé y disfrutando de esta etapa de su crecimiento. Queremos agradecerte la confianza al compartirnos tu situación. Respecto a tu solicitud para los meses de septiembre y octubre, te pedimos por favor canalizar este caso directamente con tu CPL. Asimismo te comentamos que por el momento las plazas no se encuentran habilitadas; sin embargo, en caso de que se abran nuevos cupos para una siguiente convocatoria de Licencia sin Goce, lo estaremos informando de manera oportuna a toda la tripulación. Esperamos haberte ayudado.</t>
  </si>
  <si>
    <t>"¡Gracias por escribirnos! Revisamos en el sistema y tu licencia chilena ya está gestionada, por lo que estamos a la espera para su respectivo envío antes de su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</si>
  <si>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Consulta sobre disponibilidad u otorgamiento de licencias</t>
  </si>
  <si>
    <t>Si habran licencias sin goce para LP, pars el mes de mayo 2026</t>
  </si>
  <si>
    <t>Estimada Irina Te comentamos que no habra licencias sin goce para el mes de mayo. Saludos Cordiales!</t>
  </si>
  <si>
    <t>2b4ef748-LATAM-LP</t>
  </si>
  <si>
    <t>23/11/2025 01:35</t>
  </si>
  <si>
    <t>Si estan previsto otorgar licencias sin sueldo para mes de febrero 2026</t>
  </si>
  <si>
    <t>OS01</t>
  </si>
  <si>
    <t>Hola, buenas tardes, He aceptado el trabajo modalidad full time en bajada a tierra por maternidad, igual quiero ver que tan factible termina siendo para mi embarazo y quiero tener esta opcion de licencia y saber cual seria el procedimiento en el caso mas adelange opte por esa opcion y como se maneja el tema con el seguro.</t>
  </si>
  <si>
    <t>Consulta que corresponde a otro tipo</t>
  </si>
  <si>
    <t>Vacaciones del 08 de Febrero a 14 de Febrero. No ha sido confirmada.</t>
  </si>
  <si>
    <t>80d71d73-LATAM-LP</t>
  </si>
  <si>
    <t>24/11/2025 08:59</t>
  </si>
  <si>
    <t>¡Gracias por la información! Si tus vacaciones fueron prepublicadas, sí las gozarás con total normalidad. Ten en cuenta que la confirmación oficial de cada bloque de vacaciones se envía con 22 días de anticipación a la fecha de inicio por bloque. Por ello, si aún no has recibido la confirmación, es completamente normal y no afecta tus bloques programados. Esperamos que la respuesta te haya sido de gran ayuda.</t>
  </si>
  <si>
    <t>Consulta sobre cantidad o asignación de GEX</t>
  </si>
  <si>
    <t>Estimados, Solicito vuestro apoyo con la reprogramación de Linecheck Airbus. Ayer tuve demora por ATC en varios vuelos lo sue ocasionó que reduzca mi hora de descanso y como consecuencia cancelación de la misma.</t>
  </si>
  <si>
    <t>Gex por cumpleaños</t>
  </si>
  <si>
    <t>Hola, Christy: Esperamos que tengas un excelente día. Muchas gracias por comunicarte con nosotros. Respecto a tu mensaje sobre "GEX por cumpleaños", te informamos que este canal no es el medio correspondiente para el envío o gestión de reconocimientos GEX. El envío de GEX se hace unicamente por la app OSSA. Para poder brindarte la orientación adecuada, te solicitamos que nos brindes mayor detalle sobre tu requerimiento. Quedamos atentos a que nos puedas especificar mejor tu duda en una nueva consulta. Saludos,</t>
  </si>
  <si>
    <t>Solicitud de programación de vuelo asociado al chequeo</t>
  </si>
  <si>
    <t>Cantidad de GEX</t>
  </si>
  <si>
    <t>Hola Sofia, Por favor te pedimos ingresar tu consulta a través del siguiente link https://projectmanagement.appslatam.com/servicedesk/customer/portal/7/create/354?q=nimbus&amp;q_time=1781230961375 Esperamos haberte ayudado.</t>
  </si>
  <si>
    <t>Consulta sobre registro o estado de una GEX</t>
  </si>
  <si>
    <t>Buenos días, envié una GEX y me sale pendiente de confirmación. Cómo sé si se envió?</t>
  </si>
  <si>
    <t>Hola Diana, Por favor te pedimos ingresar tu consulta a través del siguiente link https://projectmanagement.appslatam.com/servicedesk/customer/portal/7/create/354?q=nimbus&amp;q_time=1781230961375 Esperamos haberte ayudado.</t>
  </si>
  <si>
    <t>Consulta general sobre GEX sin detalle</t>
  </si>
  <si>
    <t>Gex</t>
  </si>
  <si>
    <t>Estimada Elizabeth Por favor, te solicitamos que puedas ser mas especifica con el tema consultado para poder revisar a detalle tu solicitud. Saludos Cordiales!</t>
  </si>
  <si>
    <t>Solicitud de cancelación o aplazamiento de vacaciones por gestación/maternidad</t>
  </si>
  <si>
    <t>Buenas tardes, Quisiera solicitar su ayuda para cancelar las vacaciones prepublicadas que me fueron asignadas del 16 al 23 de diciembre. Agradeceré mucho su apoyo con la gestión.</t>
  </si>
  <si>
    <t>ceabe08f-LATAM-LP</t>
  </si>
  <si>
    <t>24/11/2025 13:15</t>
  </si>
  <si>
    <t>Deseo cancelar mis vacaciones programadas del 8 al 15 de Noviembre 2026 porque me encuentro en estado de gestación y deseo tomarlas después de mis licencias de pre y post natal. Gracias.</t>
  </si>
  <si>
    <t>¡Gracias por la información! Información considerada</t>
  </si>
  <si>
    <t>OS02</t>
  </si>
  <si>
    <t>Buenas tardes Retorno a línea según el comunicado que me han enviado el día 27 de octubre pero había solicitado vacaciones y ya estaban pre publicadas del 24 de diciembre al 31 de diciembre, quisiera q tomen en cuenta mi solicitud para esa fecha, muchas gracias</t>
  </si>
  <si>
    <t>""Hola Francesca, Esperamos que te encuentres muy bien. Muchas gracias por comunicarte con nosotros y por hacernos llegar tu consulta para verificar tu estado en el sistema. Te acabamos de enviar tu línea de retorno actualizada donde se mantienen tus vacaciones pre publicadas de diciembre del 24 al 31-dic. Saludos cordiales,"""</t>
  </si>
  <si>
    <t>ESTO ES PRUEBAAAAAAAAAA</t>
  </si>
  <si>
    <t>bcdcbe29-LATAM-LP</t>
  </si>
  <si>
    <t>24/11/2025 11:09</t>
  </si>
  <si>
    <t>Buenos dias estimados tengo una consulta sobre mi licencia chilena que vence el 30/11/2025, aún no me llega la nueva. Solo me entregaron el apto médico en las oficinas.</t>
  </si>
  <si>
    <t>12b66a05-LATAM-LP</t>
  </si>
  <si>
    <t>24/11/2025 11:45</t>
  </si>
  <si>
    <t>Buenos días ! Me acaban de mandar el correo de confirmación de vaciones , del 24 de diciembre al 6 de enero , yo tenía pre publicadas del 24 de diciembre al 31 de diciembre , quería saber a qué se debía esa semana adicional , yo para el 2026 he pedido por favor que me den 3 semanas de vacaciones seguidas ya sea en enero o febrero del 2026 , por favor quisiera que me ayuden con eso , muchísimas gracias</t>
  </si>
  <si>
    <t>"¡Gracias por la información! Te comentamos que se ha confirmado y procesado su periodo vacacional comprendido del 24/12 al 31/12. Como resultado de esta gestión, usted dispone de un saldo de 6 días de descanso vacacional. Es importante destacar que la programación de estos 6 días restantes se realiza debido a que este saldo es inferior al mínimo de 7 días requerido para ser prepublicado y programado en el próximo semestre, cumpliendo así con la normativa interna vigente, es por ello que su periodo vacacional ha sido extendido hasta el 06 de enero. ¡Agradecemos mucho tu colaboración y comprensión!"</t>
  </si>
  <si>
    <t>1d6dd54d-LATAM-LP</t>
  </si>
  <si>
    <t>24/11/2025 14:55</t>
  </si>
  <si>
    <t>Buenas tardes, el dia de hoy realize el curso del 4to control de lectura y luego de terminar y sacar 100 no se actualizo el curso como culminado. Por favor podrian ayudarme, adjunto screenshot de certificado.</t>
  </si>
  <si>
    <t>3508f43a-LATAM-LP</t>
  </si>
  <si>
    <t>23/11/2025 23:16</t>
  </si>
  <si>
    <t>buenas noches, les pido hacer caso omiso a mi consulta anterior pues fue enviada incompleta por error. mi consulta es sobre la posibilidad de eliminar dos controles de lectura que teng pendientes pues no me correspondía realizar dado que me encontré con VAC durante más de 7 días para ambos casos. Veo en la academia que aparecen como vencidos y me preocupa que afecten mis calificaciones. gracias de antemano!!</t>
  </si>
  <si>
    <t>"¡Gracias por tu mensaje!. Te recordamos que las consultas sobre errores de plataforma, notas o problemas con la interfaz deben ser gestionadas a través del canal de Soporte de Academia LATAM. Además, durante las evaluaciones es importante seguir los lineamientos indicados para evitar posibles errores. Puedes acceder al formulario mediante el siguiente link: https://sites.google.com/latam.com/sscap-ssc/soporte-academia-corporativa ¡Agradecemos mucho tu colaboración y comprensión!"</t>
  </si>
  <si>
    <t>4548e8a1-LATAM-LP</t>
  </si>
  <si>
    <t>24/11/2025 21:15</t>
  </si>
  <si>
    <t>En referencia al taller voluntario de procedimientos seguridad no voy a poder asistir por tener cita médica.</t>
  </si>
  <si>
    <t>¡Gracias por tu mensaje!. Agradecemos la información proporcionada.</t>
  </si>
  <si>
    <t>7eb5687c-LATAM-LP</t>
  </si>
  <si>
    <t>25/11/2025 13:01</t>
  </si>
  <si>
    <t>Reembolso pasaporte</t>
  </si>
  <si>
    <t>adaaf888-LATAM-LP</t>
  </si>
  <si>
    <t>24/11/2025 19:17</t>
  </si>
  <si>
    <t>Buenas noches, soy movimiento interno de la empresa, pertenecía al área de servicio al pasajero y ahora al área de servicio a bordo, mi coordinador de capacitación me indicó realice la consulta por este medio. cuento con vacaciones pendientes, dado que en este año solo he salido 1 semana en el mes de marzo, le comenté a mi coordinador a inicios de capacitación para ver si era necesario realizar alguna gestión por mi parte con el objetivo de informar, me comentaron que no era necesario pero que ahora si deberia de realizar la consulta, solo quisiera saber de que manera proceden, tengo conocimiento que en servicio a bordo el proceso es distinto, a mi me confirmaron vacaciones en diciembre sin embargo por favor indíqueme cual seria la información correcta o cual es el procedimiento o flujo correcto, quedo a espera de indicaciones y su ayuda por favor.</t>
  </si>
  <si>
    <t>"¡Gracias por la información! Te comentamos que tenemos mapeado tu caso. Asmismo, comentarte que cuando ingreses a la línea (15/12) te estaremos informando sobre la asignación de tus vacaciones. ¡Agradecemos mucho tu colaboración y comprensión!"</t>
  </si>
  <si>
    <t>cfe70404-LATAM-LP</t>
  </si>
  <si>
    <t>25/11/2025 13:18</t>
  </si>
  <si>
    <t>Buenas tardes, tengo una duda, recibi la autorizacion provisional pero solo para la flota B767 mas no del Airbus, en mi caso que vengo de un DM prolongado ,no deberia tener re entrenamiento de la flota Airbus? teniendo en cuenta que deje de volar a fines de julio ,quedo atenta a sus comentario y desde ya agradezco su gentil respuesta.</t>
  </si>
  <si>
    <t>4e3194c3-LATAM-LP</t>
  </si>
  <si>
    <t>24/11/2025 22:24</t>
  </si>
  <si>
    <t>Remuneración Edenred</t>
  </si>
  <si>
    <t>ED09</t>
  </si>
  <si>
    <t>079cb70e-LATAM-LP</t>
  </si>
  <si>
    <t>24/11/2025 22:27</t>
  </si>
  <si>
    <t>Remuneración edenred: Me gustaría un informe detallado de los ingresos a mi cuenta edenred desde enero del 2025 hasta la fecha con la cantidad de horas voladas en NB en cada mes</t>
  </si>
  <si>
    <t>"¡Gracias por tu mensaje!. Estimado TC para revisar lo pagado por Edenred lo puedes hacer siguiendo este link "https://portal.latam.com/es/web/portalsab" que te lleva al Portal SAB, en el apartado "Tu Trabajo" verás "Pagos Variables, le das click ahí. En dicha pagina verás "Vales de Alimentación" le das click, después a 2025, lo cuál te llevará al detalle de lo pagado en el año, para ver todos los meses debes darle click en "Seleccione mes" y elegir el mes que quieres ver. ¡Agradecemos mucho tu colaboración y comprensión!"</t>
  </si>
  <si>
    <t>963c83ba-LATAM-LP</t>
  </si>
  <si>
    <t>24/11/2025 19:53</t>
  </si>
  <si>
    <t>Hola buenas noches miconsulta es la siguiente, yo ingrese el formulario de vacaciones para el primer semestre 2026 por 2 veces, ya que queria modificar mi primera solicitud, necesito salir de vacaciones el bloque del 1ro al 7 de marzo y los bloques del 23-30 abril y del 1ro a 7 mayo, me podrian confirmar por favor esas fechas?</t>
  </si>
  <si>
    <t>"¡Gracias por la información! Te comentamos que a partir de mañana se visualizará la pre publicación de vacaciones. Asimismo, en caso desees realizar un intercambio de vacaciones, podrás realizarlo a través del formulario que se notificará por correo el 28/11. ¡Agradecemos mucho tu colaboración y comprensión!"</t>
  </si>
  <si>
    <t>988a43c3-LATAM-LP</t>
  </si>
  <si>
    <t>24/11/2025 23:42</t>
  </si>
  <si>
    <t>Buenas noches, recibí el correo con la programación de recuperación A320, he revisado la academia corporativa y no me aparecen disponibles los cursos para realizar en la plataforma. Quedo atento. Saludos</t>
  </si>
  <si>
    <t>"¡Gracias por tu mensaje!. Te informamos que ya se encuentran aperturados en la plataforma los cursos pendientes que debes realizar. ¡Agradecemos mucho tu colaboración y comprensión!"</t>
  </si>
  <si>
    <t>ba18e4b9-LATAM-LP</t>
  </si>
  <si>
    <t>25/11/2025 04:06</t>
  </si>
  <si>
    <t>Estimados, Quería comentarles que estoy con medicamentos porque me enfermé de la garganta hasta el día 26/11/25 que es mi apto médico y de acuerdo a las consideraciones de la clínica Los Andes,no puedo tomar una semana antes,quedo atenta de cuando podría agendar de nuevo el apto médico y así no tener inconvenientes. Mil gracias</t>
  </si>
  <si>
    <t>"¡Gracias por la información! Te comentamos que estaremos enviando por correo la programación de tu nueva fecha de apto médico para el 02/12. ¡Agradecemos mucho tu colaboración y comprensión!"</t>
  </si>
  <si>
    <t>3b0a1879-LATAM-LP</t>
  </si>
  <si>
    <t>25/11/2025 09:32</t>
  </si>
  <si>
    <t>Respeto a mi licencia chilena, les informo que vence en 5 días. Quería saber si la recibiré junto con mi apto médico. El cual ya está listo para su recojo. Gracias</t>
  </si>
  <si>
    <t>"¡Gracias por escribirnos! Revisamos en el sistema y tu licencia chilena ya está gestionada, por lo que estamos a la espera para su respectivo envío antes de su vencimiento. ¡Agradecemos mucho tu colaboración y comprensión!"</t>
  </si>
  <si>
    <t>f7a8be5a-LATAM-LP</t>
  </si>
  <si>
    <t>25/11/2025 13:42</t>
  </si>
  <si>
    <t>Buenos dias, mi linecheck de B767 el año pasado fue el 03/12 y ya salió el rol de diciembre de este año y no me han programado mi chequeo de competencia. Quisiera saber si me lo pueden programar para no vencerme por favor</t>
  </si>
  <si>
    <t>"¡Gracias por la información! Te informamos que, dado que tu mes base es enero y según lo establecido en la RAP 63, esta actividad puede ser programada dentro de un período de elegibilidad que comprende 30 días antes, durante y después de tu mes base. Por lo tanto, tu chequeo de competencia podrá ser agendada tanto en diciembre como en febrero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</si>
  <si>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8d5e2a88-LATAM-LP</t>
  </si>
  <si>
    <t>25/11/2025 16:49</t>
  </si>
  <si>
    <t>Estimados solo para recordarles que el 31 de Dic vence la fecha de mi LCK B787. Un abrazo</t>
  </si>
  <si>
    <t>"¡Gracias por la información! Te comentamos que según rol, tienes programado tu chequeo de competencia para la flota B787 el día 22/12. ¡Agradecemos mucho tu colaboración y comprensión!"</t>
  </si>
  <si>
    <t>47a62c66-LATAM-LP</t>
  </si>
  <si>
    <t>25/11/2025 18:30</t>
  </si>
  <si>
    <t>Buenas noches queria saber sobre mi linecheck de Airbus de éste año.El año pasado lo tuve el 19 /12.</t>
  </si>
  <si>
    <t>"""¡Gracias por la información! Te comentamos que según el rol publicado, te corresponde realizar tu verificación de la competencia el 29 de diciembre. ¡Agradecemos mucho tu colaboración y comprensión!"""</t>
  </si>
  <si>
    <t>1959791b-LATAM-LP</t>
  </si>
  <si>
    <t>25/11/2025 13:48</t>
  </si>
  <si>
    <t>Buenas tardes, estoy apoyando en oficina por maternidad y me han confirmado vacaciones del 24/12 al 31/12/2025. Queria poder regresar esos dias a mi bolssa de vacaciones pero asi tomarlas y juntarlas en mi post natal gracias.</t>
  </si>
  <si>
    <t>2170b043-LATAM-LP</t>
  </si>
  <si>
    <t>25/11/2025 13:30</t>
  </si>
  <si>
    <t>Buenas, necesito me programen vuelo para mi reentrenamiento en equipos Boeing y Airbus, para reincorporarme lo antes posible, muchas gracias</t>
  </si>
  <si>
    <t>d21b9123-LATAM-LP</t>
  </si>
  <si>
    <t>25/11/2025 14:44</t>
  </si>
  <si>
    <t>Buenas tardes, el presente es para informar que mi último vuelo en la flota BOEING fue el 6 de Octubre y no se me ha programado asignación en ese avión en el mes de Diciembre, por lo que me estaria venciendo el 4 de Enero pero el problema es que ya tengo asignación hasta el 3 de Enero y en una secuencia de 7 días consecutivos. Siendo muy riesgoso a perder la habilitación por experiencia reciente, solicitaría se me re programe un vuelo en BOEING para el mes de Diciembre y así no verme perjudicado en perder la habilitación por favor. Muchas gracias.</t>
  </si>
  <si>
    <t>"¡Gracias por la información! Te comentamos que realizaste tu actualización de visa el 25/11, por ello no se consideró tu habilitación en la flota B767 en el rol de diciembre debido a que el corte de actualización de datos fue el 31/10. Se informará con el equipo de roles para que se te asigne un vuelo en la flota B767. ¡Agradecemos mucho tu colaboración y comprensión!"</t>
  </si>
  <si>
    <t>2a85f5e1-LATAM-LP</t>
  </si>
  <si>
    <t>25/11/2025 14:54</t>
  </si>
  <si>
    <t>Buenas tardes. El día de hoy al salir el rol me percate que tengo reva al 50% pero mi último día de vuelo fue el 28/12/2022 por lo que si no vuelo antes del 28/12/2025 me correspondería curso al 100%. Por favor quisiera su confirmación ya que de ser correcto lo que les comento no me corresponde hacer el curso al 50% que tengo programado para el mes de diciembre. Quedo atenta a sus comentarios.</t>
  </si>
  <si>
    <t>"¡Gracias por la información! Te comentamos que tu último vuelo en la flota A320 fue el 18/03/24, mientras que tu último vuelo en la flota B767 fue el 21/11/22. Es por ello que te correspondería realizar tu curso del 50% para habilitarte en la flota A319/320. ¡Agradecemos mucho tu colaboración y comprensión!"</t>
  </si>
  <si>
    <t>4ed608f8-LATAM-LP</t>
  </si>
  <si>
    <t>25/11/2025 15:47</t>
  </si>
  <si>
    <t>d6cece85-LATAM-LP</t>
  </si>
  <si>
    <t>25/11/2025 16:44</t>
  </si>
  <si>
    <t>Reentrenamiento equipo B767</t>
  </si>
  <si>
    <t>¡Gracias por la información! Te comentamos que se estará programando tu reentrenamiento para la flota B767 para los siguientes meses en base a cupos disponibles y la holgura operativa. ¡Agradecemos mucho tu colaboración y comprensión!</t>
  </si>
  <si>
    <t>79424be2-LATAM-LP</t>
  </si>
  <si>
    <t>25/11/2025 18:38</t>
  </si>
  <si>
    <t>Buenas noches, acabo de pasar mi apto médico después de un descanso médico prolongado, aún no cuento con rol de diciembre, mi duda es cuando me den el ok para regresar se considerará en mi rol lo solicitado por PBS, porque que solicité un vuelo a MIA ya que estoy próxima a vencerme en boeing, además del 19dic por ser la graduación de mi hijo. Agradecería puedan orientarme cómo debo proceder para tener la certeza de que se me asignará vuelo en boeing para no vencerme. Quedo atenta a su pronta respuesta.</t>
  </si>
  <si>
    <t>RO03</t>
  </si>
  <si>
    <t>"¡Gracias por la información! Estamos gestionando la emisión de tu nuevo apto. En cuanto esté finalizado, te contactaremos por correo para su recojo y retorno a la línea. ¡Agradecemos mucho tu colaboración y comprensión!</t>
  </si>
  <si>
    <t>0dc932ff-LATAM-LP</t>
  </si>
  <si>
    <t>26/11/2025 01:55</t>
  </si>
  <si>
    <t>RO11</t>
  </si>
  <si>
    <t>6119a440-LATAM-LP</t>
  </si>
  <si>
    <t>26/11/2025 08:54</t>
  </si>
  <si>
    <t>Buenos días, se vence mi línecheck de Airbus a fin de mes de diciembre y no lo veo programado. El 11 tengo LCK pero es en 76. Quedo atenta, gracias.</t>
  </si>
  <si>
    <t>"¡Gracias por la información! Te informamos que, dado que tu mes base es diciembre y según lo establecido en la RAP 63, esta actividad puede ser programada dentro de un período de elegibilidad que comprende 30 días antes, durante y después de tu mes base. Por lo tanto, tu curso de verificación de la competencia podrá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</si>
  <si>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3a51da09-LATAM-LP</t>
  </si>
  <si>
    <t>26/11/2025 09:01</t>
  </si>
  <si>
    <t>Buenos dias, tuve chequeo de competencia del Airbus el 9.12 24 vuelo 2085 TPP Con Gabriel Ungaro, pero para diciembre no me han programado chequeo, me confirman cuando sería, gracias</t>
  </si>
  <si>
    <t>¡Gracias por la información! Te comentamos que según el rol publicado tienes asignado tu verificación de la competencia para el 16/12. ¡Agradecemos mucho tu colaboración y comprensión!</t>
  </si>
  <si>
    <t>184798b1-LATAM-LP</t>
  </si>
  <si>
    <t>25/11/2025 20:58</t>
  </si>
  <si>
    <t>Mi pregunta es con respecto a la llegada de mi licencia Chilena con fecha actualizada ya que la q tengo esta por vencer este 31 de Diciembre. Agradezco su respuesta</t>
  </si>
  <si>
    <t>"¡Gracias por la información! Te comentamos que la gestión de tu licencia chilena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</si>
  <si>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51c1906e-LATAM-LP</t>
  </si>
  <si>
    <t>26/11/2025 13:37</t>
  </si>
  <si>
    <t>Buenas tardes, para informar que el instructor no llegó al vuelo programado, por favor si pueden gestionar otro vuelo antes de terminar el mes ya que este mes es de prórroga, vuelo LA2312</t>
  </si>
  <si>
    <t>94434938-LATAM-LP</t>
  </si>
  <si>
    <t>26/11/2025 06:51</t>
  </si>
  <si>
    <t>Estimados buenos días, para informarles que me encuentro a la espera de mi Licencia Chilena por vencimiento el 30 de Noviembre del 2025. Muchas gracias y quedo atenta a sus comentarios</t>
  </si>
  <si>
    <t>cf0dce92-LATAM-LP</t>
  </si>
  <si>
    <t>26/11/2025 08:47</t>
  </si>
  <si>
    <t>Buenos días. Les escribo para consultar acerca de la programación del apto médico. Actualmente tengo vigente mi apto médico hasta abril de 2026. Este año, en octubre, me habían programado un EMO; sin embargo, me enfermé y no pude realizarlo. Quisiera consultar por qué se realizó el cambio de EMO a apto médico, dado que aún no me correspondería renovarlo.</t>
  </si>
  <si>
    <t>¡Gracias por la información! Te informamos que, dado que tu revalidación se encuentra agendada para este mes y a fin de homologar las fechas, se ha visto necesario agendar tu exámen médico ocupacional. ¡Agradecemos mucho tu colaboración y comprensión!</t>
  </si>
  <si>
    <t>669b14e3-LATAM-LP</t>
  </si>
  <si>
    <t>26/11/2025 16:46</t>
  </si>
  <si>
    <t>Mi chequeo estaba programado para el dia 26 de Noviembre de este año. Pero no se pudo concretar debido a que el instructor no subió al vuelo LA2312. Indicar que mi chequeo de competencia vence el 30 de noviembre. Adicional a ello, indicar que en el mes de diciembre cumpliré funciones como HR.</t>
  </si>
  <si>
    <t>"¡Gracias por la información! Te comentamos que tenemos mapeado tu caso, por lo que te noticaremos tu programación de line check para el mes de diciembre. Asimismo, te recordamos que, dado que tu mes base es noviembre y según lo establecido en la RAP 63, esta actividad puede ser programada dentro de un período de elegibilidad que comprende 30 días antes, durante y después de tu mes base. Por lo tanto, tu verificación de la competencia podrá ser agendada tanto en octubre como en diciembre, junto con la prórroga correspondiente. Si tienes alguna otra consulta, estamos aquí para ayudarte. ¡Agradecemos mucho tu colaboración y comprensión!"</t>
  </si>
  <si>
    <t>8e5fa606-LATAM-LP</t>
  </si>
  <si>
    <t>26/11/2025 08:59</t>
  </si>
  <si>
    <t>62eb24d6-LATAM-LP</t>
  </si>
  <si>
    <t>26/11/2025 13:06</t>
  </si>
  <si>
    <t>Buenas tardes: Para nuevamente alertar que le día 29/11/2025.Es el plazo máximo en que podré ser programada en equipo B767, pues debido a que en los ultimos meses no he sido programada en este equipo. como alerté meses atras estoy proxima a vencerme, vuelvo a a alertar tal como se me indicó a 72 horas de la fecha máxima en que deberia ser programada. Quisiera compartir que este mes tengo rol con restrición sin pasaporte, sin embargo meses atrás tuve un rol 100% sin ser programada . Comparto con ustedes esta información para las gestiones que corrrespondan y quedo atenta a cualquier nueva información</t>
  </si>
  <si>
    <t>ER04</t>
  </si>
  <si>
    <t>"¡Gracias por la información! Te comentamos que tu experiencia reciente en la flota B767 se encuentra vencida. Se te estará asigando tu reenntrenamiento para la flota B767 en los siguientes meses en base a la disponibilidad de los instructores y holgura operativa. ¡Agradecemos mucho tu colaboración y comprensión!"</t>
  </si>
  <si>
    <t>a1e9b78c-LATAM-LP</t>
  </si>
  <si>
    <t>26/11/2025 09:07</t>
  </si>
  <si>
    <t>Buenos días, hoy tenía clases REVA no pude ingresar a tiempo por problemas de Internet, traté decresolcrlo pero muy tarde solo pude ingresar a las 8:45 am.</t>
  </si>
  <si>
    <t>89767045-LATAM-LP</t>
  </si>
  <si>
    <t>26/11/2025 09:09</t>
  </si>
  <si>
    <t>Buenos días, hace un momento envié una solicitud con número ID cf0dce92-LATAM-LP, en ella me faltó detallar que yo tuve junta médica en la clínica los andes. En el correo que enviaron confirmando el apto y emo indican que les tengo que avisar.</t>
  </si>
  <si>
    <t>AM08</t>
  </si>
  <si>
    <t>2e289a43-LATAM-LP</t>
  </si>
  <si>
    <t>26/11/2025 17:06</t>
  </si>
  <si>
    <t>Buenas tardes, No tengo programación para chequeo de competencia 767 el cual vence este 31/12/25</t>
  </si>
  <si>
    <t>"¡Gracias por la información! Te informamos que, dado que tu mes base es diciembre y según lo establecido en la RAP 63, esta actividad puede ser programada dentro de un período de elegibilidad que comprende 30 días antes, durante y después de tu mes base. Por lo tanto, tu verificación de la competencia 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</si>
  <si>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a8871fc5-LATAM-LP</t>
  </si>
  <si>
    <t>27/11/2025 10:40</t>
  </si>
  <si>
    <t>Buenas días, les saluda Monica Melgar quería comentarles que el día de ayer tenía programado mi chequeo de competencia en el vuelo LA2312 LIM CIX LIM , pero por circunstancias el instructor Juan Sebastián Correa no pudo llegar a tiempo ya que venía de otro vuelo (AQP ) y tuvo demora por ATC. Porfavor les pediría si me podrían ayudar reprogramando mi linecheck para el mes de diciembre ya que me venzo el 31 de diciembre . Muchas gracias por su atención y su apoyo.</t>
  </si>
  <si>
    <t>¡Gracias por la información! Te informamos que, dado que tu mes base es diciembre y según lo establecido en la RAP 63, esta actividad puede ser programada dentro de un período de elegibilidad que comprende 30 días antes, durante y después de tu mes base. Por lo tanto, tu verificación de la competencia 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</si>
  <si>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d5083325-LATAM-LP</t>
  </si>
  <si>
    <t>26/11/2025 16:57</t>
  </si>
  <si>
    <t>Confirmación de recepción de correo sobre licencia chilena enviada. Muchas gracias.</t>
  </si>
  <si>
    <t>Confirmación de recepción</t>
  </si>
  <si>
    <t>7eeba1bb-LATAM-LP</t>
  </si>
  <si>
    <t>26/11/2025 16:59</t>
  </si>
  <si>
    <t>Aprovecho esta ventana para por favor consultar sobre mi nuevo apto médico. Si ya está disponible . Al igual que la licencia chilena que me han enviado . Si también está mi apto médico , cuando y donde puedo recogerlo . Muchas gracias!</t>
  </si>
  <si>
    <t>"¡Gracias por la información! Te comentamos que el 07/08 confirmaste la recepción de tu recojo de tu apto médico, el cual se encuentra vigente. ¡Agradecemos mucho tu colaboración y comprensión!"</t>
  </si>
  <si>
    <t>8db53f34-LATAM-LP</t>
  </si>
  <si>
    <t>26/11/2025 15:26</t>
  </si>
  <si>
    <t>Buenas tardes, les escribe Pierina Rios, semana pasada notifiqué que no podía presentarme al apto médico programado el día lunes 24 por sintomatología de faringitis, ya terminé mi tratamiento. Me informaron tanto por correo y por respuesta de este formulario que me estarían notificando la nueva fecha de reprogramación del apto, estoy a la espera de la nueva fecha programada, quedo atenta. Muchas gracias.</t>
  </si>
  <si>
    <t>0cae0527-LATAM-LP</t>
  </si>
  <si>
    <t>27/11/2025 11:13</t>
  </si>
  <si>
    <t>Estimados, extendieron mi lck hasta el mes de diciembre en la flota narrow, ya que fue programada el día 06/10/25 y la instructora no asistió al vuelo, envié formulario, pero en el rol del mes de diciembre no me han programado lck en la flota narrow, quedo atenta para que me tengan consideración ya que diciembre es mi mes limite para tener lck. Gracias</t>
  </si>
  <si>
    <t>"""¡Gracias por la información! Te comentamos que según el rol, tienes asignado tu verificación de la competencia para la flota 320 el día 26/12. ¡Agradecemos mucho tu colaboración y comprensión!"""</t>
  </si>
  <si>
    <t>2ca97bbd-LATAM-LP</t>
  </si>
  <si>
    <t>27/11/2025 11:16</t>
  </si>
  <si>
    <t>Estimados, el mes de diciembre es mi fecha límite (extensión vcmto en nov) de mi lck en la flota narrow. No tengo programado lck en dicha flota. Quedo atenta a sus comentarios. Un saludo. Gracias</t>
  </si>
  <si>
    <t>4c2fabd4-LATAM-LP</t>
  </si>
  <si>
    <t>26/11/2025 18:42</t>
  </si>
  <si>
    <t>Buenas Tardes. Mi consulta es porque en el rol de diciembre salgo con el código NME y quería saber si tenía relación con el tiempo de ventana que me dio el médico aeronáutico que se termina a fines de éste mes.</t>
  </si>
  <si>
    <t>¡Gracias por la información! Te comentamos que el código NME significa que aún está pendiente el levantamiento de tu no apto. ¡Agradecemos mucho tu colaboración y comprensión!</t>
  </si>
  <si>
    <t>5b43c934-LATAM-LP</t>
  </si>
  <si>
    <t>26/11/2025 21:25</t>
  </si>
  <si>
    <t>Buenas tardes. Quería comentar que la información que se me ha proporcionado en el correo previo en donde se me indica "A partir del 16 de febrero del 2026, podrás iniciar los cursos de capacitación. Te corresponde el curso 50% y la fecha de inicio del curso aún está por confirmar.” no coincide con el rol de diciembre, el cual aparece asignación de clases a partir del día 10. Agradeceria por favor si pudieran revisar esta información y confirmarme cuál es el cronograma correcto. Quedo atenta. Muchas gracias.</t>
  </si>
  <si>
    <t>"¡Gracias por la información! Te comentamos que tu curso del 50% te corresponde realizarlo a partir de febrero. Asimismo, comentarte que se estará regularizando en el rol IFN. ¡Agradecemos mucho tu colaboración y comprensión!"</t>
  </si>
  <si>
    <t>c20d4e69-LATAM-LP</t>
  </si>
  <si>
    <t>27/11/2025 08:54</t>
  </si>
  <si>
    <t>ZZ01</t>
  </si>
  <si>
    <t>c1f1bd94-LATAM-LP</t>
  </si>
  <si>
    <t>24/11/2025 18:19</t>
  </si>
  <si>
    <t>CL06</t>
  </si>
  <si>
    <t>4640b583-LATAM-LP</t>
  </si>
  <si>
    <t>24/11/2025 15:10</t>
  </si>
  <si>
    <t>868f04f4-LATAM-LP</t>
  </si>
  <si>
    <t>27/11/2025 11:44</t>
  </si>
  <si>
    <t>Estimado Equipo Soporte SAB RA: Para comentarles que está por vencer mi habilitación B767, por no volar dentro de 90 días. Mi recalificación fueron los días martes 16 Setiembre 2025 yendo a Miami en el vuelo LA2480/LIM-MIA Y retornando el día miércoles 17 de setiembre 2025 en el vuelo LA2481/MIA-LIM. A la fecha en octubre, noviembre y diciembre 2025 antes de la fecha mencionada no me han programado vuelo en la flota B767, apesar que pedí. Espero me puedan ayudar para mantener mi licencia activa. Desde ya, muchas gracias de antemano. Saludos, Milagros Polo - JSB Latam</t>
  </si>
  <si>
    <t>"¡Gracias por la información! Te comentamos que tenemos mapeado en asignarte un vuelo en tu experiencia reciente. Te informamos que se va a gestionar tu caso con el equipo de roles para asignarte un vuelo en dicha flota antes de tu vencimiento. Asimismo, te contactaremos por correo electrónico si surge una opción que implique cambios en tu rol. ¡Agradecemos mucho tu colaboración y comprensión!"</t>
  </si>
  <si>
    <t>ff1455e7-LATAM-LP</t>
  </si>
  <si>
    <t>27/11/2025 13:36</t>
  </si>
  <si>
    <t>Estimado Equipo de Soporte, buen día. Para comentarles que mi habilitación B767 está por vencer. Mi recalificación fueron los días 16SEP en el LA2480 LIM/MIA, retornando el 17SEP en el vuelo LA2481 MIA/LIM. Hasta la fecha no me han programado vuelo en la flota WB a pesar de varios pedidos que hice. Por favor espero me tengan en cuenta para no vencerme y mantener mi Licencia activa. Muchas gracias por su ayuda! Hellen Soto JSB</t>
  </si>
  <si>
    <t>261f5ed5-LATAM-LP</t>
  </si>
  <si>
    <t>27/11/2025 12:56</t>
  </si>
  <si>
    <t>Buenas tardes estimados, eh tenido vuelo par qa habilitarme en 767 y quiero saber si solo se necesitaría ese vuelo o si me falta otro pues tengo entendido que mi lain check está vigente aún. Quedo atenta a sus comentatios</t>
  </si>
  <si>
    <t>"¡Gracias por la información! Verificamos que tu curso en tierra, verificación de la competencia y experiencia reciente en la flota B767 se encuentran vigentes, por lo que te encuentras activa para operar en dicha flota. Asimismo, te recordamos que según tu rol de diciembre, tienes programado un vuelo en dicha flota para el 12/12. ¡Agradecemos mucho tu colaboración y comprensión!"</t>
  </si>
  <si>
    <t>21fd0054-LATAM-LP</t>
  </si>
  <si>
    <t>27/11/2025 12:16</t>
  </si>
  <si>
    <t>Buen dia, intente pedir días de vacaciones adicionales para Enero 2026 pero el formulario esta configurado solo hasta Diciembre 2025, y la fecha limite para pedidos adicionales para Enero es el 31 de Noviembre. Por favor les solicito su ayuda con la corrección del formulario. Asi mismo les solicito por favor 4 días adicionales a mis vacaciones de Enero, los días son del 08 al 11 de Enero inclusive. Muchas gracias.</t>
  </si>
  <si>
    <t>"¡Gracias por la información! Te informamos que, para solicitar vacaciones adicionales debes hacerlo a través del formulario ""Pedido, Cesión e Intercambio de Vacaciones LP 2026-01"". Puedes acceder al formulario mediante el siguiente link: https://docs.google.com/forms/d/e/1FAIpQLSdmXt-iSndWo5_kb3Bithorzgp7OTZOBAa-lYgrbwGZuQBVcw/viewform Te recordamos que si deseas solicitar vacaciones adicionales para el mes de enero, deberán ser ingresadas a más tardar el día miercoles 3 de diciembre a las 23:59 hrs. ¡Agradecemos mucho tu colaboración y comprensión!"</t>
  </si>
  <si>
    <t>248a257f-LATAM-LP</t>
  </si>
  <si>
    <t>27/11/2025 18:33</t>
  </si>
  <si>
    <t>Hola quisiera saber la fecha de mi reva ya que tengo q pedir mi libre el mes subdiguienyey no quisiera perder mi pedido. Tengo hasta el 30 agradeceré me ayuden con este dato para poder pedir mi libre</t>
  </si>
  <si>
    <t>"¡Gracias por la información! Te informamos que, dado que tu mes base es febrero y según lo establecido en la RAP 63, esta actividad puede ser programada dentro de un período de elegibilidad que comprende 30 días antes, durante y después de tu mes base. Por lo tanto, tu curso de revalidación de seguridad podrá ser agendada tanto en enero como en marzo,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</si>
  <si>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741008be-LATAM-LP</t>
  </si>
  <si>
    <t>27/11/2025 18:48</t>
  </si>
  <si>
    <t>LK14</t>
  </si>
  <si>
    <t>957f66a7-LATAM-LP</t>
  </si>
  <si>
    <t>28/11/2025 22:04</t>
  </si>
  <si>
    <t>7d0cfd0f-LATAM-LP</t>
  </si>
  <si>
    <t>27/11/2025 14:05</t>
  </si>
  <si>
    <t>398a0d1d-LATAM-LP</t>
  </si>
  <si>
    <t>27/11/2025 15:56</t>
  </si>
  <si>
    <t>Hola! Mi licencia vence este 30 de nov. Por rol tengo un pernocte que aterriza el 30 a las 11:30pm. Para poder imprimir mi licencia necesito que me la envíen mañana por favor antes de salir al pernocte.</t>
  </si>
  <si>
    <t>46f2f2ff-LATAM-LP</t>
  </si>
  <si>
    <t>27/11/2025 16:49</t>
  </si>
  <si>
    <t>AM13</t>
  </si>
  <si>
    <t>a8facd1a-LATAM-LP</t>
  </si>
  <si>
    <t>27/11/2025 17:18</t>
  </si>
  <si>
    <t>AM05</t>
  </si>
  <si>
    <t>8c21e536-LATAM-LP</t>
  </si>
  <si>
    <t>27/11/2025 17:35</t>
  </si>
  <si>
    <t>Estimados, he recogido mi apto médico, pero en la parte de limitaciones me aparece incompleto " uso co" como puedo saber a que se refiere? Gracias</t>
  </si>
  <si>
    <t>6b7bfee3-LATAM-LP</t>
  </si>
  <si>
    <t>28/11/2025 23:07</t>
  </si>
  <si>
    <t>Solicito por favor chequeo competencia Airbus320 ya que estoy próxima a vencimiento</t>
  </si>
  <si>
    <t>8bd8da8b-LATAM-LP</t>
  </si>
  <si>
    <t>28/11/2025 23:10</t>
  </si>
  <si>
    <t>59b41b30-LATAM-LP</t>
  </si>
  <si>
    <t>25/11/2025 13:02</t>
  </si>
  <si>
    <t>1f967d1b-LATAM-LP</t>
  </si>
  <si>
    <t>28/11/2025 07:57</t>
  </si>
  <si>
    <t>RC06</t>
  </si>
  <si>
    <t>ec78fb34-LATAM-LP</t>
  </si>
  <si>
    <t>28/11/2025 07:58</t>
  </si>
  <si>
    <t>Quiero consultar cuando sera mi curso al 50% ya que en el rol que mandaron el dia 25 vi que tenia curso hasta el dia 26 diciembre pero mis vacas son desde el 24 dic al 29 de enero y dentro de mis vacas me estan poniendo curso y en el ultimo correo me enviaron decia que seria a partir del 30 de enero.</t>
  </si>
  <si>
    <t>59201741-LATAM-LP</t>
  </si>
  <si>
    <t>28/11/2025 09:31</t>
  </si>
  <si>
    <t>Buenos días por favor quisiera consultar sobre mi licencia de convalidacion chilena ya que me encuentro regresando despues de un DMP y tengo vuelos desde el lunes 01 de diciembre encontrándome con la convalidacion de licencia vencida</t>
  </si>
  <si>
    <t>2c0f8c1d-LATAM-LP</t>
  </si>
  <si>
    <t>28/11/2025 10:32</t>
  </si>
  <si>
    <t>0cb03550-LATAM-LP</t>
  </si>
  <si>
    <t>28/11/2025 10:52</t>
  </si>
  <si>
    <t>VA07</t>
  </si>
  <si>
    <t>d2284bde-LATAM-LP</t>
  </si>
  <si>
    <t>28/11/2025 11:05</t>
  </si>
  <si>
    <t>Buenos días estimados. El 12/12 tengo programado apto médico y una de las indicaciones recibidas era informar a soporte y cpl sobre alguna dispensa previa. Les comento que en mi primer apto, la clínica Los Andes, me derivó al oftalmólogo aeronaútico. Este proceso demoró el otorgamiento del apto médico, por esa razón, adjunto el informe que me realizó el oftalmólogo aeronaútico en ese tiempo. Muchas gracias.</t>
  </si>
  <si>
    <t>"¡Gracias por la información! Te informamos que solicitaremos el cambio a la clínica de los andes para que completes tu apto médico el 12/12. ¡Agradecemos mucho tu colaboración y comprensión!"</t>
  </si>
  <si>
    <t>aa039188-LATAM-LP</t>
  </si>
  <si>
    <t>28/11/2025 07:05</t>
  </si>
  <si>
    <t>LK12</t>
  </si>
  <si>
    <t>8145d53c-LATAM-LP</t>
  </si>
  <si>
    <t>28/11/2025 12:09</t>
  </si>
  <si>
    <t>Buenas tardes, me gustaría saber o quizás hubo un error en el abono de mi vale de alimentacion ya que me abonaron s/360 y tengo por Iflight otros números de horas de vuelo, en octubre no tuve ninguna falta.</t>
  </si>
  <si>
    <t>¡Gracias por la información! Te informamos que el pago comprendió los siguientes Bonos. Bono Cumplimiento de Rol: 5% de tu remuneración básica. Esto se debe a que en el año acumulaste un total de 12 días de descanso médico, siendo los 4 últimos en setiembre, por lo cual su bono de cumplimiento de rol se viene recuperando en el pago efectuado. Bono Operación NB: S/. 360.09. En caso desees consultar por este bono, debes comunicarte con Osmar Neves. ¡Agradecemos mucho tu colaboración y comprensión!</t>
  </si>
  <si>
    <t>4b9b39e8-LATAM-LP</t>
  </si>
  <si>
    <t>28/11/2025 13:57</t>
  </si>
  <si>
    <t>AM11</t>
  </si>
  <si>
    <t>b5eb14f4-LATAM-LP</t>
  </si>
  <si>
    <t>28/11/2025 19:28</t>
  </si>
  <si>
    <t>Buenas noches, el 24 de noviembre recibí correo de la postergaron de mis vacaciones del 24 al 31 de diciembre para apoyar en dichas fechas. En dicho correo indicaron que enviarán el 28 de nov. Para revisión la pre publicación del semestre 2026-01. Deseo por favor saber si me están considerando vacaciones por 15 dias en el mes de febrero (eso lo coordiné con mi CPL). Necesito por favor saber que dias serían las vacaciones para poder programarme e ir a visitar a mi hija que vive en Sidney y a su vez ella pida los mismos dias vacaciones. Gracias.</t>
  </si>
  <si>
    <t>"¡Gracias por la información! Te comentamos que tienes vacaciones pre publicadas del 08/02/2026 al 14/02/2026 y del 15/02/2025 al 21/02/2026. Asimismo, te recordamos que la confirmación de tus vacaciones se estará realizando con 22 días de anticipación. ¡Agradecemos mucho tu colaboración y comprensión!"</t>
  </si>
  <si>
    <t>e4311bff-LATAM-LP</t>
  </si>
  <si>
    <t>02/12/2025 11:40</t>
  </si>
  <si>
    <t>OS99</t>
  </si>
  <si>
    <t>ef185143-LATAM-LP</t>
  </si>
  <si>
    <t>02/12/2025 11:42</t>
  </si>
  <si>
    <t>Buenos dias el día 3 y 4 me figura por rol curso de servicios pero no me ha llegado la invitacion y me comentan que la invitación se envió el 27 de noviembre y revisando mi correo no tengo ninguna invitación si fuese posible me la puedan enviar muchas gracias</t>
  </si>
  <si>
    <t>"¡Gracias por tu mensaje! Te enviamos por correo la invitación para tu reva de servicio para los días 3/12 y 4/12. Por favor solo considera estos días para dicha actividad. ¡Agradecemos mucho tu colaboración y comprensión!"</t>
  </si>
  <si>
    <t>3065c752-LATAM-LP</t>
  </si>
  <si>
    <t>28/11/2025 22:22</t>
  </si>
  <si>
    <t>Buenas noches, yo tengo confirmada fecha de vacaciones hasta el 26 de enero del 2026 ya que son por vencimiento de natalidad pero acabo de recibir el correo de pre publicación de vacaciones de ENE-JUN2026 y me indican que tengo vacaciones del 24 al 31 de Enero (8 días) quería saber si esos días restantes los van a sumar a mis vacaciones brindadas en enero para que no se sobrepongan unas sobre otras sino que corran los días siguientes. Quedo atenta</t>
  </si>
  <si>
    <t>"¡Gracias por la información! Te comentamos que tenemos mapeado tu caso. Asimismo, te informamos que se te programará tus vacaciones desde el 01/01/26 al 31/01/2026. ¡Agradecemos mucho tu colaboración y comprensión!"</t>
  </si>
  <si>
    <t>1ee0967e-LATAM-LP</t>
  </si>
  <si>
    <t>28/11/2025 22:42</t>
  </si>
  <si>
    <t>"¡Gracias por tu mensaje! Te comentamos que tienes asignación de vacaciones del 01/05/2026 al 07/05/2026 (prioridad 1) y 16/05/2026 al 23/05/2026 (prioridad 3) que se encuentran incluidas en el periodo del 2026-1. Te informamos que la asignación de vacaciones se realizó en base a cupos disponibles y ranking escalafón. En caso solo desees gozar 1 semana de vacaciones, te recomendamos realizar una cesión de vacaciones a otro compañero (el pedido lo debes ingresar hasta antes del 31/03/2026), en el cual debes acceder través del formulario: Pedido, Cesión e Intercambio de Vacaciones SAB LP 2026-01. Puedes acceder al formulario mediante el siguiente link: https://docs.google.com/forms/d/e/1FAIpQLSdmXt-iSndWo5_kb3Bithorzgp7OTZOBAa-lYgrbwGZuQBVcw/viewform "</t>
  </si>
  <si>
    <t>d8dae6f8-LATAM-LP</t>
  </si>
  <si>
    <t>28/11/2025 22:36</t>
  </si>
  <si>
    <t>Me gustaría saber si hay alguna posibilidad de que me asignen algún bloque de vacaciones de las que solicité, ya que todas mis prioridades en la solicitud fueron de 2 semanas seguidas. Bajo ese punto de vista no me fue otorgado ninguna prioridad. Me gustaría renunciar a las vacaciones del 8-15 de Abril y que me otorguen del 1-7 de Abril por favor.</t>
  </si>
  <si>
    <t>¡Gracias por tu mensaje! Te comentamos que tienes asignación de vacaciones del 24/03/2026 al 31/03/2026 (prioridad 1) y 08/04/2026 al 15/04/2026 (prioridad 2) que se encuentran incluidas en el periodo del 2026-1. Te informamos que la asignación de vacaciones se realizó en base a cupos disponibles y ranking escalafón. En caso desees gozar 2 semanas seguidas de vacaciones, te recomendamos realizar un intercambio de vacaciones a otro compañero (debes ingresar tu solicitud hasta el último día de dos meses de anticipación), debes acceder través del formulario: Pedido, Cesión e Intercambio de Vacaciones SAB LP 2026-01. Puedes acceder al formulario mediante el siguiente link: https://docs.google.com/forms/d/e/1FAIpQLSdmXt-iSndWo5_kb3Bithorzgp7OTZOBAa-lYgrbwGZuQBVcw/viewform</t>
  </si>
  <si>
    <t>a56fbd01-LATAM-LP</t>
  </si>
  <si>
    <t>01/12/2025 21:46</t>
  </si>
  <si>
    <t>Estimados, el 26 intentaba realizar el control de lectura en la noche (22.48) pero el sistema no estaba disponible a pesar que aún estaba dentro del plazo. Al ingresar la pantalla estaba vacía sin posibilidad de ingresar a rendir la evaluación. Quedo atenta.</t>
  </si>
  <si>
    <t>c09f6c78-LATAM-LP</t>
  </si>
  <si>
    <t>28/11/2025 22:52</t>
  </si>
  <si>
    <t>Vacaciones</t>
  </si>
  <si>
    <t>VA14</t>
  </si>
  <si>
    <t>"¡Gracias por la información! Por favor nos comentas el detalle de tu consulta. ¡Agradecemos mucho tu colaboración y comprensión!</t>
  </si>
  <si>
    <t>b809dbec-LATAM-LP</t>
  </si>
  <si>
    <t>01/12/2025 20:48</t>
  </si>
  <si>
    <t>Buenas noches El día 29/12 tengo RTI por lo cual me gustaría saber de qué se trata esa asignación ya que aprobé mi reva de recuperación (examenes 320 767 y presencial cae) el 27, 28 y 29 de noviembre y me encuentro en línea otra vez. Quedo atento.</t>
  </si>
  <si>
    <t>13566cca-LATAM-LP</t>
  </si>
  <si>
    <t>28/11/2025 23:08</t>
  </si>
  <si>
    <t>Buenas noches cuando enviaron el formato para solicitar vacaciones yo puse para el mes de febrero por el cumple de mi hijo ahora veo en el correo que solo me han pre publicado del mes dd Junio. Me ayudan por favir, gracias.</t>
  </si>
  <si>
    <t>¡Gracias por tu mensaje! Te comentamos que tienes asignación de vacaciones del 08/06/2026 al 15/06/2026 (prioridad 1) que se encuentran incluidas en el periodo del 2026-1. Te informamos que la asignación de vacaciones del 01/06/2026 al 15/06/2026 se realizó en base a cupos disponibles y ranking escalafón. En caso desees gozar vacaciones en febrero, te recomendamos realizar un intercambio de vacaciones a otro compañero (debes ingresar tu solicitud hasta el último día de dos meses de anticipación), debes acceder través del formulario: Pedido, Cesión e Intercambio de Vacaciones SAB LP 2026-01. Puedes acceder al formulario mediante el siguiente link: https://docs.google.com/forms/d/e/1FAIpQLSdmXt-iSndWo5_kb3Bithorzgp7OTZOBAa-lYgrbwGZuQBVcw/viewform</t>
  </si>
  <si>
    <t>3b5d59f4-LATAM-LP</t>
  </si>
  <si>
    <t>28/11/2025 22:00</t>
  </si>
  <si>
    <t>Que asignacion tengo el 29 de diciembre?</t>
  </si>
  <si>
    <t>¡Gracias por tu mensaje!. Te comentamos que el 29/12 tienes programado hands on b787. Cabe resaltar que la información será enviada días previos a tu correo. ¡Agradecemos mucho tu colaboración y comprensión!</t>
  </si>
  <si>
    <t>99cdc5ad-LATAM-LP</t>
  </si>
  <si>
    <t>28/11/2025 23:16</t>
  </si>
  <si>
    <t>Buenas noches, me llegó la pre publicación de vacaciones con una semana que no estaba en mis opciones y que no necesito salir. Habrá alguna manera de anular esa semana del 1 al 7 de junio y guardarla para el segundo semestre por favor. Porque no necesito salir de vacaciones en. Esas fechas, además el 5 es mi cumpleaños y por rol el 5 y 6 tengo libre, estaría perdiendo dos de los 7 días que me han dado, no me conviene y no requiero salir en esa semana, me hace más falta salir el segundo semestre 3 semanas si estaría que no es posible que me den las vacaciones en febrero como las había solicitado. Muchas gracias de antemano.</t>
  </si>
  <si>
    <t>"¡Gracias por tu mensaje! Te comentamos que tienes asignación de vacaciones del 08/06/2026 al 15/06/2026 (prioridad 1) que se encuentran incluidas en el periodo del 2026-1. Te informamos que la asignación de vacaciones del 01/06/2026 al 15/06/2026 se realizó en base a cupos disponibles y ranking escalafón. En caso desees gozar vacaciones en febrero, te recomendamos realizar un intercambio de vacaciones a otro compañero (debes ingresar tu solicitud hasta el último día de dos meses de anticipación), debes acceder través del formulario: Pedido, Cesión e Intercambio de Vacaciones SAB LP 2026-01. Puedes acceder al formulario mediante el siguiente link: https://docs.google.com/forms/d/e/1FAIpQLSdmXt-iSndWo5_kb3Bithorzgp7OTZOBAa-lYgrbwGZuQBVcw/viewform "</t>
  </si>
  <si>
    <t>fd3681d8-LATAM-LP</t>
  </si>
  <si>
    <t>28/11/2025 23:17</t>
  </si>
  <si>
    <t>Hola equipo de soporte necesito información acerca de mis vacaciones yo pedí del 1-5 de Mayo y me pusieron para el 16-30 de alAbril eso es porque me venzo o hay alguna manera de cambiarlas ? No manejo muy bien el tema del pedido de vacaciones y del vencimiento, ayúdenme por favor</t>
  </si>
  <si>
    <t>"¡Gracias por tu mensaje! Te comentamos que tu asignación de vacaciones pre publicadas del 16/04/2026 al 30/04/2026 son por vencimiento, esto significa que debes gozar vacaciones hasta antes del 01/05/2026. En caso desees gozar vacaciones en mayo, te recomendamos realizar un pedido adicional de vacaciones (debes ingresar tu solicitud hasta el último día de dos meses de anticipación), debes acceder través del formulario: Pedido, Cesión e Intercambio de Vacaciones SAB LP 2026-01. Puedes acceder al formulario mediante el siguiente link: https://docs.google.com/forms/d/e/1FAIpQLSdmXt-iSndWo5_kb3Bithorzgp7OTZOBAa-lYgrbwGZuQBVcw/viewform "</t>
  </si>
  <si>
    <t>a05f28c4-LATAM-LP</t>
  </si>
  <si>
    <t>28/11/2025 23:25</t>
  </si>
  <si>
    <t>El 30/09 me llegó un correo informando que tenía 32 días de vacaciones para pedir en el primer semestre el 2026 y ahora que me llegó el correo con las pre publicacion del mismo solo me sale una semana y quisiera saber porque no se me asignó las semanas restantes que solicité.</t>
  </si>
  <si>
    <t>"¡Gracias por tu mensaje! Te comentamos que en base a su saldo disponible de Recursos Humanos a la fecha de corte, se han pre-publicado 7 días de vacaciones, priorizando su solicitud número uno. Asimismo, te recordamos que cuentas con una asignación de 45 días de vacaciones en tu línea de retorno de maternidad. Si desea disfrutar de un periodo vacacional más extenso, te recomendamos realizar un pedido adicional de vacaciones (la solicitud se debe ingresar hasta el último día de dos meses de anticipación), debes acceder través del formulario: Pedido, Cesión e Intercambio de Vacaciones SAB LP 2026-01. Puedes acceder al formulario mediante el siguiente link: https://docs.google.com/forms/d/e/1FAIpQLSdmXt-iSndWo5_kb3Bithorzgp7OTZOBAa-lYgrbwGZuQBVcw/viewform "</t>
  </si>
  <si>
    <t>67e6eebb-LATAM-LP</t>
  </si>
  <si>
    <t>28/11/2025 23:57</t>
  </si>
  <si>
    <t>Consulta hoy enviaron la pre publicación de vacaciones y solo me están dando sólo 8 días pero me corresponde tener 13 días Antes del vencimiento y 8 después de vencimiento .que si las tengo por favor estarían faltando unos días Antea de vencimiento por favor ayuda .</t>
  </si>
  <si>
    <t>"¡Gracias por tu mensaje! Te comentamos que, según la información compartida en el correo de pre-publicación, los bloques de vacaciones deben ser de 7 u 8 días como mínimo, lo cual impidió fraccionar un bloque adicional para completar sus 13 días. No obstante, te informamos que los 5 días restantes se añadirán y se tomarán junto con su bloque de vacaciones por vencimiento ya pre-publicado para enero del 19/01 al 31/01. ¡Agradecemos mucho tu colaboración y comprensión!</t>
  </si>
  <si>
    <t>69d507c4-LATAM-LP</t>
  </si>
  <si>
    <t>29/11/2025 00:23</t>
  </si>
  <si>
    <t>Buenos días estimados, ayer completé mi recuperación presencial en cae 320/767 y hoy sábado tengo asignado mi quinto día de rti (cursos en plataforma virtual) con lo cual concluiría mi reva, sin embargo el 29 de diciembre tengo asignación RTI lo cual me gustaría que me indiquen sobre ella. Saludos</t>
  </si>
  <si>
    <t>164c3539-LATAM-LP</t>
  </si>
  <si>
    <t>29/11/2025 18:28</t>
  </si>
  <si>
    <t>Reciban un cordial saludo la presente es para informar que por tema operacional se a visto afectado el primer día de revalidacion el 1ro de diciembre, el cual tenia los cursos online, me gustaría saber para cuando me reprogramarían, tengo reservas en el mes de diciembre. Saludos cordiales</t>
  </si>
  <si>
    <t>"¡Gracias por la información! Te informamos que se te reagendará el día faltante y te estaremos notificando por correo. ¡Agradecemos mucho tu colaboración y comprensión!"</t>
  </si>
  <si>
    <t>4f144800-LATAM-LP</t>
  </si>
  <si>
    <t>29/11/2025 20:34</t>
  </si>
  <si>
    <t>Error en asignación de vacaciones.</t>
  </si>
  <si>
    <t>4e0bf4b5-LATAM-LP</t>
  </si>
  <si>
    <t>Buenas noches, esperando se encuentren bien, les comento que pedir vacaciones solo la primera semana de enero en el semestre 01-2026 y también asignaron en Mayo, necesito el restante de mis vacaciones para el semestre 2-2026 puesto que me voy a mudar de domicilio, muchas gracias.</t>
  </si>
  <si>
    <t>¡Gracias por tu mensaje! Te comentamos que tienes asignación de vacaciones del 01/01/2026 al 07/01/2026 (prioridad 1) que se encuentran incluidas en el periodo del 2026-1. Te informamos que la asignación de vacaciones del 01/05/2026 al 07/05/2026 se realizó en base a cupos disponibles y ranking escalafón. En caso no desees gozar vacaciones en la semana de mayo, te recomendamos realizar una cesión de vacaciones (recuerda que la solicitud se debe ingresar hasta el último día de dos meses de anticipación), debes acceder través del formulario: Pedido, Cesión e Intercambio de Vacaciones SAB LP 2026-01. Puedes acceder al formulario mediante el siguiente link: https://docs.google.com/forms/d/e/1FAIpQLSdmXt-iSndWo5_kb3Bithorzgp7OTZOBAa-lYgrbwGZuQBVcw/viewform</t>
  </si>
  <si>
    <t>577cf83e-LATAM-LP</t>
  </si>
  <si>
    <t>29/11/2025 22:18</t>
  </si>
  <si>
    <t>Por favor puedes confirmarme cuando se vencen mis vacaciones tengo 2 semanas en enero y quiero cambiarlas pero sale por vencimiento, quisiera saber si puedo cambiarlas , hasta cuándo si podría cambiar y cuando vencen. Gracias</t>
  </si>
  <si>
    <t>¡Gracias por tu mensaje! Te comentamos que tu asignación de vacaciones pre publicadas del 08/01/2026 al 23/01/2026 son por vencimiento, esto significa que debes gozar vacaciones hasta antes del 01/02/2026. En caso no desees gozar vacaciones en abril, te recomendamos realizar una cesión de vacaciones (recuerda que la solicitud se debe ingresar hasta el último día de dos meses de anticipación), debes acceder través del formulario: Pedido, Cesión e Intercambio de Vacaciones SAB LP 2026-01. Puedes acceder al formulario mediante el siguiente link: https://docs.google.com/forms/d/e/1FAIpQLSdmXt-iSndWo5_kb3Bithorzgp7OTZOBAa-lYgrbwGZuQBVcw/viewform</t>
  </si>
  <si>
    <t>3b9dc832-LATAM-LP</t>
  </si>
  <si>
    <t>30/11/2025 18:33</t>
  </si>
  <si>
    <t>Buenas tardes, estimados: Les escribo para realizar la siguiente consulta. En mi solicitud de vacaciones para el primer semestre de 2026, indiqué una semana en febrero y dos semanas en junio para todas las opciones. Además, en los comentarios reiteré que deseaba salir una semana en febrero y dos semanas en junio, ya que al momento de completar la solicitud contaba con 20 días de vacaciones disponibles antes de su vencimiento. Sin embargo, en la prepublicación de vacaciones solo se me muestra una semana en febrero y una semana en junio. Por ello, quisiera saber si aún falta que se prepublique una semana adicional en junio o si únicamente se me han considerado dos semanas de vacaciones en total para el primer semestre de 2026. De haber sido considerado solo ese total, agradecería su apoyo para que se respete mi solicitud de dos semanas en junio. Quedo atenta a su respuesta. Muchas gracias de antemano, Silvana Arce</t>
  </si>
  <si>
    <t>¡Gracias por tu mensaje! Te recordamos que, según la información compartida en el correo de pre-publicación, los bloques de vacaciones deben ser de 7 u 8 días como mínimo, lo cual impidió fraccionar un bloque adicional para completar tus 20 días. Por otro lado, te comentamos que tienes asignación de vacaciones del 22/02/2026 al 28/02/2026 (prioridad 1) y 16/06/2026 al 22/06/2026 (prioridad 1) que se encuentran incluidas en el periodo del 2026-1. Te informamos que la asignación de vacaciones se realizó en base a cupos disponibles y ranking escalafón. En caso desees tus 2 semanas seguidas de vacaciones en junio, te recomendamos realizar un intercambio de vacaciones a otro compañero de la fecha de febrero (debes ingresar tu solicitud hasta el último día de dos meses de anticipación), debes acceder través del formulario: Pedido, Cesión e Intercambio de Vacaciones SAB LP 2026-01. Puedes acceder al formulario mediante el siguiente link: https://docs.google.com/forms/d/e/1FAIpQLSdmXt-iSndWo5_kb3Bithorzgp7OTZOBAa-lYgrbwGZuQBVcw/viewform " ¡Agradecemos mucho tu colaboración y comprensión!</t>
  </si>
  <si>
    <t>77abe59c-LATAM-LP</t>
  </si>
  <si>
    <t>30/11/2025 23:04</t>
  </si>
  <si>
    <t>b306530a-LATAM-LP</t>
  </si>
  <si>
    <t>01/12/2025 00:08</t>
  </si>
  <si>
    <t>Segun mi rol de este mes tengo el 02 dia libre y reva el 3,4,5 y 10. Me hsn enviafo el correo de programacion de capacitacion que dice del 2 al 5. Quidiera saber cual sera mi programacion ya que no coincide.</t>
  </si>
  <si>
    <t>"¡Gracias por la información! Te pedimos considerar los días de tu reva el 3,4,5 y 10 de diciembre. Te hemos notificado por correo la programación correcta. ¡Agradecemos mucho tu colaboración y comprensión!"</t>
  </si>
  <si>
    <t>9fde5347-LATAM-LP</t>
  </si>
  <si>
    <t>01/12/2025 00:40</t>
  </si>
  <si>
    <t>Hace un rato me llegó un correo de la confirmación de mis vacaciones del 01/01 al 07/01 del 2026, mi duda era si esa confirmación es por semanas, ya que en realidad yo habia pedido 15 días seguidos y ya me habian enviado una pre publicación de que mis vacaciones serian del 01/01 al 15/01. Por favor podrian confirmarme de que tendré tambien de la semana del 08/01 al 15/01. Gracias de antemano.</t>
  </si>
  <si>
    <t>"¡Gracias por la información! Te comentamos que tienes vacaciones pre publicadas del 01/01/2026 al 15/01/2026. Asimismo, te recordamos que la confirmación de tus vacaciones del 2do bloque se estará realizando con 22 días de anticipación. ¡Agradecemos mucho tu colaboración y comprensión!"</t>
  </si>
  <si>
    <t>b0058433-LATAM-LP</t>
  </si>
  <si>
    <t>01/12/2025 08:43</t>
  </si>
  <si>
    <t>Vacaciones tocadas 1/12 - 5/12. Solicitar estos dias sean devueltos a la bolsa para el periodo 2026-2. En el cual desde la fecha de ingreso 1 Oct estoy saliendo 6/12 al 7/22(2dias) + 22/02 al 15/03(22 dias) = 24 dias tomados de los 44 hasta el 1 Oct 2026. Asimismo tengo entendido que corresponde un bono por vacaciones tocadas, quedo atenta.</t>
  </si>
  <si>
    <t>"¡Gracias por la información! Te comentamos que tus 5 dias de vacaciones afectados serán empalmados del 8 al 12 diciembre debido a que según la información compartida en el correo de pre-publicación, los bloques de vacaciones deben ser de 7 u 8 días como mínimo. Asimismo, te informamos que al ser afectado tales dias, recibiras el bono por postegación de vacaciones ($350) en tu boleta de enero. ¡Agradecemos mucho tu colaboración y comprensión!"</t>
  </si>
  <si>
    <t>46041368-LATAM-LP</t>
  </si>
  <si>
    <t>01/12/2025 11:09</t>
  </si>
  <si>
    <t>Buenos dias, reviso que se me han asignado vacaciones en el mes de enero 2026 del 01/01/26 hasta el 23/01/26, y luego 2 semanas del 16/03/23 hasta el 31/03/26 por vencimiento. Es posible mover las fechas de tal manera que se cubra desde el 29 de enero en adelante? Por un tratamiento médico. Se me puede considerar ya que actualmente no me encuentro en el rol operativo? Muchas gracias</t>
  </si>
  <si>
    <t>¡Gracias por la información! Te comentamos que las vacaciones del primer bloque del 01/01/2026 al 07/01/2026 no podrán ser modificadas ya que son vacaciones confirmados, sin embargo, te informamos que los bloques restantes pueden ser cambiado a partir de la fecha que desee gozar. Te pedimos por favor confirmamos que bloque de tus vacaciones pre publicadas por vencimiento desea cambiar, cabe mencionar que tienes plazo hasta el día de mañana a las 23:59 horas para brindarnos la información. Te recomendamos volver a ingresar tu consulta con la respuesta. ¡Agradecemos mucho tu colaboración y comprensión!</t>
  </si>
  <si>
    <t>76009679-LATAM-LP</t>
  </si>
  <si>
    <t>01/12/2025 13:18</t>
  </si>
  <si>
    <t>Vacaciones 2026</t>
  </si>
  <si>
    <t>e85875a1-LATAM-LP</t>
  </si>
  <si>
    <t>01/12/2025 13:21</t>
  </si>
  <si>
    <t>Buenas tardes, solicité vacaciones para febrero del 2026, sin embargo aún no me ha llegado ninguna pre publicación. Desearia saber hasta cuando es el tiempo límite para recibir la información. Gracias.</t>
  </si>
  <si>
    <t>"¡Gracias por la información! Te comentamos que debido a que no contabas con bolsa disponible antes de tu fecha de vencimiento (01/03/2026), no se te ha podido pre publicar los bloques que deseaba salir en febrero. Asimismo, te recordamos que dentro de los comentarios del formulario, se menciona que solo deseaba salir las dos primeras semanas de febrero, es por ello que no se le pre publicó otros días de vacaciones. ¡Agradecemos mucho tu colaboración y comprensión!"</t>
  </si>
  <si>
    <t>b598c016-LATAM-LP</t>
  </si>
  <si>
    <t>01/12/2025 17:01</t>
  </si>
  <si>
    <t>595222a5-LATAM-LP</t>
  </si>
  <si>
    <t>01/12/2025 14:40</t>
  </si>
  <si>
    <t>fbbfe839-LATAM-LP</t>
  </si>
  <si>
    <t>01/12/2025 15:19</t>
  </si>
  <si>
    <t>Estimados buenas tardes, me enviaron jn correo indicándome vacaciones pre publicadas en dos semanas diferentes, las cuales yo no solicite debido a que las voy a solicitar juntar para el siguiente semestre, por favor pido puedan revisar ya que cuando llego el cuadro yo marque la opción que no quetia salir estre trimestre, agradeceré pudieran ayudarme ya que yo las solicito junto con las vacaciones de mi hijo. Muchas gracias por su ayuda</t>
  </si>
  <si>
    <t>"¡Gracias por tu mensaje! Te comentamos que tu asignación de vacaciones pre publicadas del 08/03/2026 al 15/03/2026 y del 23/04/2026 al 30/04/2026 son por vencimiento, esto significa que debes gozar vacaciones hasta antes del 01/05/2026. A partir del 01/05/2026 se te aperturará una nueva meta de 30 días para que lo puedas gozar en el siguiente semestre. ¡Agradecemos mucho tu colaboración y comprensión!"</t>
  </si>
  <si>
    <t>85fd7ba2-LATAM-LP</t>
  </si>
  <si>
    <t>27/11/2025 12:50</t>
  </si>
  <si>
    <t>Mi rol de diciembre tiene 3 días con BFH, me gustaría hacer unos cambios de vuelo, porque tengo varios días libres, pero me habían comentado que ese código es porque ya tengo muchas horas. Me podrían confirmar cuantas horas más puedo aceptar.</t>
  </si>
  <si>
    <t>RO07</t>
  </si>
  <si>
    <t>0c73c78f-LATAM-LP</t>
  </si>
  <si>
    <t>c7659eec-LATAM-LP</t>
  </si>
  <si>
    <t>28/11/2025 11:13</t>
  </si>
  <si>
    <t>3fa578d5-LATAM-LP</t>
  </si>
  <si>
    <t>02/12/2025 10:27</t>
  </si>
  <si>
    <t>VA12</t>
  </si>
  <si>
    <t>25367375-LATAM-LP</t>
  </si>
  <si>
    <t>02/12/2025 12:08</t>
  </si>
  <si>
    <t>En respuesta a la solicitud d8dae6f8-LATAM-LP les comento que en mi prioridad 1 están marcadas dos casillas consecutivas del 24/03/2026 al 07/04/2026 y como prioridad dos 2 de igual manera dos casillas consecutivas del 01/04/2026 al 15/04/2026. Por lo que, en caso de no poder otorgarme mi primera prioridad en su totalidad debería escalar a la segunda prioridad y asi sucesivamente. En mi pedido no existe en ninguna prioridad una sola casilla marcada, en todas son dos casillas consecutivas por lo que se entiende que deseo salir 2 semanas de vacaciones juntas en cualquier fecha de las 8 prioridades marcadas. Entiendo perfectamente el escalafon y cupos, es por ello que marco las 8 prioridades. Espero puedan ayudarme con la solicitud de vacaciones en semanas consecutivas.</t>
  </si>
  <si>
    <t>"¡Gracias por tu mensaje! Te comentamos que la asignación de los bloques pre publicados es debido a que en los comentarios que realizó en el formulario, no se especifica que deseaba 2 semanas seguidas, es por ello que se tuvo que cubrir según cupos disponibles, escalafón y prioridades. En caso desees gozar 2 semanas seguidas de vacaciones, te recomendamos realizar un intercambio de vacaciones a otro compañero (debes ingresar tu solicitud hasta el último día de dos meses de anticipación), debes acceder través del formulario: Pedido, Cesión e Intercambio de Vacaciones SAB LP 2026-01. Puedes acceder al formulario mediante el siguiente link: https://docs.google.com/forms/d/e/1FAIpQLSdmXt-iSndWo5_kb3Bithorzgp7OTZOBAa-lYgrbwGZuQBVcw/viewform " ¡Agradecemos mucho tu colaboración y comprensión!"</t>
  </si>
  <si>
    <t>44e3496e-LATAM-LP</t>
  </si>
  <si>
    <t>28/11/2025 22:44</t>
  </si>
  <si>
    <t>LS01</t>
  </si>
  <si>
    <t>dfde06ca-LATAM-LP</t>
  </si>
  <si>
    <t>02/12/2025 13:06</t>
  </si>
  <si>
    <t>Buenos días, mi consulta es la siguiente: Quiero hacer un viaje largo (casi 2semanas) durante la 1era y segunda semana de FEBRERO, porque mis familiares solo pueden en esas fechas. Estoy tratando de cambiar mis vacaciones (2da y 3era semana de ENERO) con algunos de mis compañeros pero hasta no encuentro con quién. Vi que para solicitar vacaciones adicionales me darían respuesta 15 días antes (las solicitaré de igual forma). En vista de que solo queda 2 meses para las fechas solicitadas, realizo la consulta que si me pudieran otorgar LICENCIA SIN SUELDO del 1 al 14 de Febrero del 2026. Sin mas me despido y que tengan buen día. Gracias y saludos.</t>
  </si>
  <si>
    <t>"¡Gracias por la información! Te pedimos por favor canalizar esta información con tu CPL. ¡Agradecemos mucho tu colaboración y comprensión!"</t>
  </si>
  <si>
    <t>9cc63875-LATAM-LP</t>
  </si>
  <si>
    <t>02/12/2025 13:26</t>
  </si>
  <si>
    <t>Buenas tardes, te saluda Sergio Delgado con BP 600436. El día 29 de noviembre me activaron el vuelo 2462 a Curitiba. El día 30 de noviembre tenia vuelo B767 a NYC. Debido a la activación, no pude hacer el vuelo. El día 3 de octubre tuve mi último vuelo 767, y el día 1ero de enero del 2026 se cumplen 90 días de experiencia reciente. El 1ero de enero tengo vuelos nacionales. Necesito ayuda para que me programen un vuelo antes de que se venza mi habilitación. Mi linecheck fue en octubre, no quiero perder mi habilitación cuando acabo de renovarla. Muchas gracias, espero su respuesta</t>
  </si>
  <si>
    <t>"¡Gracias por la información! Te comentamos que solicitaremos al equipo de recovery para la asignación de tu vuelo para la flota B767. ¡Agradecemos mucho tu colaboración y comprensión!"</t>
  </si>
  <si>
    <t>13e7b101-LATAM-LP</t>
  </si>
  <si>
    <t>Linecheck 787. Buenas Tardes: Mi linecheck se realizo en Enero del 2025. Me sale en el Iflight que vence este 31 de Diciembre. Quisiera pedir prioridad en Activarme un Chequeo en 787 en diciembre o tener la extensión porfavor.</t>
  </si>
  <si>
    <t>"¡Gracias por la información! Te informamos que, dado que tu mes base es diciembre y según lo establecido en la RAP 63, esta actividad puede ser programada dentro de un período de elegibilidad que comprende 30 días antes, durante y después de tu mes base. Por lo tanto, tu verificación de competencia podrá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</si>
  <si>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a586e3e3-LATAM-LP</t>
  </si>
  <si>
    <t>02/12/2025 21:25</t>
  </si>
  <si>
    <t>Mi LCK en A-320 fue programado para el viernes 5, pero estare de DM hasta el Lunes 8. Sera posible mi reprogramacion en este mes? Gracias.</t>
  </si>
  <si>
    <t>8ea99a99-LATAM-LP</t>
  </si>
  <si>
    <t>02/12/2025 19:07</t>
  </si>
  <si>
    <t>Buenas noches, les escribo para consultar sobre 2 cursos que me han asignado en la academia latam (emergencias generales y equipo B767), quisiera saber si son los mismos cursos que ya realicé en octubre cuando tuve la Reva asignada. Si es así quisiera saber si tengo que volver a realizarlos o se validan los que ya hice en octubre. Si</t>
  </si>
  <si>
    <t>"¡Gracias por la información! Te informamos que se está agendando los días que faltan por completar. Si los cursos e-learning ya han sido realizados, puede estar tranquila ¡Agradecemos mucho tu colaboración y comprensión!"</t>
  </si>
  <si>
    <t>2cb1b7a8-LATAM-LP</t>
  </si>
  <si>
    <t>04/12/2025 08:57</t>
  </si>
  <si>
    <t>Reprogramacion chequeo de competencia: por motivo de descanso medico se vio afectado mi chequeo de competencia de Boeing 767, este.se vence el 31/01/26, yo lo tenia programado para este mes de diciembre pero por motivos de salud no lo pude realizar, les agradecería puedan hacer seguimiento a este tema.</t>
  </si>
  <si>
    <t>"¡Gracias por la información! Te informamos que, dado que tu mes base es enero y según lo establecido en la RAP 63, esta actividad puede ser programada dentro de un período de elegibilidad que comprende 30 días antes, durante y después de tu mes base. Por lo tanto, tu verificación de competencia podrá ser agendada tanto en diciembre como en febrero,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</si>
  <si>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625e0a84-LATAM-LP</t>
  </si>
  <si>
    <t>03/12/2025 00:14</t>
  </si>
  <si>
    <t>Buenas tardes. Me llego la pre publicación de mis vacaciones y tengo 3 semanas seguidas en junio. Cuando mandaron el formulario yo solicite empalmar esas vacaciones después de mi lactancia, para poder quedarme más tiempo con mi hijita por lo que por favor les pido su ayuda para poder realizar este requerimiento que también lo he tenido con mis dos anteriores hijos, es muy importante para mi ya que al igual que mis otros dos hijos a mi bebita también le estoy dando lactancia materna exclusiva. Quedo atenta a su pronta respuesta.</t>
  </si>
  <si>
    <t>"¡Gracias por tu mensaje! Te comentamos que tenemos mapeado tu caso. Te informamos que tus vacaciones de junio se moverán para que se empalme junto a tu linea de retorno. ¡Agradecemos mucho tu colaboración y comprensión!"</t>
  </si>
  <si>
    <t>d45dd26d-LATAM-LP</t>
  </si>
  <si>
    <t>03/12/2025 06:09</t>
  </si>
  <si>
    <t>c0592e8e-LATAM-LP</t>
  </si>
  <si>
    <t>03/12/2025 08:02</t>
  </si>
  <si>
    <t>37a1664b-LATAM-LP</t>
  </si>
  <si>
    <t>04/12/2025 15:40</t>
  </si>
  <si>
    <t>Estimados, buenas tardes. El día 26/11 tenía programado por rol mi chequeo de competencia airbus el cual no se realizó ya que el instructor no llegó al vuelo. En el rol publicado de diciembre no tengo el chequeo y me venzo el 31/12. Agradeceré puedan comunicarme si van a agregarme a algún chequeo este mes o si tendré prórroga en el mes de enero 2026. Muchas gracias por su ayuda y atención.</t>
  </si>
  <si>
    <t>4d181bb9-LATAM-LP</t>
  </si>
  <si>
    <t>03/12/2025 11:08</t>
  </si>
  <si>
    <t>Buenos días, escribo en relación con las fechas de mis próximas vacaciones. He recibido una confirmación de vacaciones por retorno de maternidad, que son hasta el 26 de enero de 2026, lo cual coincide con el fin de mi período de maternidad, lactancia y vacaciones truncas del 2025. Por otro lado, también he recibido una confirmación adicional de vacaciones que se superpone a las fechas mencionadas, indicando que tengo vacaciones programadas del 24 al 31 de enero de 2026. Entiendo que estas últimas son vacaciones por vencer. Considerando la combinación de ambas fechas de vacaciones, mi fecha de retorno al trabajo sería el 3 de febrero de 2026, ya que sino se dejaría aproximadamente 3 días pendientes de vacaciones que vencerían antes de marzo. Agradecería mucho si pudieran confirmar si esta interpretación es correcta y si mi fecha de retorno oficial sería el 3 de febrero de 2026 sino tendría pendiente 3 días extras que me gustaría tomarlo antes de retornar a la línea ya que son por vencimiento como indica mi correo de pre publicación.</t>
  </si>
  <si>
    <t>"¡Gracias por tu mensaje! Te informamos que vamos a considerar tu pedido adicional de vacaciones para el mes de febrero y estarías retornando a la linea a partir del 5-feb-2026. ¡Agradecemos mucho tu colaboración y comprensión!"</t>
  </si>
  <si>
    <t>af600380-LATAM-LP</t>
  </si>
  <si>
    <t>03/12/2025 15:34</t>
  </si>
  <si>
    <t>Buenas tardes, solicito se me pueda brindar vacaciones desde el dia 29 de enero 2026 en adelante al menos por 2 semanas. Muchas gracias</t>
  </si>
  <si>
    <t>"¡Gracias por tu mensaje! Te informamos que vamos a modificar tus vacaciones pre publicadas por vencimiento del 08 al 23-ene (16 días) y serán consideradas de acuerdo a lo solicitado con vacaciones del 29-ene al 13-feb (16 días). ¡Agradecemos mucho tu colaboración y comprensión!"</t>
  </si>
  <si>
    <t>d28ac8dc-LATAM-LP</t>
  </si>
  <si>
    <t>04/12/2025 07:45</t>
  </si>
  <si>
    <t>Estimados, buenos días me prepublicaron vacaciones del 1/01/2026 al 15/01/2026 pero solo me enviaron la confirmación de la primera semana del 01/01/26 al 07/01/26 . Por favor necesito saber si fue un error y tengo las dos semanas que se prepublicaron. Muchas gracias. Quedo a la espera</t>
  </si>
  <si>
    <t>"¡Gracias por la información! Te comentamos que tienes vacaciones pre publicadas del 08/01/2026 al 15/01/2026. Asimismo, te recordamos que la confirmación de tus vacaciones se estará realizando con 22 días de anticipación. ¡Agradecemos mucho tu colaboración y comprensión!"</t>
  </si>
  <si>
    <t>ec6fd646-LATAM-LP</t>
  </si>
  <si>
    <t>05/12/2025 13:01</t>
  </si>
  <si>
    <t>Se solicitó información dado a que el día 28 de noviembre no se me realizó el lck por dly del vuelo del instructor .</t>
  </si>
  <si>
    <t>6aca0cc1-LATAM-LP</t>
  </si>
  <si>
    <t>04/12/2025 13:15</t>
  </si>
  <si>
    <t>RV03</t>
  </si>
  <si>
    <t>14d1e296-LATAM-LP</t>
  </si>
  <si>
    <t>05/12/2025 21:40</t>
  </si>
  <si>
    <t>Buenas noches, hoy 05/12 tenía programado linecheck 787 pero no se realizó, pongo a disposición los días 12, 15, 16, 17, 24 del presente en caso haya un vuelo con instructor para poder realizar el linecheck. Saludos</t>
  </si>
  <si>
    <t>ddadb5c7-LATAM-LP</t>
  </si>
  <si>
    <t>05/12/2025 22:13</t>
  </si>
  <si>
    <t>Buenas noches , queria pedirles su ayuda solicitandoles la reprogramación de mi chequeo de competencia Airbus ya que estoy proxima a vencer el 31 de Dic 2025 , lo tenia programado para el 28 de Noviembre pero la instructora no pudo llegar al vuelo por demora de su vuelo anterior, muchas gracias de antemano.</t>
  </si>
  <si>
    <t>7221916c-LATAM-LP</t>
  </si>
  <si>
    <t>05/12/2025 06:00</t>
  </si>
  <si>
    <t>Por medio de la presente informo que en el mes de septiembre realicé el tramite para protección de rol y la embajada mantuvo mi pasaporte por lo que recién me lo devolvió y me mandan a cita presencial para el mes de marzo por lo que actualmente me encuentro con el pasaporte y mi visa de tripulante vigente. Escribo para que porfavor me programen en este mes vuelo en la flota 767 para no perder mi habilitación ya que me encuentro con la documentación para realizar dichos vuelos en la flota 767 los cuales están vigentes. Saludos cordiales</t>
  </si>
  <si>
    <t>"¡Gracias por la información! Te informamos que te corresponde realizar re entrenamiento en base a la disponibilidad de los instructores y la holgura operativa. Te estaremos notificando por correo la programacion de esta. ¡Agradecemos mucho tu colaboración y comprensión!"</t>
  </si>
  <si>
    <t>da2416f2-LATAM-LP</t>
  </si>
  <si>
    <t>05/12/2025 12:08</t>
  </si>
  <si>
    <t>En respuesta al código de operación 25367375-LATAM-LP les comento que segun las instrucciones del formulario al solicitar vacaciones esta especificado que para elegir semanas consecutivas se deben llenar en el mismo número de prioridad (punto 2 y punto 3). Por lo que se entiende perfectamente que si una persona desea salir 2 o más semanas consecutivas se debe llenar las casillas en la misma prioridad. Por lo que mi formulario se completó de forma correcta para salir exclusivamente 2 semanas consecutivas en cualquiera de las prioridades, todo según las indicaciones mencionadas en las instrucciones. Por lo que una vez más les solicito puedan cumplir con mi requerimiento de que me otorguen las 2 semanas de vacaciones consecutivas.</t>
  </si>
  <si>
    <t>"¡Gracias por la información! Te informamos que debido a que es una solicitud excepcional, te comentamos que podemos cancelar el bloque de vacaciones del 08/04/26 al 15/04/26 y moverlo del 24/03/26 al 31/03/26 para que logre obtener 2 bloques consecutivos. Para ello, te pedimos tu confirmación para proceder con la propuesta mencionada. ¡Agradecemos mucho tu colaboración y comprensión!"</t>
  </si>
  <si>
    <t>cb90e549-LATAM-LP</t>
  </si>
  <si>
    <t>05/12/2025 11:58</t>
  </si>
  <si>
    <t>Escribo para consultar sobre la programación de mis chequeos para el B767, tanto el de LATAM como el de la DGAC. Hice el curso hace ya unos nueve meses y, por ahora, no he tenido noticias sobre las fechas. He visto que todos los chicos del grupo con el que llevé el curso ya han sido chequeados, así que quería confirmar si quizá mi caso quedó pendiente por algún motivo. También cuento con toda mi documentación al día, incluida la visa que envié en agosto. Entiendo que puede haber bastante carga operativa y coordinaciones internas, así que agradecería mucho cualquier actualización o indicación sobre los pasos a seguir. Quedo atento y con toda la disposición para cuando me puedan programar. Muchas gracias por el apoyo.</t>
  </si>
  <si>
    <t>TR02</t>
  </si>
  <si>
    <t>a36d602b-LATAM-LP</t>
  </si>
  <si>
    <t>05/12/2025 13:08</t>
  </si>
  <si>
    <t>Estimados buenas tardes tengo mi licencia por vencer el 31/12 y quería saber cuando me van a entregar la nueva.</t>
  </si>
  <si>
    <t>038a869b-LATAM-LP</t>
  </si>
  <si>
    <t>05/12/2025 13:52</t>
  </si>
  <si>
    <t>Buenas tardes, por favor quisiera saber cuántos días de vacaciones acumuladas tengo hasta ahora y si me podrían indicar de que manera puedo calcular cuántas tendré antes de mi fecha de vencimiento (01.02.2026) muchas gracias</t>
  </si>
  <si>
    <t>"¡Gracias por la información! Te informamos que hasta antes de tu fecha de vencimiento (01/02/26) no cuentas con vacaciones acumuladas; sin embargo, posterior a la fecha (01/02/2026) se te aperturará una nueva meta de 42 días de vacaciones referente al periodo 2026-2027. ¡Agradecemos mucho tu colaboración y comprensión!"</t>
  </si>
  <si>
    <t>c35d11b2-LATAM-LP</t>
  </si>
  <si>
    <t>05/12/2025 18:58</t>
  </si>
  <si>
    <t>Buenas noches el día 02 de diciembre del presente año se me asignó Examen medico ocupacional y apto medico en la clínica del trabajador, sin embargo mi apto médico vence en noviembre del 2026 , el examen médico ya fue aprobado y la clínica ya me envió un correo confirmando que me encuentro APTA y no tengo observaciones.Asimismo, ya hice entrega del formulario 001 a mesa de partes de latam como se me indicaba en el correo que debía de hacer , sin embargo me gustaria saber como procedo a partir de ahora, debo recoger un nuevo apto médico en la DGAC o en la oficinas de Latam y cuándo y cómo se me informara que debo de ir a recogerlo si así fuera el caso. Quedo atenta , gracias</t>
  </si>
  <si>
    <t>"¡Gracias por la información! Te informamos que, dado que tu EMO se encuentra agendada para este mes y a fin de homologar las fechas, se ha visto necesario agendar tu apto médico. Respecto al recojo de tu apto, te estaremos enviando un correo con las indicaciones en los próximos días. En Soporte SAB, llevamos el control y seguimiento de todas las licencias y habilitaciones, por lo que no es necesario que te preocupes. Solo te pedimos que nos contactes si faltan menos de 72 horas para el vencimiento y aún no recibes novedades. ¡Agradecemos mucho tu colaboración y comprensión!"</t>
  </si>
  <si>
    <t>003f14ab-LATAM-LP</t>
  </si>
  <si>
    <t>05/12/2025 19:55</t>
  </si>
  <si>
    <t>Examen 1eros auxilios</t>
  </si>
  <si>
    <t>"¡Gracias por la información! Por favor nos comentas el detalle de tu consulta. ¡Agradecemos mucho tu colaboración y comprensión!"</t>
  </si>
  <si>
    <t>2e199d43-LATAM-LP</t>
  </si>
  <si>
    <t>08/12/2025 19:42</t>
  </si>
  <si>
    <t>Buenas noches, Me contacto con el fin de comunicar que mi vuelo de reentrenamiento no ha sido programado para el mes de diciembre, como me lo indicaron en el correo adjunto, mi preocupación es más que nada porque no se prolongue y caduque mi linecheck en la flota B767, agradezco de antemano su atención.</t>
  </si>
  <si>
    <t>¡Gracias por la información! Te informamos que estamos coordinando la asignación de tu reentrenamiento y recalificación. Asimismo, te estaremos notificando por correo tanto sobre esta asignación. Esperamos que la respuesta te haya sido de gran ayuda.</t>
  </si>
  <si>
    <t>dd65aff9-LATAM-LP</t>
  </si>
  <si>
    <t>09/12/2025 19:29</t>
  </si>
  <si>
    <t>Buenas noches. Les escribo para consultar sobre el estado de mi actualización de datos ya que renové mi pasaporte el miércoles pasado y llené el formulario. Sin embargo, ya han pasado 4 días hábiles y aún no me ha llegado el correo confirmando la recepción de la nueva información por lo que quisiera saber si saben algo o si tienen alguna novedad. Quedo atenta a cualquier consulta. Muchas gracias! Camila Castillo</t>
  </si>
  <si>
    <t>014b477c-LATAM-LP</t>
  </si>
  <si>
    <t>09/12/2025 21:31</t>
  </si>
  <si>
    <t>Buenas noches, el día 5 tenia programado mi chequeo de competencia y la.Instructira no subió al Vuelo, la. DGAC me dio prorroga hasta este 15 de Diciembre, les pido por favor su apoyo para programarme antes de esa fecha para no tener que irme a reentrenamiento, el día 14 tengo un santiago, podrian Reprogramarme por favor, pido todo su apoyo, muchas gracias, saludos cordiales.</t>
  </si>
  <si>
    <t>¡Gracias por la información! Te informamos que debido a que tu chequeo en línea venció, te corresponde realizar tu reentrenamiento y recalificación, esto se considerará para la programacion en enero, pero se confirmará una vez se publique el rol de enero. Asimismo, te estaremos notificando por correo sobre esta asignación. ¡Agradecemos mucho tu colaboración y comprensión!</t>
  </si>
  <si>
    <t>7c45d7d6-LATAM-LP</t>
  </si>
  <si>
    <t>08/12/2025 00:23</t>
  </si>
  <si>
    <t>Error examen online</t>
  </si>
  <si>
    <t>47f88134-LATAM-LP</t>
  </si>
  <si>
    <t>Equipo, espero que estén bien. Para informar que debido a llegada tardía de vuelo del día 07/12, ocasionó que se corra un día de descanso afectando el día 1 de Reva. Quedo atento a cómo se procede con la reprpgramación. Gracias.</t>
  </si>
  <si>
    <t>c92e998b-LATAM-LP</t>
  </si>
  <si>
    <t>08/12/2025 00:33</t>
  </si>
  <si>
    <t>Buen día estimados; Escribo para informar que el dia 30.11.25 mientras realizaba el examen online de Mercancias Peligrosas a través de mi laptop, la pagina se colgo cuando iba respondiendo recien 2 preguntas, luego al reestablecerse figuraba el examen finalizado como desaprobrado solo con 2 preguntas contestadas. Tuve que rendir el examen por 2da vez debido a ese error. Quisiera que se tenga en cuenta éste error y así no me genere inconvenientes en mis evaluaciones y/o postulaciones futuras. Quedo atenta a su respuesta. Gracias</t>
  </si>
  <si>
    <t>"¡Gracias por la información! Te informamos que se te está considerando el último examen. Hemos verificado evidentemente el problema mencionado con el primer examen y haremos la respectiva revisión. Para ello, por favor te pedimos que reportes el problema en la academia. Puedes acceder al formulario mediante el siguiente link: https://sites.google.com/latam.com/sscap-ssc/soporte-academia-corporativa ¡Agradecemos mucho tu colaboración y comprensión!"</t>
  </si>
  <si>
    <t>7c295cc5-LATAM-LP</t>
  </si>
  <si>
    <t>08/12/2025 07:22</t>
  </si>
  <si>
    <t>Buenos dias Debido a que no pude realizar las practicas Emergencias generales y Equipos A 319/320/321 ( virtual) Se me retiro del practicas de emergencias A320 / B767 ( ditching) el día siguiente Según instrucción me informó que era requisito realizar las practicas virtuales antes del ditching. Quisiera saber cual es la situación de mi caso, teniendo en cuenta que el año pasado tuve reva del 10 al 13 de diciembre. Para este mes no se vio reflejado los 2 días faltantes. Quedo atenta.</t>
  </si>
  <si>
    <t>"¡Gracias por la información! Te informamos que los dos días faltantes de reva se estará programando para el mes de enero. ¡Agradecemos mucho tu colaboración y comprensión!"</t>
  </si>
  <si>
    <t>ca904175-LATAM-LP</t>
  </si>
  <si>
    <t>10/12/2025 13:19</t>
  </si>
  <si>
    <t>3d9e5c64-LATAM-LP</t>
  </si>
  <si>
    <t>08/12/2025 22:02</t>
  </si>
  <si>
    <t>Estimados, hace unas semanas informe sobre mi apto medico y licenvia chilena estaban por vencer y recibi la respuesta que debo de terminar mi descanso medico. El sabado 6 de diciembre me dieron de alta e informe por correo a mi jefatura, movimiento diario. Estoy atenta a sus indicaciones para las renovaciones. Saludos</t>
  </si>
  <si>
    <t>"¡Gracias por la información! Te comentamos que debes presentarle a tu CPL tu constancia de alta médica para que te coordine tu cita con salud laboral y revise el caso respectivo. ¡Agradecemos mucho tu colaboración y comprensión!"</t>
  </si>
  <si>
    <t>efc81964-LATAM-LP</t>
  </si>
  <si>
    <t>09/12/2025 09:35</t>
  </si>
  <si>
    <t>Buen día, complete el formulario de vacaciones solicitando la última semana de febrero ya que tengo 8 días por vencer, sin embargo al momento no he recibido el correo de vacaciones pre publicadas como la mayoría de mis compañeros, ¿A qué se debe que aún no haya recibido el correo?</t>
  </si>
  <si>
    <t>"¡Gracias por la información! Te informamos que debido a que te encontrabas con DMP durante la gestión de la pre-publicación de vacaciones 2026-1, no se te pre-publicó en su momento. Asimismo, te comentamos que cuentas con 9 días pendientes para gozar vacaciones antes de tu fecha de vencimiento (01/03/2025), es por ello que te recomendamos ingresar un pedido adicional por vencimiento de vacaciones para la programación de febrero (deberás ingresar la solicitud hasta antes del 31/12/26) en el siguiente link. Pedido, Cesión e Intercambio de Vacaciones SAB LP 2026-01. Puedes acceder al formulario mediante el siguiente link: https://docs.google.com/forms/d/e/1FAIpQLSdmXt-iSndWo5_kb3Bithorzgp7OTZOBAa-lYgrbwGZuQBVcw/viewform ¡Agradecemos mucho tu colaboración y comprensión!"</t>
  </si>
  <si>
    <t>fa5e8e41-LATAM-LP</t>
  </si>
  <si>
    <t>09/12/2025 11:33</t>
  </si>
  <si>
    <t>Buenas tardes el. Día viernes llegué tarde de mi vuelo y luego tenía mis 4 días off pero tuvieron que correr mi día libre pero el día miércoles comenzaba mi Reva. Hoy aún me figura mi programación para los días 11 ,12 y 15 cual sería mi reprogramación para mí primer día de Reva que me han puesto libre. Muchas gracias atte Alessandra Lolli</t>
  </si>
  <si>
    <t>"¡Gracias por la información! Te comentamos que el día 20/12 se te asignó la recuperación de tu día de reva afectado. ¡Agradecemos mucho tu colaboración y comprensión!"</t>
  </si>
  <si>
    <t>676995ac-LATAM-LP</t>
  </si>
  <si>
    <t>07/12/2025 06:50</t>
  </si>
  <si>
    <t>a4b07354-LATAM-LP</t>
  </si>
  <si>
    <t>11/12/2025 10:51</t>
  </si>
  <si>
    <t>Buenos días, para informar que este mes vence mi chequeo de competencia en la flota A320 y no ha sido programado.</t>
  </si>
  <si>
    <t>10573ef3-LATAM-LP</t>
  </si>
  <si>
    <t>11/12/2025 11:20</t>
  </si>
  <si>
    <t>Hola! Quisiera saber si ya enviaron el correo de confirmación para asistir al taller voluntario de Seguridad el 15 de diciembre. Gracias.</t>
  </si>
  <si>
    <t>f5940035-LATAM-LP</t>
  </si>
  <si>
    <t>10/12/2025 09:45</t>
  </si>
  <si>
    <t>Buenos días estimados. Deseo informar que el día 12/12 tengo programado apto médico. Sin embargo, desde hoy me encuentro en periodo de menstruació, y dentro de las indicaciones refieren que no se puede asistir en esa condición. Quizás no sea necesario reprogramar todo el exámen médico y solo alguna prueba en específica. Además, solo comentarles que ese día a las 13:30 tengo programado cursos e learning en la academia corporativa. Quedo atenta a sus indicaciones. Muchas gracias por su atención.</t>
  </si>
  <si>
    <t>"¡Gracias por la información! Te informamos que realizará la programación de tu apto médico, el cual te lo comunicaremos por correo . ¡Agradecemos mucho tu colaboración y comprensión!"</t>
  </si>
  <si>
    <t>c5c32d97-LATAM-LP</t>
  </si>
  <si>
    <t>10/12/2025 10:21</t>
  </si>
  <si>
    <t>Buenos dias estimados, deseo informar que el dia 12/12 tengo programado mi apto medico. Sin embargo no me encuentro en condiciones para poder realizarlo, ya que me encuentro desde hoy en periodo de menstruacion y en las indicaciones refieren que no puedo realizarlo. Quedo atenta a sus indicaciones. Ese mismo dia a las 13:30 tengo progeamado curso de e learning por la academia corporativa.</t>
  </si>
  <si>
    <t>52b76f1e-LATAM-LP</t>
  </si>
  <si>
    <t>12/12/2025 08:32</t>
  </si>
  <si>
    <t>Buenos días, hoy perdí mi chequeo de competencias A320, debido a un descanso médico. Quisiera saber; ¿Cúal es la fecha límite para no vencerse?. Mi chequeo de competencias en Airbus fue el 17 de diciembre 2024. Gracias</t>
  </si>
  <si>
    <t>a9ddaac4-LATAM-LP</t>
  </si>
  <si>
    <t>10/12/2025 16:03</t>
  </si>
  <si>
    <t>Mi licencia chilena tiene vencimiento el 31 de diciembre. Por favor quiero saber cuando me enviaran la nueva. Gracias</t>
  </si>
  <si>
    <t>"¡Gracias por la información! Te comentamos que nos encontramos gestionando tu licencia chilena actualizada para que la recibas antes de su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</si>
  <si>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f5cf45f8-LATAM-LP</t>
  </si>
  <si>
    <t>10/12/2025 19:09</t>
  </si>
  <si>
    <t>ED08</t>
  </si>
  <si>
    <t>7051f345-LATAM-LP</t>
  </si>
  <si>
    <t>10/12/2025 22:18</t>
  </si>
  <si>
    <t>6d489319-LATAM-LP</t>
  </si>
  <si>
    <t>09/12/2025 16:16</t>
  </si>
  <si>
    <t>Buenas tardes , le saluda Elva delgado puyen . Me llegó este mensaje a mi correo , sobre un cambio de correo por inconvenientes en SIPA . En donde indican que tengo que enviar mi documentación . Por favor confirmar si es DNI Y LICENCIA CHILENA . Espero me pueda. Ayudar con la consulta</t>
  </si>
  <si>
    <t>"¡Gracias por la información! Te comentamos que la documentación que debe subir es su documento de identidad. Por favor te solicitamos realizar seguimiento con la DGAC para la confirmación del cambio de correo. ¡Agradecemos mucho tu colaboración y comprensión!"</t>
  </si>
  <si>
    <t>c68eb106-LATAM-LP</t>
  </si>
  <si>
    <t>11/12/2025 12:14</t>
  </si>
  <si>
    <t>Hola buen día, espero se encuentren muy bien, quisiera hacer la consulta sobre mi habilitación de 767, este año me tocaba mi linecheck en mayo de este año pero mi bajada a tierra por maternidad fue en febrero, quisiera saber en ese caso como es el proceso de esa habilitación, ya tuve mi Reva de A320fam y B767 y mis chequeos en Airbus son este mes, pero tengo esa duda en el caso de Boeing, quedo atenta. Muchas gracias.</t>
  </si>
  <si>
    <t>a29cbfb3-LATAM-LP</t>
  </si>
  <si>
    <t>13/12/2025 10:56</t>
  </si>
  <si>
    <t>El 26 de noviembre tenia mi linecheck de A320 pero me activaron vuelos con pernocte y por ende me quitaron mi chequeo. Para el mes de diciembre no me lo han planificado y ahora que ingrese a PBS para enero veo que tampoco me lo han agendas para ese mes. Quisiera saber para que fecha me pondrian mi chequeo ya que el 31 de diciembre vence mi habilitación. Quedo atenta. Muchas gracias.</t>
  </si>
  <si>
    <t>"¡Gracias por la información! Te informamos que, dado que tu mes base es diciembre y según lo establecido en la RAP 63, esta actividad puede ser programada dentro de un período de elegibilidad que comprende 30 días antes, durante y después de tu mes base. Por lo tanto, tu verificación de competencia podrá ser agendada tanto en noviembre como en enero, junto con la prórroga correspondiente. Asimismo, te comentamos que para tu caso, se te programará tu chequeo en el mes de enero.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</si>
  <si>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182c3002-LATAM-LP</t>
  </si>
  <si>
    <t>11/12/2025 11:37</t>
  </si>
  <si>
    <t>Buenas tardes: Estoy tratando de subir el nuevo DM que me ha dado mi doctor hoy que tuve cita pero el problema es que hoy fue mi cita y me lo ha emitido hoy pero empieza el 16/12-04/01 Y el sistema de EsSalud no me deja poner 16 como inicio sino 10, mi primer DM ha sido del 24/11-15/12. Mi siguiente cita es el 02/01 Deseo saber cómo hago en este caso. También deseo saber sobre la cita con el área médica de la empresa, con quien debo comunicarme. Quedo atenta Gracias</t>
  </si>
  <si>
    <t>Consulta sobre la política de DM de 21 días o más</t>
  </si>
  <si>
    <t>"""¡Gracias por la información! Te pedimos por favor comunicarte con tu CPL para que regularice tu caso con el área médica de la empresa. ¡Agradecemos mucho tu colaboración y comprensión!"""</t>
  </si>
  <si>
    <t>d5f14260-LATAM-LP</t>
  </si>
  <si>
    <t>13/12/2025 21:08</t>
  </si>
  <si>
    <t>Pérdida de experiencia reciente B767</t>
  </si>
  <si>
    <t>9fb2e680-LATAM-LP</t>
  </si>
  <si>
    <t>11/12/2025 20:04</t>
  </si>
  <si>
    <t>Buenas tardes, he presentado descanso médico desde el día 10 al día 16 de este mes. Voy a poder asistir los siguientes días? Por otro lado, puedo hacer los exámenes virtuales o quedan para otra fecha?</t>
  </si>
  <si>
    <t>"¡Gracias por la información! Te informamos que se te va a reprogramar todos los días de tu reva para el mes de Enero o Febrero. Cabe resaltar que deberás realizar nuevamente los e learnings cuando se te programe nuevamente el curso. ¡Agradecemos mucho tu colaboración y comprensión!"</t>
  </si>
  <si>
    <t>d985aedc-LATAM-LP</t>
  </si>
  <si>
    <t>13/12/2025 21:09</t>
  </si>
  <si>
    <t>Ante la pérdida de experiencia B767 , quisiera notificar que ya cuento con pasaporte com visa crew renovado y actualizado en formulario de actualización de datos. Por lonque ya no tendré restricción en rol u el mismo estará operativo, para que se me pueda programar reentramieto en vuelo, según sea gestionado. Gracias por el tiempo</t>
  </si>
  <si>
    <t>¡Gracias por la información! Te informamos que estaremos coordinando la asignación de tu reentrenamiento, en base a la disponibilidad de los instructores y la holgura operativa. Asimismo, te estaremos notificando por correo sobre esta asignación. Esperamos que la respuesta te haya sido de gran ayuda.</t>
  </si>
  <si>
    <t>e517b55d-LATAM-LP</t>
  </si>
  <si>
    <t>11/12/2025 22:49</t>
  </si>
  <si>
    <t>Buenas noches estimado, quisiera solicitar una reposición de cargador del One Device, ya que esta presentando fallas y no carga el dispositivo. Les agradezco de antemano su apoyo.</t>
  </si>
  <si>
    <t>¡Gracias por la información! Te pedimos por favor generar un ticket solicitando la reposición a través del siguiente link: https://projectmanagement.appslatam.com/servicedesk/customer/portal/7/user/login?destination=portal%2F7%2Fcreate%2F552%3Fq%3D1dx%26q_time%3D1760551215341 Te recordamos que deberás generar el ticket con tu BP y seleccionar la sede más cercana (sede olivar o sede aeropuerto de lima). ¡Agradecemos mucho tu colaboración y comprensión!</t>
  </si>
  <si>
    <t>943b4922-LATAM-LP</t>
  </si>
  <si>
    <t>12/12/2025 12:57</t>
  </si>
  <si>
    <t>792e4cfe-LATAM-LP</t>
  </si>
  <si>
    <t>12/12/2025 09:04</t>
  </si>
  <si>
    <t>Buenos días , por DM prolongado se me retiro mis vacaciones del último periodo ( 15 días ) notifique sobre dichas vacaciones y me dijeron que al término de mi apto médico y antes de regresar a línea me las iban a re integrar , hoy tengo mi re calificación del Airbus y quisiera saber si las vacaciones me serán dadas este año o tengo que esperar hará el próximo, quedo atenta , muchas gracias.</t>
  </si>
  <si>
    <t>"""¡Gracias por la información! Te informamos que si deseas obtener tus 15 dias de vacaciones afectadas, te sugerimos ingresar el pedido en el formulario de vacaciones solicitando que desea recuperar los 15 de dias de vacas afectados. Para solicitar vacaciones adicionales debes hacerlo a través del formulario """"Pedido, Cesión e Intercambio de Vacaciones LP 2026-01"""". Puedes acceder al formulario mediante el siguiente link: https://docs.google.com/forms/d/e/1FAIpQLSdmXt-iSndWo5_kb3Bithorzgp7OTZOBAa-lYgrbwGZuQBVcw/viewform Asimismo, te informamos que con respecto al mes de enero ya no se puede recibir solicitudes debido a que ya se encuentra cerrado, en caso desees gozar en el mes de febrero, tienes hasta el 31 de dic para ingresar tu solicitud para dicho mes. ¡Agradecemos mucho tu colaboración y comprensión!"""</t>
  </si>
  <si>
    <t>54b5ed89-LATAM-LP</t>
  </si>
  <si>
    <t>12/12/2025 11:42</t>
  </si>
  <si>
    <t>Buen dia ! Ya mande mi formulario de mi licencia peruana con la nueva direccion! Coml puefo hacer para convalidar con la licencia chilena! Quedo a la espera. Muchas gracias</t>
  </si>
  <si>
    <t>"¡Gracias por la información! Hubo una confusión con la respuesta anterior. Con respecto a su consulta, te comentamos que hemos recibido su actualización de dirección, en cuanto a la convalidación con la licencia chilena, realizaremos las respectivas gestiones para que puedes recibir tu licencia actualizada con tu dirección registrada. ¡Agradecemos mucho tu colaboración y comprensión!"</t>
  </si>
  <si>
    <t>831b6e13-LATAM-LP</t>
  </si>
  <si>
    <t>12/12/2025 12:21</t>
  </si>
  <si>
    <t>Buenas tardes, en respuesta a la operación da2416f2-LATAM-LP doy mi confirmación para renunciar a la semana de vacaciones del 08/04/26 al 15/04/26 para lograr obtener las 2 semanas consecutivas del 24/03/26. Asimismo me gustaría agradecerles por la gestión y colaboración.</t>
  </si>
  <si>
    <t>"¡Gracias por la información! Te comentamos que tua vacaciones actualizadas serán del 16/03 al 31/03. (Dos semanas seguidas). ¡Agradecemos mucho tu colaboración y comprensión!"</t>
  </si>
  <si>
    <t>31199a10-LATAM-LP</t>
  </si>
  <si>
    <t>12/12/2025 16:55</t>
  </si>
  <si>
    <t>9c072dbe-LATAM-LP</t>
  </si>
  <si>
    <t>12/12/2025 20:32</t>
  </si>
  <si>
    <t>AM17</t>
  </si>
  <si>
    <t>25c5f345-LATAM-LP</t>
  </si>
  <si>
    <t>13/12/2025 09:25</t>
  </si>
  <si>
    <t>0a7f4629-LATAM-LP</t>
  </si>
  <si>
    <t>13/12/2025 10:21</t>
  </si>
  <si>
    <t>Buenos dias, Yo realicé mi reva de seguridad durante la última semana de enero de 2025; sin embargo, en el sistema iFlight me figura como fecha de vencimiento el 28 de febrero 2026. ¿Podrían por favor revisar y confirmar si la fecha registrada en iFlight es correcta? De ser una inconsistencia, agradecería que puedan actualizar la vigencia conforme al registro del curso. De haber un error, me deberían programar mi siguiente reva en Enero 2026, cierto?.</t>
  </si>
  <si>
    <t>"""¡Gracias por la información! Te comentamos que la fecha que figura en el IF es correcta. Asimismo, te recordamos que al ser febrero tu mes base, se te puede programar tu reva un mes antes o mes despues del mes base mencionado. ¡Agradecemos mucho tu colaboración y comprensión!"""</t>
  </si>
  <si>
    <t>c235c939-LATAM-LP</t>
  </si>
  <si>
    <t>12/12/2025 06:44</t>
  </si>
  <si>
    <t>Buenos días , no me han colocado mi verificación de competencia de Airbus en enero , por favor si me lo podrían programar para que no me afecte , muchas gracias</t>
  </si>
  <si>
    <t>"¡Gracias por la información! Te informamos que, dado que tu mes base es diciembre y según lo establecido en la RAP 63, esta actividad puede ser programada dentro de un período de elegibilidad que comprende 30 días antes, durante y después de tu mes base. Por lo tanto, tu verificación de competencia podrá ser agendada tanto en noviembre como en enero, junto con la prórroga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</si>
  <si>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7e175d4e-LATAM-LP</t>
  </si>
  <si>
    <t>11/12/2025 19:11</t>
  </si>
  <si>
    <t>Estimados compañeros espero se encuentren bien. Me comunico con ustedes porque me ha sorprendido no haber sido programada este mes para mi chequeo DGAC del B767. Mi chequeo Latam se realizó el 3 de noviembre con el instructor César Campos (el resto del mes tuve vacaciones ),y me preocupa que, al no estar aún programado el chequeo DGAC, pueda acercarse la fecha de vencimiento. Podrían por favor confirmarme si está previsto que se programe para enero o si existe ya alguna fecha tentativa? Quedo atenta por si se requiere algún paso adicional de mi parte. Agradezco de antemano su apoyo y quedo atenta a su respuesta. Saludos,</t>
  </si>
  <si>
    <t>"¡Gracias por la información! Te comentamos que se te estará programando tu chequeo antes de su fecha de vencimiento. Asimismo, te informamos que para el mes de Diciembre y Enero no se está considerando ningún chequeo de Transición 767. Esperamos que la respuesta te haya sido de gran ayuda.</t>
  </si>
  <si>
    <t>78be9b33-LATAM-LP</t>
  </si>
  <si>
    <t>13/12/2025 11:23</t>
  </si>
  <si>
    <t>Buenos dias, realicé una consulta, adjunto codigo de operación: adaaf888-LATAM-LP. Me indicaron que tienen mi caso mapeado y que cuando entre a la linea se contactaran conmigo, yo entré desde el 30 de noviembre, quiero saber por lo que soy movimiento interno si mis vacaciones se vencen, en mi anterior solicitud esta la información completa.</t>
  </si>
  <si>
    <t>"¡Gracias por la información! Te comentamos que no cuentas con vacaciones por vencimiento según la base de recurso humanos. Dado que has ingresado a la línea el 01/12/25, se te ha aperturado una nueva meta de vacaciones de 30 días, que lo debes gozar hasta el 30/11/26. Si deseas gozar de vacaciones debes hacerlo a través del formulario "Pedido, Cesión e Intercambio de Vacaciones LP 2026-01". Asimismo, te comentamos que los pedidos para enero ya no se encuentran disponibles ya que el bloque se encuentra cerrado. Puedes acceder al formulario mediante el siguiente link: https://docs.google.com/forms/d/e/1FAIpQLSdmXt-iSndWo5_kb3Bithorzgp7OTZOBAa-lYgrbwGZuQBVcw/viewform ¡Agradecemos mucho tu colaboración y comprensión!"</t>
  </si>
  <si>
    <t>3f3bab7b-LATAM-LP</t>
  </si>
  <si>
    <t>13/12/2025 20:45</t>
  </si>
  <si>
    <t>Desde el 10 de diciembre estoy tratando de subir la ampliación y No puedo subir la ampliación del DM por People Manager, creería que es porque en el calendario aparecen la VAC del 16-23 y la Ampliación es del 16-04 de enero, Te adjunto imágenes Quedo atenta para saber cómo hago, Gracias</t>
  </si>
  <si>
    <t>916c92e7-LATAM-LP</t>
  </si>
  <si>
    <t>13/12/2025 19:02</t>
  </si>
  <si>
    <t>f1779798-LATAM-LP</t>
  </si>
  <si>
    <t>15/12/2025 22:02</t>
  </si>
  <si>
    <t>Buenas noches, para informar que tuve mis chequeos de re-entrenamiento y re-calificación el día 17 de octubre y hasta la fecha no eh vuelto a volar la flota B767, por favor eh pedido un vuelo las fechas del 11 al 14 de enero para JFK para no perder mi experiencia reciente en esta flora, quedo atenta por favor a los comentarios ya que aún no tengo actualizada ma licencia. Gracias</t>
  </si>
  <si>
    <t>"¡Gracias por la información! Te comentamos que la asignación de tu último vuelo para la flota 767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</si>
  <si>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078ab302-LATAM-LP</t>
  </si>
  <si>
    <t>15/12/2025 00:58</t>
  </si>
  <si>
    <t>Este mes tenía mi line check de airbus pero por descanso medico no se pudo realizar, mi consulta sería en que fecha se me.podría programar ese line check</t>
  </si>
  <si>
    <t>"¡Gracias por la información! Te informamos que, dado que tu mes base es diciembre y según lo establecido en la RAP 63, esta actividad puede ser programada dentro de un período de elegibilidad que comprende 30 días antes, durante y después de tu mes base. Por lo tanto, tu verificación de competencia podrá ser agendada tanto en noviembre como en enero,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</si>
  <si>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ce61bbb8-LATAM-LP</t>
  </si>
  <si>
    <t>13/12/2025 21:06</t>
  </si>
  <si>
    <t>Estimados buenas noches se realizo procedimiento para ceder 2 semanas de vacaciones con mi compañera Monica Diaz bp:2506609 1ra fecha: 16-22 abril 2026 y 2da fecha 01-07mayo 2026 pero nos llego un mail que solo confirmaba la cesion de 1 semana, por favor su ayuda para que pueda cederse ambas semanas a mi compañera segun la solicitud que hemos completado correctamente y con antelacion, muchas gracias de antemano.</t>
  </si>
  <si>
    <t>"¡Gracias por la información! Te informamos que las dos solicitudes realizadas para intercambio de vacaciones ha procedido de manera correcta, en el cual se le ha enviado un correo con el resumen de la información. Con respecto a Monica Díaz tendría vacaciones del 16 al 22-abr, mientras que Chavez Vilchez tendría vacaciones del 01 al 07-may. ¡Agradecemos mucho tu colaboración y comprensión!"</t>
  </si>
  <si>
    <t>fe3f29e0-LATAM-LP</t>
  </si>
  <si>
    <t>15/12/2025 11:09</t>
  </si>
  <si>
    <t>GX03</t>
  </si>
  <si>
    <t>1b3d0d4b-LATAM-LP</t>
  </si>
  <si>
    <t>15/12/2025 16:30</t>
  </si>
  <si>
    <t>ca45f0b5-LATAM-LP</t>
  </si>
  <si>
    <t>14/12/2025 16:08</t>
  </si>
  <si>
    <t>Cuento un pasaporte estadounidense, mi cpl me inidcó que no debo tramitar visa. Donde puedo registrar dicho pasaporte?</t>
  </si>
  <si>
    <t>"¡Gracias por la información! Si cuentas con ciudadanía estadounidense, por favor te pedimos ingresar la actualización de datos, el cual debe ser gestionado a través del siguiente link: https://forms.gle/jRYDnAQzBjb5ama57 Esperamos que la respuesta te haya sido de gran ayuda."</t>
  </si>
  <si>
    <t>bd2811ad-LATAM-LP</t>
  </si>
  <si>
    <t>15/12/2025 09:33</t>
  </si>
  <si>
    <t>Buenos días, me han programado desde el 5 enero al 3 de febrero vacaciones, el cual traté de cambiar y no se pudo realizar, entiendo que para antes de marzo ya tengo que salir, pero por favor quisiera que por lo menos se puedan cambiar a dos semanas en enero y dos semanas en febrero, espero sea factible poder realizarlo así. Muchas gracias</t>
  </si>
  <si>
    <t>"¡Gracias por la información! Te informamos que la modificación de vacaciones no es factible debido a que se ha confirmado los bloques de vacaciones el día de hoy. Asimismo, comentarte que la programación de enero ya se encuentra cerrada. ¡Agradecemos mucho tu colaboración y comprensión!"</t>
  </si>
  <si>
    <t>c7e87fe1-LATAM-LP</t>
  </si>
  <si>
    <t>16/12/2025 14:57</t>
  </si>
  <si>
    <t>Fecha de programacion de linecheck - vencimiento. No estuvo programado en Diciembre y no lo veo reflejado en Enero</t>
  </si>
  <si>
    <t>¡Gracias por la información! Te comentamos que hemos verificado en el sistema que la fecha de vencimiento de tu verificación de competencia para la flota A320 y B767 vencen en nov-26 y jun-26 respectivamente. Esperamos que la respuesta te haya sido de gran ayuda."</t>
  </si>
  <si>
    <t>769bb2e1-LATAM-LP</t>
  </si>
  <si>
    <t>15/12/2025 12:27</t>
  </si>
  <si>
    <t>Buenas tardes espero que se encuentren muy bien..por favor podrían aclarar lo de las vacaciones porque me mandaron un correo que tengo vacaciones del 8/05/26 al 15/05/26 y ahora me mandan otro correo que también tengo en junio? Podrían aclararme ese tema por favor sobretodo porque en junio no fue ninguna de mis opciones..muchas gracias</t>
  </si>
  <si>
    <t>"¡Gracias por la información! Te informamos que tienes vacaciones pre publicadas del 8/05 al 15/05. Comentarte que el día de hoy se te ha confirmado tus vacaciones del 01/01 al 06/01/26.</t>
  </si>
  <si>
    <t>70528a83-LATAM-LP</t>
  </si>
  <si>
    <t>15/12/2025 14:07</t>
  </si>
  <si>
    <t>Buenas tardes, les escribo para consultar acerca de mi reprogramación de la Reva, no me ha llegado ningún correo informando acerca de los detalles de la misma. Tengo la reprogramación en el Rol el día 18 de este mes, quisiera saber si así será y poder ir temprano al Cae.</t>
  </si>
  <si>
    <t>"¡Gracias por la información! Le ofrecemos una sincera disculpa por el inconveniente con el envío del correo anterior. Tras dar seguimiento cercano a su caso, nos complace confirmar que su asistencia al curso programado quedó debidamente registrada ¡Agradecemos mucho tu colaboración y comprensión!"</t>
  </si>
  <si>
    <t>ba06c1db-LATAM-LP</t>
  </si>
  <si>
    <t>15/12/2025 16:15</t>
  </si>
  <si>
    <t>Estimados muy buenas tardes..les envié un correo porque me enviaron mis vacaciones en mayo y ahora me mandan un correo para junio..me indican que tengo prepublicadas en mayo y confirmada en junio podrían ser más específicos por favor porque me mandaron las vacaciones en noviembre para el periodo de mayo y ya tengo muchas cosas para ese periodo y ahora también es en junio..mil disculpas pero podrían ser más claros lamentablemente no tenemos un teléfono para poder comunicarme y poder conversar con uds .</t>
  </si>
  <si>
    <t>VA10</t>
  </si>
  <si>
    <t>8d049ebf-LATAM-LP</t>
  </si>
  <si>
    <t>17/12/2025 17:59</t>
  </si>
  <si>
    <t>Buenas tardes, espero que se encuentren muy bien. El motivo de la presente es para consultarles sobre mi chequeo de competencia del B767. El año pasado mi chequeo fue en diciembre. Sin embargo, este año se me envió un correo por parte de soporte indicando que el vencimiento es en enero de 2026. Quisiera saber si el tema está mapeado para que se de en enero o hay que pedir permiso a la DGAC para una extensión. Muchas gracias.</t>
  </si>
  <si>
    <t>"¡Gracias por la información! Te informamos que según el sistema, tu mes base es enero. Te recordamos que esta actividad puede ser programada dentro de un período de elegibilidad que comprende 30 días antes, durante y después de tu mes base. ¡Agradecemos mucho tu colaboración y comprensión!"</t>
  </si>
  <si>
    <t>bb272ab8-LATAM-LP</t>
  </si>
  <si>
    <t>15/12/2025 18:52</t>
  </si>
  <si>
    <t>Buenas tardes , quisiera por favor que me puedan ayudar corrigiendo los datos de mi licencia chilena ya que mi número de DNI está incorrecto , mi DNI es 70600829, esperando su ayuda y orientación para poder corregir mi número de DNI quedo pendiente a sus comentarios</t>
  </si>
  <si>
    <t>LC01</t>
  </si>
  <si>
    <t>"¡Gracias por la información! Te informamos que la información se estará regularizando y te enviaremos tu licencia chilena actualizada Esperamos que la respuesta te haya sido de gran ayuda.</t>
  </si>
  <si>
    <t>23bfb25b-LATAM-LP</t>
  </si>
  <si>
    <t>19/12/2025 06:26</t>
  </si>
  <si>
    <t>Los primeros días de febrero se vence mi experienciareciente del equipo 767 ..este mes de diciembre no lo pude hacer porque cambiaron el vuelo a un airbus.Por favor programarme en Enero un vuelo en 767...gracias</t>
  </si>
  <si>
    <t>cd977018-LATAM-LP</t>
  </si>
  <si>
    <t>15/12/2025 22:05</t>
  </si>
  <si>
    <t>Estimados Buenas noches ; Les respondí el correo que me enviaron por el tema de la Observación que tuve en mi Apto Médico, esta semana termina mi Terapia Psicológica por la cual no me dieron el Apto en Septiembre. Mis consultas son: - La cita en Clínica la tengo que generar y pagar yo? - Pasaré todas las especialidades o solo Psicología? - Volveré a hacer la reva completa? Muchas gracias. Saludos , Claudia Lucia Gonzales Mercado</t>
  </si>
  <si>
    <t>"¡Gracias por la información! Te informamos que estamos coordinando con la clinica si debe pasar por apto o control, en cuanto nos indique la clínica con la respuesta, te lo notificaremos por correo. En cuanto a tu revalidación de seguridad, se verá todo lo que tenga pendiente en capacitación una vez tenga el apto de la clínica. Esperamos que la respuesta te haya sido de gran ayuda.""</t>
  </si>
  <si>
    <t>0adb9234-LATAM-LP</t>
  </si>
  <si>
    <t>16/12/2025 08:37</t>
  </si>
  <si>
    <t>Buen dia ! Ya tengo mi licencia peruana actualizada con mi nueva direccion! Como es el procedimiento para la actualizacion de la lixencia chilena ! Quedo atenta muchas gracias</t>
  </si>
  <si>
    <t>ee93fc16-LATAM-LP</t>
  </si>
  <si>
    <t>16/12/2025 08:39</t>
  </si>
  <si>
    <t>Buen dia el dia 1 dw diciembre pase mi apto medico y actualice mi domicilio pero aun no me llega mi apto! Quiero saber cuanto demora la entrega o qje procedimiwnto twngo que seguir? Queddo atenta. Muchas gracias</t>
  </si>
  <si>
    <t>"¡Gracias por la información! Te recordamos que en tu apto médico no se incluye la dirreción domiciliaria. Asimismo, te comentamos que la emisión de tu apto está en proceso y te notificaremos para que se acerque a recogerlo cuando se encuentre listo. Esperamos que la respuesta te haya sido de gran ayuda."</t>
  </si>
  <si>
    <t>2d76a8a5-LATAM-LP</t>
  </si>
  <si>
    <t>16/12/2025 08:53</t>
  </si>
  <si>
    <t>Buenos días, espero estén bien. El día de hoy tenía mi examen EMO, ayer estuve mal de la panza y me dijeron que probablemente los exámenes podrían salir alterados. Quería que me ayuden reprogramando el EMO sin perder los demás días ya que ayer tuve la reva virtual, ahora tengo los cursos e learning y jueves mis prácticas en el CAE. Tengo disponibles el día 24, 27 y 30 son días libres que podría hacer el EMO. Agradezco su ayuda.</t>
  </si>
  <si>
    <t>AM04</t>
  </si>
  <si>
    <t>"¡Gracias por la información! Te comentamos quee estaremos enviando por correo la programación de tu nueva fecha de EMO. Asimismo, te solicitamos por favor que nos indiques si el día que se presentaron los sintomas ingeriste alguna medicina. Esperamos que la respuesta te haya sido de gran ayuda."</t>
  </si>
  <si>
    <t>abf3dca1-LATAM-LP</t>
  </si>
  <si>
    <t>16/12/2025 12:13</t>
  </si>
  <si>
    <t>Estimados buenas tardes,el día 11/12 me llego por parte de la clínica Los Andes el correo indicando que mi calificación de apto ya se encuentra en la DGCA, mi consulta es despues de esto que prosigue, si yo me tengo que acercar a la DGAC a recoger el apto, o ustedes me envían un correo de confirmación para acercarme, o si siguen enviándolos al CAE tengo esta duda.</t>
  </si>
  <si>
    <t>"¡Gracias por la información! Te comentamos que estamos gestionando la emisión de tu nuevo apto. En cuanto esté finalizado, te contactaremos por correo para su recojo con las indicaciones correspondientes. Esperamos que la respuesta te haya sido de gran ayuda."</t>
  </si>
  <si>
    <t>27dcb17e-LATAM-LP</t>
  </si>
  <si>
    <t>16/12/2025 14:43</t>
  </si>
  <si>
    <t>Buenas tardes, hace unas semanas me mandaron mi pre publicación de vacaciones en donde me dan 3 semanas en junio del 2026, yo pedí que esas semanas empalmen con mi retorno a línea pero hoy me mandaron mi retorno a línea y no están contempladas esas vacaciones del 2026 y yo quiero quedarme más tiempo con mi bebita, en todos mis embarazos me han empalmado las vacaciones para poder quedarme más tiempo con mis hijos. Y dado a que tengo que hacer un curso al 100% tampoco estoy perjudicando a la operación. Por favor quisiera que me manden mi regreso a línea con esos días del perdiodo 2026 ya que en su momento me comuniqué por este medio y me confirmaron que así lo harían.</t>
  </si>
  <si>
    <t>¡Gracias por la información! Te comentamos que tenemos mapeado tu caso y te estaremos enviando por correo tu linea de retorno con tus vacaciones actualizadas. ¡Agradecemos mucho tu colaboración y comprensión!</t>
  </si>
  <si>
    <t>429fc2c8-LATAM-LP</t>
  </si>
  <si>
    <t>03/12/2025 10:07</t>
  </si>
  <si>
    <t>OS09</t>
  </si>
  <si>
    <t>6458f7fc-LATAM-LP</t>
  </si>
  <si>
    <t>16/12/2025 16:05</t>
  </si>
  <si>
    <t>Buenas tardes ! Ya actualice mi licencia peruana con mi nueva direccion de domicilio. Como puedo hacer para que se actualice mi licencia chilena con mi nueva direccion! Quedo atenta y que pasos seguir. Gracias. Pamela chavez</t>
  </si>
  <si>
    <t>7559a5ae-LATAM-LP</t>
  </si>
  <si>
    <t>16/12/2025 17:30</t>
  </si>
  <si>
    <t>d7b50f85-LATAM-LP</t>
  </si>
  <si>
    <t>17/12/2025 14:58</t>
  </si>
  <si>
    <t>Buenas Tardes, el mes pasado ingrese un formulario de apto médico,no podía asistir el día programado. Me dijeron que se iban a comunicar conmigo vía mil para i dicarme la nueva fecha de mi apto medico pero hasta el momento no tengo una nueva fecha para mi apto medico el cual se me vence el 31/12/25</t>
  </si>
  <si>
    <t>"¡Gracias por la información! Te comentamos que tenemos mapeado tu caso. Te informamos que estaremos enviando por correo la programación de tu nueva fecha de apto médico. Asimismo, te recordarmos que la fecha de vencimiento de tu apto médico es el 30/04/2026. Esperamos que la respuesta te haya sido de gran ayuda."</t>
  </si>
  <si>
    <t>df6eb23c-LATAM-LP</t>
  </si>
  <si>
    <t>18/12/2025 17:52</t>
  </si>
  <si>
    <t>El día 22 de diciembre tengo mi chequeo de competencia en el B787 pero por temas de salud no podré asistir al vuelo, por lo que agradecería me lo pudieran reprogramar, me comentaron que tengo extensión hasta el mes de enero.</t>
  </si>
  <si>
    <t>"¡Gracias por la información! Te informamos que se te reprogramará tu chequeo de competencia para su mes prórroga. ¡Agradecemos mucho tu colaboración y comprensión!"</t>
  </si>
  <si>
    <t>ad3c7d6e-LATAM-LP</t>
  </si>
  <si>
    <t>17/12/2025 20:34</t>
  </si>
  <si>
    <t>f02ca322-LATAM-LP</t>
  </si>
  <si>
    <t>19/12/2025 11:47</t>
  </si>
  <si>
    <t>Proteccion de rol, no he podido concretar la renovacion de visa crew por disponibilidad de fechas, mi visa crew esta vencida.</t>
  </si>
  <si>
    <t>¡Gracias por la información! Te comentamos que las solicitudes de proteccion de rol para el mes subsiguiente es a traves del siguiente formulario: https://docs.google.com/forms/d/e/1FAIpQLSf2ZeSd_3xVx7iObNiLZ1M6VVeD0hG3u8jBW4ZpvQobARihsw/viewform Esperamos que la respuesta te haya sido de gran ayuda.</t>
  </si>
  <si>
    <t>7999ff5f-LATAM-LP</t>
  </si>
  <si>
    <t>18/12/2025 18:09</t>
  </si>
  <si>
    <t>AM15</t>
  </si>
  <si>
    <t>836263cb-LATAM-LP</t>
  </si>
  <si>
    <t>22/12/2025 17:03</t>
  </si>
  <si>
    <t>Buenas tardes, esperando se encuentren bien. Mi consulta es por la renovación de mi visa turista cita que fue reprogramada para el 05 de febrero 2026 y sé que la protección del rol es apartir del 06 de cada mes. Mi preocupación es que al enviar el formulario fue obviamente rechazado,por no cumplir la fecha. Sin embargo, me gustaría saber si igual protegeran mi rol para el mes de febrero colocándome vuelos y pernoctes que me permitan ir sin pasaporte. Y si hay algún otro canal donde solicitarlo. Muchas gracias.</t>
  </si>
  <si>
    <t>"¡Gracias por la información! Te comentamos que tenemos mapeado tu caso, es por ello que te sugerimos ingresar nuevamente tu solicitud a traves del formulario y colocar en fecha 6 de febrero para revisar la solicitud. Esperamos que la respuesta te haya sido de gran ayuda."</t>
  </si>
  <si>
    <t>86a3472d-LATAM-LP</t>
  </si>
  <si>
    <t>23/12/2025 18:37</t>
  </si>
  <si>
    <t>Buenas tardes, estimados: Hace unos minutos recibí una notificación en el aplicativo iFlight Crew en la que se indica que mis calificaciones para las flotas A320 y B767 figuran como vencidas. Al respecto, quisiera informarles que realicé mi line check en B767 en noviembre del presente año y mi line check en Airbus en febrero del presente año, por lo que agradecería puedan verificar esta información.</t>
  </si>
  <si>
    <t>"¡Gracias por la información! Te comentamos que tenemos mapeado en nuestro sistema que se encuentra activa en ambas flotas cumpliendo con las fechas que usted menciona, por lo que le aseguramos que lo tenemos mapeado y actualizado, Esperamos que la respuesta te haya sido de gran ayuda."</t>
  </si>
  <si>
    <t>7ed7b72f-LATAM-LP</t>
  </si>
  <si>
    <t>19/12/2025 12:37</t>
  </si>
  <si>
    <t>Estimados buenas tardes respondiendo a la respuesta de la consulta anterior con codigo de operacion ce61bbb8-LATAM-LP, Creo que no se ha entendido que ambas fechas de vacaciones se las he cedido a mi compañera Monica Diaz, ella es quién debería quedarse con ambas semanas de vacaciones cedidas, no entendemos porque me siguen dejando 1 semana de vacaciones a mi si originalmente las 2 fechas de vacaciones eran mías y ambas solicitudes están correctamente ingresadas desde el 29nov25 para yo cederle las 2 semanas de vacaciones a Monica Diaz. Podrían verificar nuevamente las solicitudes ingresadas por favor y confirmar en otorgarle o cederle las 2 semanas de vacaciones para Monica Diaz, yo no debería quedarme con ninguna semana o fechas de vacaciones. Muchas Gracias de antemano por la ayuda brindado en verificar las solicitudes de cesión.</t>
  </si>
  <si>
    <t>"¡Gracias por la información! Te comentamos que ha procedido del bloque de vacaciones cedido hacia la tc Mónica Diaz del 1/05/2026 al 7/05/2026. Asimismo, te informamos que se te notificará mediante correo dicha información. Por otro lado, te comentamos que cuentas con un saldo pendiente de 19 días de vacaciones por fecha de vencimiento, el cual lo debes de gozar antes del 01/06/26, por ello, te solicitamos ingresar al formulario de pedidos adicionales de vacaciones para que se te pueda programar. Recuerda que estas vacaciones no pueden ser guardadas en tu siguiente bolsa de vacaciones. Pedido, Cesión e Intercambio de Vacaciones SAB LP 2026-01. Puedes acceder al formulario mediante el siguiente link: https://docs.google.com/forms/d/e/1FAIpQLSdmXt-iSndWo5_kb3Bithorzgp7OTZOBAa-lYgrbwGZuQBVcw/viewform Esperamos que la respuesta te haya sido de gran ayuda."</t>
  </si>
  <si>
    <t>b13eac65-LATAM-LP</t>
  </si>
  <si>
    <t>19/12/2025 14:45</t>
  </si>
  <si>
    <t>Quisiera saber el saldo de dias de mi bolsa de vacaciones para el año 2026.</t>
  </si>
  <si>
    <t>"¡Gracias por la información! Te informamos que cuentas con un total de 30 días de vacaciones por gozar hasta antes del 09/09/26. Esperamos que la respuesta te haya sido de gran ayuda."</t>
  </si>
  <si>
    <t>a2a42566-LATAM-LP</t>
  </si>
  <si>
    <t>22/12/2025 15:18</t>
  </si>
  <si>
    <t>0d8479a1-LATAM-LP</t>
  </si>
  <si>
    <t>22/12/2025 15:19</t>
  </si>
  <si>
    <t>Buen día, solo deseaba comunicar que he ido a tramitar el no apto médico, me indican que tiene que ser con una ecografía y/o informe médico del ginecólogo tratante, yo aún estoy en mi semana 3 de embarazo, la ecografía recién sería programada para la semana 5/6 para poder generar un informe y he solicitado al doctor el informe por medio de la clínica el cual sería enviado en 10 dias sin contar feriados ni fin de semana. Esta información ya ha sido comunicada a mi cpl.</t>
  </si>
  <si>
    <t>8858a6ad-LATAM-LP</t>
  </si>
  <si>
    <t>24/12/2025 14:01</t>
  </si>
  <si>
    <t>ER99</t>
  </si>
  <si>
    <t>9e52e49c-LATAM-LP</t>
  </si>
  <si>
    <t>24/12/2025 14:03</t>
  </si>
  <si>
    <t>Estimados quisiera saber si me encuentro habilitada para volar Boing, ya que de ser así quisiera poder generar un cambio con mi compañera, ya que hace poco volví de descanso médico, espero su pronta respuesta</t>
  </si>
  <si>
    <t>LK05</t>
  </si>
  <si>
    <t>¡Gracias por la información! Te comentamos que no te encuentras activa en la flota b767 ya que te encuentras vencida en experiencia reciente, por lo que te correspondería asignarte tu reentrenamiento en B767 en base a la disponibilidad de los instructores y la holgura operativa Esperamos que la respuesta te haya sido de gran ayuda.</t>
  </si>
  <si>
    <t>8c2f2cd8-LATAM-LP</t>
  </si>
  <si>
    <t>25/12/2025 15:34</t>
  </si>
  <si>
    <t>Mi verificacion de competencia Airbus fue cancelado por temas operacionales y aun no me ha llegado infofmacion de reprogramacion. Y vence el 31/12/25</t>
  </si>
  <si>
    <t>"¡Gracias por la información! Te recordamos que, dado que tu mes base es diciembre y según lo establecido en la RAP 63, esta actividad puede ser programada dentro de un período de elegibilidad que comprende 30 días antes, durante y después de tu mes base. Por lo tanto, tu verificación de competencia podrá ser agendada tanto en noviembre como en enero, junto con la prórroga correspondiente. Asimismo, te informamos que según tu rol, te corresponde realizar tu verificación de competencia el 6 de enero.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</si>
  <si>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cf3a023d-LATAM-LP</t>
  </si>
  <si>
    <t>24/12/2025 08:27</t>
  </si>
  <si>
    <t>Buenos días , tengo una consulta a cerca de las vacaciones. Soy movimiento interno y tengo 26,5 días acumulados de Aspax si quisiera más información a cerca de cómo se va a manejar estos días porfavor</t>
  </si>
  <si>
    <t>"¡Gracias por la información! Te comentamos que tu bolsa de vacaciones pendientes por gozar se te gestionará a través de las vacaciones pre publicadas a través del segundo semestre del 2026-2 ya que tu ingreso a la línea fue el día 16/12/2025. Asimismo, te informamos si deseas salir de vacaciones en el primer semestre 2026-01, te pedimos ingresar un pedido adicional de vacaciones para analizar el caso. Debes acceder través del formulario: Pedido, Cesión e Intercambio de Vacaciones SAB LP 2026-01. Puedes acceder al formulario mediante el siguiente link: https://docs.google.com/forms/d/e/1FAIpQLSdmXt-iSndWo5_kb3Bithorzgp7OTZOBAa-lYgrbwGZuQBVcw/viewform" ¡Agradecemos mucho tu colaboración y comprensión!"</t>
  </si>
  <si>
    <t>5b1992c5-LATAM-LP</t>
  </si>
  <si>
    <t>26/12/2025 10:35</t>
  </si>
  <si>
    <t>TR06</t>
  </si>
  <si>
    <t>d4e3b06a-LATAM-LP</t>
  </si>
  <si>
    <t>24/12/2025 13:54</t>
  </si>
  <si>
    <t>Buenas tardes, escribo ya que recién llegó el rol y veo que me han puesto rol completo en enero, sin embargo, actualmente yo estoy con descanso médico el cual será prolongado por mi diagnóstico, reporté mis días del primer DM que va hasta el 15 de enero, ya mandé toda la documentación de este descanso reportando también por el formulario todos los días indicados, por otro lado, he empezado tratamiento con pregabalina el cual será continuo por la condición clínica actual que tengo, y que no está permitida para volar, por lo que el proceso tendría que ser prolongado según lo conversado con el doctor. Les pediría su apoyo con el tema por favor, yo les adjunto por aquí toda mi documentación. Muchas gracias y felices fiestas.</t>
  </si>
  <si>
    <t>DM03</t>
  </si>
  <si>
    <t>3d95bfc6-LATAM-LP</t>
  </si>
  <si>
    <t>26/12/2025 12:29</t>
  </si>
  <si>
    <t>Vuelo de re calificación</t>
  </si>
  <si>
    <t>e33df10e-LATAM-LP</t>
  </si>
  <si>
    <t>24/12/2025 20:26</t>
  </si>
  <si>
    <t>Estimados quisiera el detalle de mis días tomados de vacaciones desde mi inicio en la empresa noviembre 2013 a la fecha</t>
  </si>
  <si>
    <t>"¡Gracias por la información! Te pedimos por favor que en caso requieras información detallada del histórico de tus vacaciones canalizarlo con RH conect. Esperamos que la respuesta te haya sido de gran ayuda."</t>
  </si>
  <si>
    <t>219c2dae-LATAM-LP</t>
  </si>
  <si>
    <t>24/12/2025 22:40</t>
  </si>
  <si>
    <t>Buenas noches equipo. Les escribo porque solicité un cambio de vacaciones, me llegó un correo de aprobación de dicho cambio, sin embargo observo que la fecha que me mencionan en el correo nunca fue la solicitada (8 al 15 de jun), la fecha que mi compañero Kevin Jhon Yanac me cedio es del 8 al 15 del mes de mayo, adjunto foto del formulario ingresado en su momento. Por favor si pudieran confirmarnos la aprobacion con la fecha correcta. Gracias de antemano.</t>
  </si>
  <si>
    <t>"¡Gracias por la información! Te comentamos que de acuerdo a las vacaciones pre publicadas del tc Yanac Kevin, tiene bloques pre publicadas del 24/01/2026 al 31/01/2026 y del 08/06/2026 al 15/06/2026. Asimismo, te mencionamos que según el ingreso de solicitud de su compañero, las fechas del bloque que cede es del 08/06/2026 al 15/06/2026 a la tc Soria Maria Gracia. Te recordamos que el tc Yanac Kevin no tiene vacaciones pre publicadas del 08/05/2026 al 15/05/2026, Esperamos que la respuesta te haya sido de gran ayuda."</t>
  </si>
  <si>
    <t>36b9ad94-LATAM-LP</t>
  </si>
  <si>
    <t>26/12/2025 15:42</t>
  </si>
  <si>
    <t>Debido a que no pude asisitir a mi chequeo de competencia en diciembre por razones de salud solicité que me lo pusieran en enero que sería el mes de extensión, tengo un Santiago el día 29 de enero pero he notado que no me han puesto chequeo en ese vuelo, además tengo RD1 el dia 22 por si quisieran avtivarme el chequeo en esa fecha</t>
  </si>
  <si>
    <t>"¡Gracias por la información! Te comentamos que tenemos mapeado tu caso. Te informamos que se va a gestionar tu caso y te contactaremos por correo electrónico si surge una opción que implique cambios en tu rol para la programación de tu verificación de competencia para B787. Esperamos que la respuesta te haya sido de gran ayuda."</t>
  </si>
  <si>
    <t>4fea0fa4-LATAM-LP</t>
  </si>
  <si>
    <t>25/12/2025 17:08</t>
  </si>
  <si>
    <t>Estimados, me llegó un convenio a Tu Recibo indicando que tengo 2 días de vacaciones pendientes del periodo enero 2024 a enero 2025, pero a la fecha tengo mas días acumulados, quisiera saber si estoy en lo correcto.</t>
  </si>
  <si>
    <t>¡Gracias por la información! Te informamos que los 2 días que aparecen en tu recibo corresponden a vacaciones pendientes que debes tomar antes de su fecha de vencimiento (04/01/2026). Adicionalmente, te confirmamos que tienes vacaciones pre-publicadas programadas del 08/01/2026 al 14/01/2026. Una vez que tomes estos periodos, tu saldo final de vacaciones pendientes por gozar será de 23 días que están correspondiendo a dicha bolsa. Por otro lado, te recordamos que el bloque mínimo para el goce de vacaciones es de 7 días. Esperamos que la respuesta te haya sido de gran ayuda.</t>
  </si>
  <si>
    <t>4f776362-LATAM-LP</t>
  </si>
  <si>
    <t>25/12/2025 20:16</t>
  </si>
  <si>
    <t>Estimados, el día 05/12 tenía programado mi apto medico/examen ocupacional. Pero por motivos de salud no pude asistir, envié correo a sala comentando mi problema y les escribo para que puedan programarme que día puedo asistir. Mi apto y ocupacional los hice este año en febrero. Quedo atenta a sus comentarios. Gracias</t>
  </si>
  <si>
    <t>"¡Gracias por la información! Te comentamos que tenemos mapeado tu caso. Te recordamos que la programación con la nueva fecha se estará enviando a tu correo. Esperamos que la respuesta te haya sido de gran ayuda."</t>
  </si>
  <si>
    <t>ac3f96c4-LATAM-LP</t>
  </si>
  <si>
    <t>26/12/2025 09:46</t>
  </si>
  <si>
    <t>Buen día estimados, Esperando se encuentren bien, la presente es para comunicar que el día 24 de diciembre me acerqué a la oficina dentro del horario indicado (16:05pm) en el correo para recoger mi apto médico, pero no encontré personal en mesa de partes ni de oficinas, ya que atendían hasta las 12 pm, pero esa información no está especificada en el correo. Encontré una empleada saliendo del edificio y me mencionó que el día jueves 25 de diciembre no habrá atención, indicándome que habrá atención a partir del día 26 de diciembre. Adjunto remito a Uds fotos certificando la asistencia en el horario indicado en el correo. Solicito autorización para nombrar a un representante para recoger el apto médico el día 26 de diciembre, por motivo de que estaré de viaje en esas fechas por mis días libres. Agradezco la atención prestada y la gestión oportuna; igualmente quiero desearles una Feliz Navidad y un próspero año nuevo. Saludos cordiales, Diana Romero Tripulante de cabina Junior</t>
  </si>
  <si>
    <t>99605f38-LATAM-LP</t>
  </si>
  <si>
    <t>26/12/2025 12:30</t>
  </si>
  <si>
    <t>c9ffe090-LATAM-LP</t>
  </si>
  <si>
    <t>28/12/2025 11:13</t>
  </si>
  <si>
    <t>Tenia line check el 29 de diciembre ya Que se me vence a fines de enero 2026 y fui activada a un JFK llegando a lima el 29 que era mi line check porfavor reprogramar me para una nueva fecha lo antes posible. Muchas gracias saludos</t>
  </si>
  <si>
    <t>"¡Gracias por la información! Te informamos que, dado que tu mes base es enero y según lo establecido en la RAP 63, esta actividad puede ser programada dentro de un período de elegibilidad que comprende 30 días antes, durante y después de tu mes base. Por lo tanto, tu verificación de competencia podrá ser agendada tanto en diciembre como en febrero,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</si>
  <si>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913c4450-LATAM-LP</t>
  </si>
  <si>
    <t>26/12/2025 13:44</t>
  </si>
  <si>
    <t>Buenos días les escribo para pedirles por favor me confirmen si me corresponde hands on B767 el lunes 29/12 pues hace unos meses atrás también se me programó y pocos días antes recibí un correo diciendo que había sido un error, en enero tengo line check en el avión, muchas gracias</t>
  </si>
  <si>
    <t>1b34b522-LATAM-LP</t>
  </si>
  <si>
    <t>29/12/2025 13:39</t>
  </si>
  <si>
    <t>20bde9e8-LATAM-LP</t>
  </si>
  <si>
    <t>29/12/2025 13:40</t>
  </si>
  <si>
    <t>Para su conocimiento, mi último uelo en 767 fue el 21 de noviembre 2025</t>
  </si>
  <si>
    <t>773e6af5-LATAM-LP</t>
  </si>
  <si>
    <t>26/12/2025 15:33</t>
  </si>
  <si>
    <t>Buenas tardes equipo. Les escribo porque solicité un cambio de vacaciones, en el que mi compañero Kevin Jhon Yanac debia cederme su bloque de vacaciones del 08 al 15 de mayo, según la información que yo tenía al momento de solicitar el cambio. Cuando recibo el correo de aprobacion del cambio, puedo notar que el bloque cedido por el compañero Kevin Yanac es en el mes de junio, por ello ingrese otro formulario previamente a este haciendo la consulta por el error. En la respuesta me confirman que la fecha aprobada es de junio. Por este motivo me comunico con ustedes para solicitarles apoyo con esta enorme confusion, ya que me encuentro incomoda por la situacion dado que yo en ningun momento solicite la cesion de vacaciones para junio, puesto que es un mes en el que pedi incluso no salir de vacaciones. En la solicitud de cambio que yo ingrese especifique que pedia la cesion para mayo ya que es la semana de mi cunpleaños. En tal sentido, les suplico por favor ayudarme a revertir este cambio NO autorizado por mi persona, tambien me comunique con mi compañero Kevin Yanac para informarle lo sucedido y poder revertir la situacion. Lo mas importante para mi es NO salir en el mes de junio, ya que buscaba vacaciones para MAYO. Entiendo que a mi me quitaron vacaciones de marzo, si es que no me las pueden devolver por temas operativos no hay ningun problema, lo unico que sí necesito es NO salir en el mes de junio. Adjunto los pantallazos de la solicitud ingresada por mi y tambien lo conversado con mi compañero para que puedan tenerlo en cuenta. Les agradezco enormemente la gestion.</t>
  </si>
  <si>
    <t>¡Gracias por la información! Te comentamos que debido a que no se pueden cancelar las vacaciones de junio, quedaría improcedente las vacaciones de cesión con tu compañero Kevin Yanac, por lo que se mantendria las fechas originales de las vacaciones pre publicadas inicialmente. Mariagracia Soria: se mantiene sus vacaciones pre publicadas por vencimiento del 16/03/26 al 23/03/26 y las vacaciones de Kevin Yanac del 08/06/26 al 15/06/26. En caso desees gozar vacaciones en mayo, te recomendamos realizar un intercambio de vacaciones con otro compañero (debes ingresar tu solicitud hasta el último día de dos meses de anticipación), debes acceder través del formulario: Pedido, Cesión e Intercambio de Vacaciones SAB LP 2026-01. Puedes acceder al formulario mediante el siguiente link: https://docs.google.com/forms/d/e/1FAIpQLSdmXt-iSndWo5_kb3Bithorzgp7OTZOBAa-lYgrbwGZuQBVcw/viewform" Esperamos que la respuesta te haya sido de gran ayuda.</t>
  </si>
  <si>
    <t>23022de8-LATAM-LP</t>
  </si>
  <si>
    <t>27/12/2025 09:49</t>
  </si>
  <si>
    <t>Buenos días, Les escribo para comentarles que este año tuve la Reva en el mes de febrero, por lo que en el 2026, debería tenerla en Enero. Incluso mis licencias de vuelo tienen fecha de vencimiento 31/01/26, pero en el nuevo rol publicado, no tengo Reva programada para dicho mes. Agradeceré lo tengan en cuenta para los trámites correspondientes con la DGAC. Saludos cordiales, Nimer García.</t>
  </si>
  <si>
    <t>"¡Gracias por la información! Te informamos que según el sistema, dado que tu mes base es marzo y según lo establecido en la RAP 63, esta actividad puede ser programada dentro de un período de elegibilidad que comprende 30 días antes, durante y después de tu mes base. Por lo tanto, tu curso de revalidación de seguridad podrá ser agendada tanto en febrero como en abril,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</si>
  <si>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f45553f7-LATAM-LP</t>
  </si>
  <si>
    <t>27/12/2025 14:30</t>
  </si>
  <si>
    <t>Buenas tardes queria consultar si es posible anular mis vacaciones del 1 al 7 de mayo para que regresen a mi bolsa de vacaciones y de adiconal a ello aceptar las vacaciones que esta cediendo mi compañera Carmen aristizabal que es del 8 al 15 de mayo y estas fecjas regresarian a la nolsa de carmen. Me informan si esto seria posible y como se gestionaria.</t>
  </si>
  <si>
    <t>"¡Gracias por la información! Te informamos que, para solicitar intercambio de vacaciones debes hacerlo a través del formulario "Pedido, Cesión e Intercambio de Vacaciones LP 2026-01". Puedes acceder al formulario mediante el siguiente link: https://docs.google.com/forms/d/e/1FAIpQLSdmXt-iSndWo5_kb3Bithorzgp7OTZOBAa-lYgrbwGZuQBVcw/viewform Asimismo, te recordamos que la confirmación de tus vacaciones serán notificadas con 22 a 30 días de anticipación del inicio de las mismas. Por otro lado, te comentamos que toda la información referente a intercambio, cesión o pedido adicional de vacaciones se encuentra disponible en el sitio LP y en el correo de la prepublicación. Esperamos que la respuesta te haya sido de gran ayuda."</t>
  </si>
  <si>
    <t>5f4b3aa0-LATAM-LP</t>
  </si>
  <si>
    <t>27/12/2025 16:15</t>
  </si>
  <si>
    <t>Vacaciones confirmadas</t>
  </si>
  <si>
    <t>"¡Gracias por la información! Te comentamos que la confirmación del bloque pendiente de tus vacaciones serán notificadas con 22 días de anticipación. Esperamos que la respuesta te haya sido de gran ayuda."</t>
  </si>
  <si>
    <t>cae016be-LATAM-LP</t>
  </si>
  <si>
    <t>27/12/2025 16:24</t>
  </si>
  <si>
    <t>Buenas tardes, en la Reva me correspondería ser evaluada en Boeing a pesar de que aún no he volado el avión? Asimismo comentar que estaré recogiendo la licencia física el lunes 29 de dic y en enero no me han programado vuelos en boeing.</t>
  </si>
  <si>
    <t>7d85da55-LATAM-LP</t>
  </si>
  <si>
    <t>27/12/2025 16:26</t>
  </si>
  <si>
    <t>Buenas tardes, el motivo de mi consulta era para saber si el RTI del 19 al 22 era Reva de Airbus o Boeing ya que en el mes de octubre yo tuve del 6 al 10 en Airbus y en Boeing recién estoy habilitada. De antemano muchas gracias, saludos</t>
  </si>
  <si>
    <t>"¡Gracias por la información! Te comentamos que el RTI asignado del 19 al 22 pertenence a Reva de B767. Esperamos que la respuesta te haya sido de gran ayuda."</t>
  </si>
  <si>
    <t>b8841564-LATAM-LP</t>
  </si>
  <si>
    <t>27/12/2025 16:29</t>
  </si>
  <si>
    <t>Estado de renovacion tilan</t>
  </si>
  <si>
    <t>ED05</t>
  </si>
  <si>
    <t>¡Gracias por la información! Te recordamos que la información de la renovación de tu fotocheck se encuentra disponible en el SITE para casos de LP. Te compartimos el siguiente link para que puedas gestionarlo. https://www.appsheet.com/start/fc09f2b3-fd11-46ae-882b-d8ce2cb7a8d1?platform=desktop#appName=SolicitudDeCredencialesPE-501453028&amp;vss=H4sIAAAAAAAAA6WPsU7EMBBE_2Vrp4BzSOIWUZwQNCAaTLHYa8m6nH2yN8Ap8r9jwyFogXJm9Z5mV3jx9HrHaHagHtfvdE1HULBquD8eSIPScBkDpzhrEBpucX8qE1kKxuNMWUOB8iS-HEwZ1Pp7hfr_CgG-ZvbOU2q-RlfPia3nRrbiBwdFwH5hfJ7pY3zjfN6GK-v5JtqaOS0kgBOGjIZ9DFtbHf3mbJIobTc64zrZj7Ib--m8GwYah42UduovoJRqd9EsmexDfe6PT7U5bwcM9nOQwzlTeQfP0flgwwEAAA==&amp;view=Credenciales</t>
  </si>
  <si>
    <t>141bf983-LATAM-LP</t>
  </si>
  <si>
    <t>29/12/2025 09:32</t>
  </si>
  <si>
    <t>Buenos días, en el 2025 mi linecheck de 767 fue el 13 de enero. Tengo entendido que tengo hasta el 31 de enero para tenerlo, pero no lo veo programado por rol. Sería posible me puedan sumar a una tripulación que tenga linecheck para no venderme. Muchas gracias</t>
  </si>
  <si>
    <t>"¡Gracias por la información! Te informamos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</si>
  <si>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333d8c24-LATAM-LP</t>
  </si>
  <si>
    <t>27/12/2025 23:53</t>
  </si>
  <si>
    <t>Vacaciones pendientes</t>
  </si>
  <si>
    <t>¡Gracias por la información! Por favor nos comentas el detalle de tu consulta.</t>
  </si>
  <si>
    <t>83852663-LATAM-LP</t>
  </si>
  <si>
    <t>29/12/2025 16:22</t>
  </si>
  <si>
    <t>RO05</t>
  </si>
  <si>
    <t>ebe97033-LATAM-LP</t>
  </si>
  <si>
    <t>27/12/2025 16:27</t>
  </si>
  <si>
    <t>e5ddc3ed-LATAM-LP</t>
  </si>
  <si>
    <t>29/12/2025 21:35</t>
  </si>
  <si>
    <t>Consulta hoy recibi un correo con información de vencimiento de mi visa crew y pasaporte pero la información esta al revés mi visa crew vence 02/12/2030 y mi pasaporte 17/07/2027</t>
  </si>
  <si>
    <t>d21ecd3d-LATAM-LP</t>
  </si>
  <si>
    <t>30/12/2025 09:54</t>
  </si>
  <si>
    <t>Buen día. El día 22/12 fui programada con LCD en el 787 pero por legalidad el vuelo fue retirado. Por favor considerar que tengo pendiente LCK del B-787.</t>
  </si>
  <si>
    <t>23931dc4-LATAM-LP</t>
  </si>
  <si>
    <t>29/12/2025 15:43</t>
  </si>
  <si>
    <t>Buenas tardes. Sólo quisiera confirmar si mi Apto Médico estaría programado dentro de mis días asignados de REVA del 12 al 16 ya que mi Apto Médico vence en 31 de Enero 2026</t>
  </si>
  <si>
    <t>"¡Gracias por la información! Te comentamos que la programación de tu apto médico se realizará en los días que corresponden a tu curso de REVA.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</si>
  <si>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d9f09e79-LATAM-LP</t>
  </si>
  <si>
    <t>30/12/2025 10:52</t>
  </si>
  <si>
    <t>Estimados, solicitó su apoyo para obtener prórroga para mi habilitación Airbus.Agradezco su atención.</t>
  </si>
  <si>
    <t>3e4ff259-LATAM-LP</t>
  </si>
  <si>
    <t>30/12/2025 15:30</t>
  </si>
  <si>
    <t>OS03</t>
  </si>
  <si>
    <t>"¡Gracias por la información! Ten en cuenta que la información de la renovación de tu fotocheck se encuentra disponible en el SITE para casos de LP. Te compartimos el siguiente link para que puedas gestionarlo. https://www.appsheet.com/start/fc09f2b3-fd11-46ae-882b-d8ce2cb7a8d1?platform=desktop#appName=SolicitudDeCredencialesPE-501453028&amp;vss=H4sIAAAAAAAAA6WPsU7EMBBE_2Vrp4BzSOIWUZwQNCAaTLHYa8m6nH2yN8Ap8r9jwyFogXJm9Z5mV3jx9HrHaHagHtfvdE1HULBquD8eSIPScBkDpzhrEBpucX8qE1kKxuNMWUOB8iS-HEwZ1Pp7hfr_CgG-ZvbOU2q-RlfPia3nRrbiBwdFwH5hfJ7pY3zjfN6GK-v5JtqaOS0kgBOGjIZ9DFtbHf3mbJIobTc64zrZj7Ib--m8GwYah42UduovoJRqd9EsmexDfe6PT7U5bwcM9nOQwzlTeQfP0flgwwEAAA==&amp;view=Credenciales"</t>
  </si>
  <si>
    <t>d7b8a38a-LATAM-LP</t>
  </si>
  <si>
    <t>31/12/2025 10:21</t>
  </si>
  <si>
    <t>Buenos dias, tengo como información en base al correo de vigencia de actividades regulatorias que mi verificación de competencia A320F se vence hoy 31/12/2025, y todavía no he podido dar mi Linecheck nuevamente. La última vez que realicé mi Linecheck A320F fue el 20/01/2025. Mi consulta es cuando me podrían programar el siguiente Linecheck porfavor.</t>
  </si>
  <si>
    <t>"¡Gracias por la información! Te informamos que tenemos mapeado tu caso y estaremos enviando las opciones de cambio en su rol para la reprogramación. Te estaremos enviando mediante correo electrónico mayor información. Esperamos que la respuesta te haya sido de gran ayuda."</t>
  </si>
  <si>
    <t>237d9d42-LATAM-LP</t>
  </si>
  <si>
    <t>30/12/2025 12:24</t>
  </si>
  <si>
    <t>Hola buen día, espero se encuentren bien, quisiera consultar sobre mi recalificación en vuelo para B767 es la única habilitación que me falta, quisiera saber si hay la posibilidad de que me lo activen en enero, para poder regresar con mis dos habilitaciones listas para volar, ya que mi provisional vence el 10 de febrero. Me ayudaría mucho comenzar con mis dos habilitaciones listas por horas y viáticos. Espero que pasen un feliz año nuevo</t>
  </si>
  <si>
    <t>"¡Gracias por la información! Te informamos que estamos coordinando la asignación de tu recalificación en B767, en base a la disponibilidad de los instructores y la holgura operativa. Asimismo, te estaremos notificando por correo lcuando se realiza la asignación. Esperamos que la respuesta te haya sido de gran ayuda."</t>
  </si>
  <si>
    <t>be06c47c-LATAM-LP</t>
  </si>
  <si>
    <t>31/12/2025 22:38</t>
  </si>
  <si>
    <t>Me comunico con ustedes para solicitar orientación, ya que no pude realizar mi linecheck programado para el día 26/12 debido a que me encontraba con descanso médico por motivos de salud. Asimismo, he recibido un correo en el que se indica que la verificación de competencia A320 la tengo habilitada únicamente hasta el día de hoy, 31/12, por lo que quisiera saber cómo debo proceder en esta situación. Agradecería mucho su apoyo e indicaciones al respecto.</t>
  </si>
  <si>
    <t>f9a3faf7-LATAM-LP</t>
  </si>
  <si>
    <t>30/12/2025 13:53</t>
  </si>
  <si>
    <t>NA01</t>
  </si>
  <si>
    <t>33a1f528-LATAM-LP</t>
  </si>
  <si>
    <t>30/12/2025 14:29</t>
  </si>
  <si>
    <t>Buenas tardes me indicaron envie nuevamente el formulario por este medio, solicito 14 dias de los 23 dias de vacaciones pendientes, soy movimiento interno y tengo bolsa de 23 dias pendientes, envié el formulario de vacaciones adicionales, RRHH me indicó envie correo a Julio pero no obtuve respuesta de hace dias, he solicitado por el link vacaciones de 07/03/20206 al 13/03/2026 y del 15/03/2026 al 21/03/2026 serian 14 dias y solo no estaria pidiendo el dia 14 de marzo que seria la fecha de mi cumpleaños, espero porfavor me puedan ayudar he intentado comunicarme con Julio pero aun sin respuesta. Mi CPL me indicó por este medio me podrian ayudar.</t>
  </si>
  <si>
    <t>"¡Gracias por la información! Te informamos que la respuesta a tu solicitud de vacaciones para el mes de marzo se estará enviando a partir de la quincena de febrero. Asimismo, es importante tener en cuenta que la aprobación final dependerá de la disponibilidad de cupos para dicho mes. Esperamos que la respuesta te haya sido de gran ayuda."</t>
  </si>
  <si>
    <t>e2228528-LATAM-LP</t>
  </si>
  <si>
    <t>31/12/2025 19:04</t>
  </si>
  <si>
    <t>Buenas tardes, mi consulta es debido a que en la general del vuelo LA2464 EZE LIM con fecha 31/12/2025 observe que mi fecha de nacimiento es incorrecta ya que figura como 09/FEB/1999 y mi fecha de nacimiento es 02/SEP/1999. Deseo saber como o en que canal poder modificar dicha informacion para que no haya ningun inconveniente en la documentacion. Saludos, a su vez adjunto foto de la general en mencion</t>
  </si>
  <si>
    <t>"¡Gracias por la información! Te comentamos que se realizará la actualización de tu fecha de nacimiento correcta en nuestras bases e IFN. Cabe mencionar que dentro de los próximos 4 días hábiles podrá revisar en su aplicación la información actualizada. Esperamos que la respuesta te haya sido de gran ayuda."</t>
  </si>
  <si>
    <t>0c2cb9c6-LATAM-LP</t>
  </si>
  <si>
    <t>30/12/2025 17:56</t>
  </si>
  <si>
    <t>fd99bdaa-LATAM-LP</t>
  </si>
  <si>
    <t>30/12/2025 21:09</t>
  </si>
  <si>
    <t>Estimados el dia de ayer 29 me enviaron una alerta de exámenes pendientes que vencen el día 31, dándome plazo solo hasta hoy 30. Son embargo al intentar ingresar en mi pernocte en Cuba se me bloqueo el acceso a la plataforma, lo cual no me permite realizar la totalidad de los exámenes. Adjunto foto de referencia del mensaje que aparece cuando intento ingresar. Tampoco podía ingresar link de consultas porque los servicios de Google están bloqueados en Cuba. Mi curso en tierra tiene venciendo 31 de enero del 2026. Agradecería asesoría para poder acceder al portal.</t>
  </si>
  <si>
    <t>"¡Gracias por tu mensaje!. Te recordamos que, si bien su curso vence en enero de 2026, los módulos de e-learning deben completarse en las fechas programadas, tal como se indicó en la invitación enviada. Para ello, requerimos por favor que nos confirme la fecha en la que podrá culminar estos módulos (le pedimos volver a ingresar su consulta nuevamente con el código de operación referente). Respecto al acceso a la plataforma, le informamos que debe verificarlo directamente con la Academia o el portal de IT, esto debe ser gestionado a través del canal de Soporte de Academia LATAM. Puedes acceder al formulario mediante el siguiente link: https://sites.google.com/latam.com/sscap-ssc/soporte-academia-corporativa Esperamos que la respuesta te haya sido de gran ayuda."</t>
  </si>
  <si>
    <t>ad485713-LATAM-LP</t>
  </si>
  <si>
    <t>31/12/2025 09:30</t>
  </si>
  <si>
    <t>Buenos dias, mi consulta es sobre los 11 dias de vacaciones que me quedaron pendientes ya que yo pase a crew desde trafico.</t>
  </si>
  <si>
    <t>"¡Gracias por la información! Te comentamos que dado que tu ingreso a SAB se dio el 16/12, se te va a aperturar una nueva meta de vacaciones de 30 días, en el cual se deberá gozar hasta antes de tu fecha de vencimiento, Adicional a ello, cuentas con una bolsa acumulada de 11 días de vacaciones, En caso desees gozar vacaciones, te recomendamos realizar un pedido adicional de vacaciones para que puedas gozar de los 11 días restantes de vacaciones durante el primer semestre del 2026 o esperar a la programación de la pre publicación del 2026-2, debes acceder través del formulario: Pedido, Cesión e Intercambio de Vacaciones SAB LP 2026-01. Puedes acceder al formulario mediante el siguiente link: https://docs.google.com/forms/d/e/1FAIpQLSdmXt-iSndWo5_kb3Bithorzgp7OTZOBAa-lYgrbwGZuQBVcw/viewform" Esperamos que la respuesta te haya sido de gran ayuda."</t>
  </si>
  <si>
    <t>4e1faf6d-LATAM-LP</t>
  </si>
  <si>
    <t>31/12/2025 12:06</t>
  </si>
  <si>
    <t>Hola! Acabo de pasar reva a inicios de diciemb sin embargo me acaba de llegar el correo con las fechas de las vigencias y me sale que vence en enero/febrero. Adjunto imagen resaltando las fechas</t>
  </si>
  <si>
    <t>"¡Gracias por la información! Te informamos que has completado tu curso de revalidación en diciembre. Por favor, toma nota de las siguientes fechas de vencimiento de tus cursos, las cuales ya se encuentran actualizadas en nuestro sistema: - Curso Tierra B767: 31/12/2026 - Curso Tierra A320F: 31/01/2027 Esperamos que la respuesta te haya sido de gran ayuda."</t>
  </si>
  <si>
    <t>3a032d89-LATAM-LP</t>
  </si>
  <si>
    <t>01/01/2026 21:04</t>
  </si>
  <si>
    <t>Buenas noches, debido a una activacion previa, me quitaron el vuelo a pucalpa el 22/12/2025; vuelo en el cual tenia programado line check a320fam el cual tiene vencimiento 31/01/2026, mi rol de enero esta programado con vuelos a320 sin embargo no tengo nueva reprogramacion lck. Quedo atento, muchas gracias.</t>
  </si>
  <si>
    <t>"¡Gracias por la información! Te recordamos que tu verificación de la competencia se puede programar dentro de un período de elegibilidad, el cual incluye: 30 días antes de tu fecha de vencimiento Tu mes base (mes en el que vence) El mes de prórroga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</si>
  <si>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ece7ffc2-LATAM-LP</t>
  </si>
  <si>
    <t>31/12/2025 11:36</t>
  </si>
  <si>
    <t>Licencia chile se vence 31/01/2026, quisiera saber que tramite debo de hacer para renovar la licencia</t>
  </si>
  <si>
    <t>f7a75743-LATAM-LP</t>
  </si>
  <si>
    <t>02/01/2026 11:15</t>
  </si>
  <si>
    <t>Buenos días, escribo para informar que el día de hoy tenia mi vuelo de verificacion de competencia en el 767 sin embargo hace un momento ha sido cambiado al 320. Quisiera por favor que se tuviera en cuenta ya que tengo vencimiento próximo (31/01/26) y así se me pueda activar algún vuelo para no vencerme. Muchas gracias Saludos</t>
  </si>
  <si>
    <t>754c1747-LATAM-LP</t>
  </si>
  <si>
    <t>31/12/2025 18:41</t>
  </si>
  <si>
    <t>Buenas tardes, la presente es debido a que yo era movimiento interno del area de servicio al pasajero me confirmaron vacaciones confirmadas del 1 al 8 de noviembre del 2025, las cuales no tome porque me encontraba en el curso inicial de capacitacion para tripulantes de cabina. Al ver mi boleta de noviembre visualizo que me han pagado dichos dias de vacaciones y me han descontado los dias en el portal latam. Visualice que me realizaron el pago por 22 dias trabajados y la diferencia de 8 dias de vacaciones cuando yo trabaje los 30 dias correspondientes. Requiero saber como se va a regularizar dichos dias y el pago por los dias trabajados en noviembre que no fueron pagados como laborados sino como vacaciones</t>
  </si>
  <si>
    <t>2012a99d-LATAM-LP</t>
  </si>
  <si>
    <t>02/01/2026 11:27</t>
  </si>
  <si>
    <t>Buenos días, comunico que me quitaron mi LCK 767 el día de hoy 2/01. Mi fecha de vencimiento es el 28/02, mando este formulario para que lo tengan presente. Muchas gracias</t>
  </si>
  <si>
    <t>5c82da94-LATAM-LP</t>
  </si>
  <si>
    <t>31/12/2025 19:40</t>
  </si>
  <si>
    <t>Estimados buenas noches, la presente es para consultar sobre mi REVA, la tenía programada para el 25 de noviembre y no pude asistir ya que estaba con DM; a la fecha presenté ya me encuentro apta para regresar a la línea y estoy esperando el rol y consigo la Programación dela nueva REVA. Agradezco la atención prestada, saluds</t>
  </si>
  <si>
    <t>73acc526-LATAM-LP</t>
  </si>
  <si>
    <t>02/01/2026 11:44</t>
  </si>
  <si>
    <t>ac657530-LATAM-LP</t>
  </si>
  <si>
    <t>01/01/2026 14:46</t>
  </si>
  <si>
    <t>c0a758d2-LATAM-LP</t>
  </si>
  <si>
    <t>01/01/2026 14:51</t>
  </si>
  <si>
    <t>3ac12eb0-LATAM-LP</t>
  </si>
  <si>
    <t>Linecheck cancelado por cambio de avión a última hora. Muy buenos días. El día de hoy se canceló mi chequeo de competencia en la flota B767 LIM-BOG por cambio de avión a último momento a un A320. Quisiera saber si se pedirá extensión a la DGAC para prórroga de un mes adicional, ya que este mes es mi fecha de vencimiento. Muchas gracias.</t>
  </si>
  <si>
    <t>b40d26eb-LATAM-LP</t>
  </si>
  <si>
    <t>05/01/2026 11:42</t>
  </si>
  <si>
    <t>Mi vuelo de chequeo fue cancelado, cuando sería mi reprogramacion ?</t>
  </si>
  <si>
    <t>add88151-LATAM-LP</t>
  </si>
  <si>
    <t>06/01/2026 17:39</t>
  </si>
  <si>
    <t>No tuvimos linecheck en el vuelo LA2360, no llego el instructor. Muchas gracias.</t>
  </si>
  <si>
    <t>401f464d-LATAM-LP</t>
  </si>
  <si>
    <t>05/01/2026 21:37</t>
  </si>
  <si>
    <t>be84ddba-LATAM-LP</t>
  </si>
  <si>
    <t>03/01/2026 12:34</t>
  </si>
  <si>
    <t>Buenas tardes estimados. La presente solicitud es para informar que los días 10, 11, 12 y 15 de diciembre 2025 tuve mi reva de curso en tierra de Airbus y Boeing. Por lo tanto, creería que las nuevas fechas de vencimiento de ambas actividades serían en un año más. Quedo atenta a cualquier comunicación y a las nuevas fechas de vencimiento de las actividades regulatorias. Muchas gracias!!</t>
  </si>
  <si>
    <t>086d95bd-LATAM-LP</t>
  </si>
  <si>
    <t>02/01/2026 12:28</t>
  </si>
  <si>
    <t>2 días faltantes de Reva</t>
  </si>
  <si>
    <t>RV08</t>
  </si>
  <si>
    <t>997b545b-LATAM-LP</t>
  </si>
  <si>
    <t>02/01/2026 12:29</t>
  </si>
  <si>
    <t>Buenas tardes: según la respuesta que me dieron el 16/12 respecto a los 2 días faltantes de mi reva indicaron que lo estarían programando para enero, sin embargo, en mi rol indica 5 días de RTI. Además se me estan cargando los exámenes en el e-learning los cuales algunos ya lo realicé la vez pasada. Voy a repetir los cursos nuevamente???</t>
  </si>
  <si>
    <t>"¡Gracias por la información! Te informamos que te solo te corresponde realizar tu curso de revalidación el día 13/01 y 14/01. Esperamos que la respuesta te haya sido de gran ayuda."</t>
  </si>
  <si>
    <t>c48c81bc-LATAM-LP</t>
  </si>
  <si>
    <t>02/01/2026 18:33</t>
  </si>
  <si>
    <t>Buenas tardes, escribo para consultar acerca de la fecha de mi apto médico, he recibido un correo electrónico sobre la fecha del mismo, sin embargo por rol me figura la asignación RTI para ese día.</t>
  </si>
  <si>
    <t>"¡Gracias por la información! Te informamos que tienes programado según tu rol el día 26/01 tu apto médico. Asimismo, te recordamos que el código RTI está asignado por la fecha de tu apto médico Esperamos que la respuesta te haya sido de gran ayuda."</t>
  </si>
  <si>
    <t>dce3b63e-LATAM-LP</t>
  </si>
  <si>
    <t>02/01/2026 18:46</t>
  </si>
  <si>
    <t>AM07</t>
  </si>
  <si>
    <t>33d1b09c-LATAM-LP</t>
  </si>
  <si>
    <t>05/01/2026 22:17</t>
  </si>
  <si>
    <t>Buenas noches, por medio de la presente te deseando se encuentren bien de salud en unión familiar. Quisiera consultar sobre mi experiencia reciente en la flota 767 ya que por temas de trámite de visa no registro asignación de vuelos desde el mes de agosto por lo que informo atravez de este medio para que me puedan programar los cursos que necesite para mi habilitación y reentrenamiento y chequeo. Saludos cordiales</t>
  </si>
  <si>
    <t>"¡Gracias por la información! Te informamos que estamos coordinando la asignación de tu reentrenamiento y recalificación en B767, en base a la disponibilidad de los instructores y la holgura operativa. Asimismo, te estaremos notificando por correo con mayor información. Esperamos que la respuesta te haya sido de gran ayuda."</t>
  </si>
  <si>
    <t>c6792917-LATAM-LP</t>
  </si>
  <si>
    <t>03/01/2026 18:12</t>
  </si>
  <si>
    <t>Me ha llegado un mail donde me están programando Apto Médico el 06/01 y sin embargo en estos momento me encuentro en periodo vacacional hasta el 07/01. Agradeceré puedan reprogramarlo a partir del 08/01 en adelante Quedó al pendiente de su pronta respuesta.</t>
  </si>
  <si>
    <t>01dd0f18-LATAM-LP</t>
  </si>
  <si>
    <t>03/01/2026 18:36</t>
  </si>
  <si>
    <t>Buen día estimados, la presente es para informar que aún no me han cargado los cursos de la REVA, solo el curso de mercancías peligrosas. Agradezco la gestión oportuna para poder continuar el proceso.</t>
  </si>
  <si>
    <t>c20e6b60-LATAM-LP</t>
  </si>
  <si>
    <t>04/01/2026 09:32</t>
  </si>
  <si>
    <t>Quisiera realizar una consulta para poder planificar correctamente mis vacaciones durante el año. Entiendo que mis vacaciones vencen el 1 de julio de cada año, por lo que durante el primer semestre debo tomar 16 días de vacaciones por vencimiento, los cuales tengo previsto tomar en el mes de junio. Respecto al segundo semestre, mi intención inicial sería tomar el resto de mis vacaciones en el mes de septiembre. Sin embargo, quisiera consultar lo siguiente: 1. Vacaciones adicionales en abril Me gustaría saber si existe la posibilidad de solicitar una semana de vacaciones adicionales en el mes de abril, entendiendo que este tipo de vacaciones están sujetas a disponibilidad y aprobación. 2. Adelanto de vacaciones en el segundo semestre En caso de que las vacaciones adicionales de abril se aprueben y, por ello, se vea reducido mi saldo de vacaciones para septiembre, quisiera consultar si es posible adelantar una semana de vacaciones correspondiente al siguiente período (2027), con el fin de juntar dos semanas en septiembre. 3. Alternativa de fraccionamiento En caso no sea posible el adelanto de vacaciones para septiembre, quisiera saber si la alternativa sería tomar una semana en septiembre y otra semana en noviembre, considerando que estas corresponderían a vacaciones adelantadas del siguiente período. Agradeceré mucho me puedan indicar cómo funciona este procedimiento, si el adelanto de vacaciones es posible y bajo qué condiciones, para poder organizarme de manera adecuada.</t>
  </si>
  <si>
    <t>"¡Gracias por la información! 1. Te comentamos que si realiza un pedido adicional de vacaciones para el mes de abril no va a ser posible que proceda debido a que no cuentas con más bolsa disponible de vacaciones hasta el 01/07/26 (fecha de vencimiento), asimismo, te recordamos que cuentas con vacaciones pre publicadas del 01/06 al 15/06, 2. Te recordamos que desde el 01/07/2026 se te aperturará una nueva meta de vacaciones de 34 días. 3. Con respecto a las vacaciones que pertenecen al segundo semestre del 2026, se evaluará el caso cuando inicie la programación de la pre publicación del 2026-1. Asimismo, te recomendamos que indiques dentro de los comentarios de la pre publicación del 2026-2 si cuentas con alguna restricción puntual. Esperamos que la respuesta te haya sido de gran ayuda."</t>
  </si>
  <si>
    <t>ed5f4d07-LATAM-LP</t>
  </si>
  <si>
    <t>04/01/2026 15:36</t>
  </si>
  <si>
    <t>Buen día, He estado verificando el correo que me enviaron respecto a la vigencia regularias del 2026, pero he detectado un error en las fechas. - Último mes que realizé el curso en tierra A319/A320 y B767 fue en el mes de FEBRERO 2025 - Última fecha de vuelos de verificación de competencia (linecheck) A319/A320 y B767 fue en el mes de AGOSTO del 2025 Se entiende que la fecha máxima de vencimiento en el 2026 sería en 1 año calendario. •Vencimiento de cursos en tierra: FEBRERO 2026 • Vencimiento de verificación de competencia: AGOSTO 2026 Y en el presente correo indican fechas MARZO y SETIEMBRE. Adjunto fotos como constancia, Por favor realizar la verificación correspondiente y la corrección para no tener inconvenientes en la programación de mis actividades regulatorias y habilitaciones en el 2026. Muchas gracias, Saludos,</t>
  </si>
  <si>
    <t>8c04da39-LATAM-LP</t>
  </si>
  <si>
    <t>04/01/2026 15:38</t>
  </si>
  <si>
    <t>"¡Gracias por la información! Te informamos que las fechas de Vigencia de tus Actividades Regulatorias en el sistema y DGAC se encuentran de la siguiente forma: -Curso Tierra A320F : 30-SEP-26 -Verificación Competencia A320F : 31-MAR-26 -Curso Tierra B767 : 30-SEP-26 -Verificación Competencia B767 : 31-MAR-26 Esperamos que la respuesta te haya sido de gran ayuda."</t>
  </si>
  <si>
    <t>2bfdab6e-LATAM-LP</t>
  </si>
  <si>
    <t>04/01/2026 17:50</t>
  </si>
  <si>
    <t>Estimados buenas tardes, por la presente hago de su conocimiento que el día 31/01/2026 vence mi Licencia Chilena por favor para que lo tengan en cuenta y me puedan ayudar con este tramite para tener mi documentación actualizada.</t>
  </si>
  <si>
    <t>341c4c6c-LATAM-LP</t>
  </si>
  <si>
    <t>05/01/2026 11:21</t>
  </si>
  <si>
    <t>Buenos días quería hacer una consulta con respecto a las vacaciones que tenía pendiente cuando estaba en otra área(servicio al pasajero),tengo días pendientes de vacaciones y quisiera pedir su apoyo para que me brinden información de como y cuándo se gestionará ello,muchas gracias.</t>
  </si>
  <si>
    <t>"¡Gracias por la información! Te comentamos que dado que tu ingreso a SAB se dio el 16/12, se te va a aperturar una nueva meta de vacaciones de 30 días, en el cual se deberá gozar hasta antes de tu fecha de vencimiento, Adicional a ello, cuentas con una bolsa acumulada de 20 días de vacaciones, En caso desees gozar vacaciones, te recomendamos realizar un pedido adicional de vacaciones para que puedas gozar de los 20 días restantes de vacaciones durante el primer semestre del 2026 o esperar a la programación de la pre publicación del 2026-2 , debes acceder través del formulario: Pedido, Cesión e Intercambio de Vacaciones SAB LP 2026-01. Puedes acceder al formulario mediante el siguiente link: https://docs.google.com/forms/d/e/1FAIpQLSdmXt-iSndWo5_kb3Bithorzgp7OTZOBAa-lYgrbwGZuQBVcw/viewform" Esperamos que la respuesta te haya sido de gran ayuda."</t>
  </si>
  <si>
    <t>d7896ab3-LATAM-LP</t>
  </si>
  <si>
    <t>06/01/2026 14:34</t>
  </si>
  <si>
    <t>Buen dia: Instructora no llegó a mi chequeo de competencia Airbus. A la espera de su respuesta para la reprogramación. Gracias. Claudia Sing bp34241.</t>
  </si>
  <si>
    <t>"¡Gracias por la información! Te informamos que tenemos mapeado tu caso. Recuerda que, dado que tu mes base es febrero y según lo establecido en la RAP 63, esta actividad puede ser programada dentro de un período de elegibilidad que comprende 30 días antes, durante y después de tu mes base. Por lo tanto, tu verificación de competencia podría ser agendada tanto en enero como en marzo,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</si>
  <si>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6e71062d-LATAM-LP</t>
  </si>
  <si>
    <t>05/01/2026 11:48</t>
  </si>
  <si>
    <t>Estoy con un problema gástrico. Estoy tomando antibióticos y tengo apto el lunes 12.</t>
  </si>
  <si>
    <t>51aeb3d3-LATAM-LP</t>
  </si>
  <si>
    <t>05/01/2026 18:40</t>
  </si>
  <si>
    <t>RESPUESTA A SOLICITUD fd99bdaa-LATAM-LP Los examenes ya fueron realizados ek dia 1ero , desde ese dia pude entrar con intermitencia a la plataforma, pero pude culminarlos en sus totalidad. Saludos.</t>
  </si>
  <si>
    <t>cd9d861f-LATAM-LP</t>
  </si>
  <si>
    <t>05/01/2026 17:52</t>
  </si>
  <si>
    <t>Mi consulta va en referencia a las demoradas que tuve en noviembre 2025, siendo mi primera demora del vuelo 2311 con ETD inicial a las 17:05 y finalmente despegamos a las 23:42, antes esa demora se cambió 2 veces el ETD, la segunda en el vuelo con fecha 30/11/2025, vuelo 2478 LAX, mi etd inicial era 00:50 y despegamos 04:27, válido que se me está considerando solo 04:45 de demora cuando en realidad fue mucho más tiempo, su apoyo Pf para poder hacer el ajuste correspondiente en la tarjeta de alimentos</t>
  </si>
  <si>
    <t>ED01</t>
  </si>
  <si>
    <t>244ebd86-LATAM-LP</t>
  </si>
  <si>
    <t>05/01/2026 18:46</t>
  </si>
  <si>
    <t>Mi consulta es en referencia a 2 vuelos demorados en el mes de noviembre 2025, valido que se me esta considerando en la edenred una demora total de 4:45 horas sin embargo mis demoras suman mucho mas tiempo, la primera fue con fecha 24/11 del vuelo 2467 con etd inicial 17:05 pero despego 23:42, la segunda del vuelo 2478 con fecha 30/11 mi etd de salida inicial era 00:50 y despegamos 04:27. Me gustaria saber si tal vez se esta considerando esta demora para el mes de diciembre por tema de fechas o no estaba mapedo. Quedo atenta a sus comentarios para el ajuste respectivo.</t>
  </si>
  <si>
    <t>¡Gracias por la información! Te informamos que hemos verificado en nuestro sistema el pago realizado por la demora del vuelo 2478 y confirmamos que el monto pagado es el correcto. Con respecto al vuelo 2467, nos pondremos en contacto con usted para brindarle una respuesta definitiva en cuanto dispongamos de la información exacta. Esperamos que la respuesta te haya sido de gran ayuda!.</t>
  </si>
  <si>
    <t>5c7e7b84-LATAM-LP</t>
  </si>
  <si>
    <t>05/01/2026 18:55</t>
  </si>
  <si>
    <t>NA08</t>
  </si>
  <si>
    <t>061cf98e-LATAM-LP</t>
  </si>
  <si>
    <t>06/01/2026 17:40</t>
  </si>
  <si>
    <t>Instructor no pudo abordar vuelo 2360 para Linecheck del 06/01</t>
  </si>
  <si>
    <t>c19c6be7-LATAM-LP</t>
  </si>
  <si>
    <t>07/01/2026 12:09</t>
  </si>
  <si>
    <t>LK09</t>
  </si>
  <si>
    <t>ad852f92-LATAM-LP</t>
  </si>
  <si>
    <t>06/01/2026 07:43</t>
  </si>
  <si>
    <t>Examen b787 estaba dando el examen y no se que pasó que se me cerró todo y no pude ver cuánto me saqué si es que aprobé me podrían mandar mi nota porfavor</t>
  </si>
  <si>
    <t>"¡Gracias por la información! Te comentamos que cuentas con nota 100 en tu examen. Esperamos que la respuesta te haya sido de gran ayuda."</t>
  </si>
  <si>
    <t>bb8db1b6-LATAM-LP</t>
  </si>
  <si>
    <t>06/01/2026 12:04</t>
  </si>
  <si>
    <t>Por rol tengo asignado RTI el dia de mi apto medico y en el correo salia que lo informemos</t>
  </si>
  <si>
    <t>"¡Gracias por la información! Te informamos que tienes programado según tu rol el día 19/01 tu apto médico. Asimismo, te recordamos que el código RTI está asignado por la fecha de tu apto médico Esperamos que la respuesta te haya sido de gran ayuda."</t>
  </si>
  <si>
    <t>9a964e42-LATAM-LP</t>
  </si>
  <si>
    <t>07/01/2026 17:18</t>
  </si>
  <si>
    <t>ec6e41cc-LATAM-LP</t>
  </si>
  <si>
    <t>06/01/2026 16:02</t>
  </si>
  <si>
    <t>Buenas Tardes Soy Angelita Fort , TCE . Podrían orientarme la proximq fecha de Renovación de mi Examen Médico Ocupacional (EMO)?.</t>
  </si>
  <si>
    <t>"¡Gracias por la información! Te comentamos que hemos verificado en el sistema que tu revalidación de seguridad vence en julio de 2026. Por este motivo, es probable que tu EMO se agende en una fecha cercana a dicho vencimiento para que ambos procesos queden homologados. Asimismo, te recordamos que, dado que tu mes base es julio y según lo establecido en la RAP 63, esta actividad puede ser programada dentro de un período de elegibilidad que comprende 30 días antes, durante y después de tu mes base. Por lo tanto, tu curso de revalidación de seguridad podrá ser agendada tanto en junio como en agosto, junto con la prórroga correspondiente. Esperamos que la respuesta te haya sido de gran ayuda."</t>
  </si>
  <si>
    <t>2d3abc1b-LATAM-LP</t>
  </si>
  <si>
    <t>07/01/2026 15:31</t>
  </si>
  <si>
    <t>Buen día, el 6 tenía programado mi linecheck de Airbus sin embargo, tuve LEP. Podrían por favor indicarme si pueden programarme mi linecheck considerando que este mes tengo prórroga de Airbus porque venció en diciembre y este mes tengo vacaciones hasta el 23 de enero y el 26 tengo reva de seguridad. Si no tengo linecheck igual podré hacer la reva de seguridad ? Gracias</t>
  </si>
  <si>
    <t>"¡Gracias por la información! Te comentamos que tenemos mapeado tu caso y se realizará la programación de tu nueva fecha de tu chequeo, el cual se enviará a través de tu correo. Esperamos que la repuesta haya sido de gran ayuda."</t>
  </si>
  <si>
    <t>359bc537-LATAM-LP</t>
  </si>
  <si>
    <t>08/01/2026 20:09</t>
  </si>
  <si>
    <t>Buenas tardes estimados, les escribo para comentarles que el día 6 de enero se me retiró el linecheck flota 320 debido a vuelos tardíos en la noche anterior. Me informaron por correo que avisarían al área correspondiente pero igual les hago llegar la información para la programación correspondiente puesto que mi habilitación se vence el 28 de febrero. Gracias de antemano.</t>
  </si>
  <si>
    <t>c1caf217-LATAM-LP</t>
  </si>
  <si>
    <t>06/01/2026 19:09</t>
  </si>
  <si>
    <t>84d144b7-LATAM-LP</t>
  </si>
  <si>
    <t>06/01/2026 19:22</t>
  </si>
  <si>
    <t>Estimados/as, Por medio del presente, deseo manifestar mi interés en continuar desempeñándome en jornada a tiempo completo, manteniendo mi disponibilidad y compromiso laboral con la empresa. No obstante, al encontrarme actualmente en estado de gestación y presentar una condición médica que implica un embarazo con mayor riesgo, según informe de mi médico tratante (el cual adjunto), solicito se pueda evaluar la posibilidad de asignación a una modalidad remota, de existir algún área que requiera este tipo de apoyo. La presente solicitud se sustenta en la recomendación médica de evitar traslados y factores que puedan interferir con el adecuado control del embarazo, siendo fundamental el cumplimiento estricto del tratamiento y la reducción de riesgos para un pronóstico favorable. Reitero mi total disposición para desempeñarme a tiempo completo, adecuándome a las funciones que el área correspondiente requiera. Agradezco de antemano su comprensión y quedo atenta a cualquier información adicional que sea necesaria.</t>
  </si>
  <si>
    <t>NA07</t>
  </si>
  <si>
    <t>37f3f163-LATAM-LP</t>
  </si>
  <si>
    <t>06/01/2026 19:38</t>
  </si>
  <si>
    <t>Hola. Estoy de maternidad ya cerca a mi fecha de parto y quería saber cuántos días de vacaciones tengo para poder juntarlos con mis días de licencia y dias de lactancia. Deseo que porfavor me junten todo y me hagan saber cuantos días serían en total. Muchas gracias</t>
  </si>
  <si>
    <t>"¡Gracias por la información! Te comentamos que cuentas con 23 días de vacaciones pendientes por gozar hasta antes del 1/11/2026. Asimismo, te comentamos que tu línea de retorno se armará considerando los requerimientos que menciona. Esperamos que la respuesta te haya sido de gran ayuda."</t>
  </si>
  <si>
    <t>bc7cdb50-LATAM-LP</t>
  </si>
  <si>
    <t>06/01/2026 22:10</t>
  </si>
  <si>
    <t>Soy Ana Cristina Miro Quesada y queria consultar lo siguiente: Tengo 3 semanas de vacaciones pre-publicadas para Junio y las voy a tomar y quiero programar la semana que me queda en Abril , por ejemplo del 20 al 27 , a traves de que formulario lo debo hacer?</t>
  </si>
  <si>
    <t>"¡Gracias por la información! Te informamos que, para solicitar vacaciones adicionales debes hacerlo a través del formulario ""Pedido, Cesión e Intercambio de Vacaciones LP 2026-01"". Puedes acceder al formulario mediante el siguiente link: https://docs.google.com/forms/d/e/1FAIpQLSdmXt-iSndWo5_kb3Bithorzgp7OTZOBAa-lYgrbwGZuQBVcw/viewform Asimismo, te recordamos que la confirmación de tus vacaciones serán notificadas con 30 días de anticipación del inicio de las mismas. Esperamos que la respuesta te haya sido de gran ayuda."</t>
  </si>
  <si>
    <t>410b83b8-LATAM-LP</t>
  </si>
  <si>
    <t>07/01/2026 08:07</t>
  </si>
  <si>
    <t>Quisiera saber porque la fecha de vencimiento de mis vacaciones es en mayo de este año, si por ley tengo 30 dias de vacaciones que puedo tomar durante todo el año calendario y no tengo vacaciones pendientes del año pasado, por favor me pueden despejar esta duda, gracias.</t>
  </si>
  <si>
    <t>"¡Gracias por la información! Te recordamos que la bolsa de tus vacaciones se renuevan el 01/05 de cada año. Asimismo, te informamos que durante el periodo del 01/05/25 al 01/05/26 solamente ha gozado de 15 días, por lo que cuenta con un saldo de 15 días de vacaciones pendientes por gozar antes del 01/05/26. Esperamos que la respuesta te haya sido de gran ayuda."</t>
  </si>
  <si>
    <t>f9b6f8b5-LATAM-LP</t>
  </si>
  <si>
    <t>08/01/2026 08:53</t>
  </si>
  <si>
    <t>Buenos dias, soy Tc Gary Garcia Frkovich con bp 3833521 y Acepto el vuelo de chequeo del dia 21 en la flota 787 y quisiera por favor me quiten el vuelo Mia del 10 al 12.</t>
  </si>
  <si>
    <t>730290aa-LATAM-LP</t>
  </si>
  <si>
    <t>07/01/2026 13:33</t>
  </si>
  <si>
    <t>Quisiera saber qué tramite debo hacer si deseo llevar el apellido de mi esposo en mi dni y ser Melissa Saenz Taipe de Gatjens, entiendo que debo actualizar mi pasaporte también, es necesario actualizar también las licencias?</t>
  </si>
  <si>
    <t>"¡Gracias por la información! Te recordamos que las actualizaciones de datos deben ser gestionado a través del siguiente link: https://forms.gle/jRYDnAQzBjb5ama57 . Una vez registradas y confirmadas por correo, se procederá con la actualización de los datos en las licencias correspondientes. Esperamos que la respuesta te haya sido de gran ayuda."</t>
  </si>
  <si>
    <t>4c21da86-LATAM-LP</t>
  </si>
  <si>
    <t>90f1f9ab-LATAM-LP</t>
  </si>
  <si>
    <t>08/01/2026 08:51</t>
  </si>
  <si>
    <t>Me mandaron un correo, sobre asignarme un vuelo en 787 EL DIA 21/01/2026. Respondi aceptando este cambio pero me salia que había un correo automático con varios Links. Quiero comentarte que acepto este cambio para tener mi chequeo en 787 el dia 21.</t>
  </si>
  <si>
    <t>10c11d0c-LATAM-LP</t>
  </si>
  <si>
    <t>07/01/2026 20:32</t>
  </si>
  <si>
    <t>5f6752a1-LATAM-LP</t>
  </si>
  <si>
    <t>09/01/2026 11:30</t>
  </si>
  <si>
    <t>Según el correo enviado VIGENCIA DE ACTIVIDADES REGULATORIAS 2026 indica que mi chequeo de competencia A320F vence 31/01/26 sin embargo ya me chequearon el 10/12/25 por el instructor Jefferson Mendez. Adjunto correo de la programación enviado x uds.</t>
  </si>
  <si>
    <t>"¡Gracias por la información! Te informamos que tenemos actualizado en nuestro sistema tu fecha de vencimiento actualizada de tu chequeo de competencia según las fechas que nos indica. Esperamos que la respuesta te haya sido de gran ayuda."</t>
  </si>
  <si>
    <t>82a37cea-LATAM-LP</t>
  </si>
  <si>
    <t>09/01/2026 16:59</t>
  </si>
  <si>
    <t>Buenas tardes, me gustaría saber si la vigencia de mi linecheck en Boeing767 seguirá vigente ya que mi ultimo chequeo fue el 08/01/2025 y entiendo que tiene vigencia de 12 meses. Sin embargo en el email enviado tiene caducidad para febrero 2026 y no tengo conocimiento de alguna prorroga. De antemano muchas gracias.</t>
  </si>
  <si>
    <t>3fe60ed8-LATAM-LP</t>
  </si>
  <si>
    <t>11/01/2026 01:46</t>
  </si>
  <si>
    <t>Buenas noches, quería comentar que yo tenía programado mi LCK de Airbus para el día 26/12/2025 sin embargo no pude asistir por un problema médico, una infección estomacal muy fuerte por lo que perdí mi chequeo, se que me venzo el 31/01/2026 por lo que quisiera informarles por este medio para que puedan ayudarme con las acciones que correspondan, no se muy bien cuáles sería si tal vez una extensión de mi licencia para que mi chequeo sea programado en febrero o que pasaría en este caso. Les agradezco de antemano la ayuda. Saludos.</t>
  </si>
  <si>
    <t>0da9932b-LATAM-LP</t>
  </si>
  <si>
    <t>08/01/2026 10:44</t>
  </si>
  <si>
    <t>506479a0-LATAM-LP</t>
  </si>
  <si>
    <t>08/01/2026 15:11</t>
  </si>
  <si>
    <t>Estimados buenas tardes, Queria consultar acerca de mi Apto Medico, el dia 18 de Diciembre me enviaron un correo indicandome que tenia que mandar mi Informe a la Clínica del Trabajador, mande dichos documentos el dia 23 de Diciembre, quisiera saber si la Clinica ya se comunico con ustedes. Muchas gracias, Saludos, Claudia Lucia Gonzales</t>
  </si>
  <si>
    <t>"¡Gracias por la información! Te comentamos que tenemos mapeado tu caso y estamos a la espera de la respuesta de clínica, en cuanto nos brinden una respuesta nos estaremos comunicando contigo mediante correo, Esperamos que la respuesta te haya sido de gran ayuda."</t>
  </si>
  <si>
    <t>3d9effe0-LATAM-LP</t>
  </si>
  <si>
    <t>08/01/2026 19:03</t>
  </si>
  <si>
    <t>PRÓXIMO VENCIMIENTO DE LICENCIA CHILENA</t>
  </si>
  <si>
    <t>""¡Gracias por la información! Te comentamos que la gestión de tu licencia chilena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</si>
  <si>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a407538e-LATAM-LP</t>
  </si>
  <si>
    <t>09/01/2026 12:46</t>
  </si>
  <si>
    <t>TR07</t>
  </si>
  <si>
    <t>b99aeb3a-LATAM-LP</t>
  </si>
  <si>
    <t>12/01/2026 01:26</t>
  </si>
  <si>
    <t>LS02</t>
  </si>
  <si>
    <t>554741ed-LATAM-LP</t>
  </si>
  <si>
    <t>09/01/2026 11:43</t>
  </si>
  <si>
    <t>RV06</t>
  </si>
  <si>
    <t>b52bc212-LATAM-LP</t>
  </si>
  <si>
    <t>09/01/2026 11:48</t>
  </si>
  <si>
    <t>Según correo programación de capacitación 2026 enviado 06 Enero cargaron todos los cursos de e-learning nuevamente, estos fueron realizados en el su momento respectivo (Noviembre 2025). Adjunto imagen. Uds indicaron a través de su formulario que sólo se realizaría los 2 días pendientes para el día 13 y 14 del presente.</t>
  </si>
  <si>
    <t>ec632406-LATAM-LP</t>
  </si>
  <si>
    <t>12/01/2026 09:34</t>
  </si>
  <si>
    <t>Line check 767. Buen día, anoche ya tarde recibo notificación de que ya no voy a Miami el día 13 y que me dejan de rd1, esta mañana me levanto con la activación de CUN, este cambio en mi rol hace que puerda mi line check check 767 y además mi experiencia reciente, pues mi último vuelo fue 19 octubre (JFK LIM) el día 19 enero tengo rd1, espero me puedan agregar a un chequeo o vuelo en 767 para no perder la habilitación, muchas gracias.</t>
  </si>
  <si>
    <t>"¡Gracias por la información! Te comentamos que tienes asignado el día 17/01 vuelo en la flota B767. Asimismo, te informamos que para el mes de febrero se estará programando tu verificación de compentencia en dicha flota. Esperamos que la respuesta te haya sido de gran ayuda."</t>
  </si>
  <si>
    <t>859ae58f-LATAM-LP</t>
  </si>
  <si>
    <t>09/01/2026 16:53</t>
  </si>
  <si>
    <t>Estimados buenas tardes, escribo ya que al recibir mi fecha de vencimientos de mis cursos y Lck, me he percatado que me aparece que es en Marzo del 2026 sin embargo mi curso en tierra fue en febrero del 2025, en el mes de enero no me han colocado ningún día de REVA, ya para el mes de febrero o Marzo tendría 13 o 14 meses desde mi último entrenamiento en tierra. Agradecería puedan me ayudar con ese tema. Estaré atento a su respuesta. Saludos</t>
  </si>
  <si>
    <t>"¡Gracias por la información! Te informamos que la fecha de vencimiento de tu curso en tierra es el 31/03/2026 y tu verificación de competencia es en 28/02/2026. Asimismo, te recordamos que dado que según lo establecido en la RAP 63, estas actividades puede ser programada dentro de un período de elegibilidad que comprende 30 días antes, durante y después de tu mes base. Por lo tanto, tu verificación de competencia podrá ser agendada tanto en enero como en marzo, junto con la prórroga correspondiente, mientras que tu curso en tierra podrá ser agendada tanto en febrero como en abril.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</si>
  <si>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06c4b939-LATAM-LP</t>
  </si>
  <si>
    <t>12/01/2026 11:48</t>
  </si>
  <si>
    <t>Buenos días, hace unos días me quitaron el vuelo a miami donde tenía mi chequeo de competencia. Veo que en el rol de febrero no se me ha asignado ningún vuelo 76, ese mes también realizaré funciones de HR, sin embargo quisiera que me tengan en cuenta para la programación del vuelo. Mi chequel vence 28.02.2026. Quedo atenta. Bp 3764960</t>
  </si>
  <si>
    <t>69052821-LATAM-LP</t>
  </si>
  <si>
    <t>09/01/2026 17:21</t>
  </si>
  <si>
    <t>Buenas tardes, les escribo para consultarles sobre la renovación de mi licencia chilena. Vence el 31 de este mes y no tengo programado reva. Cuál es el procedimiento en estos casos? Quedo atento a su respuesta, saludos. Nimer Garcia BP 3832515</t>
  </si>
  <si>
    <t>"¡Gracias por la información! Te comentamos que la gestión de tu licencia chilena se realizará antes de la fecha de vencimiento. Asimismo, te recordamos que la fecha de vencimiento de tu reva es el 31/03/2026 y según lo establecido en la RAP 63, esta actividad puede ser programada dentro de un período de elegibilidad que comprende 30 días antes, durante y después de tu mes base. Por lo tanto, tu curso de revalidación de seguridad podrá ser agendada tanto en febrero como en abril,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</si>
  <si>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db18f175-LATAM-LP</t>
  </si>
  <si>
    <t>09/01/2026 20:10</t>
  </si>
  <si>
    <t>Estimados buenas noches me ayudarían donde o aquien puedo consultar sobre mi apto médico ya realizado ( apto) para poder recogerlo muchas gracias.</t>
  </si>
  <si>
    <t>2d906aec-LATAM-LP</t>
  </si>
  <si>
    <t>12/01/2026 19:26</t>
  </si>
  <si>
    <t>Verificación de competencia sin efectuar</t>
  </si>
  <si>
    <t>03054c55-LATAM-LP</t>
  </si>
  <si>
    <t>11/01/2026 11:59</t>
  </si>
  <si>
    <t>1fd370a5-LATAM-LP</t>
  </si>
  <si>
    <t>11/01/2026 11:47</t>
  </si>
  <si>
    <t>En diciembre regalé unas vacaciones, las cuales deberían de regresar a mi bolsa. Cuando me mandaron las vacaciones quw me quedaban no coincidían y quiero saber el estado real de las vacaciones que tengo antes de mi fecha de vencimiento y post fecha de vencimiento.</t>
  </si>
  <si>
    <t>"¡Gracias por la información! Te informamos que, de tus 12 días de vacaciones disponibles, se han pre-publicado 7 días. Dado que contabas con un saldo restante de 5 días, se ha confirmado tu periodo de descanso del 15 al 26 de febrero para cumplir con el 100% de tu meta programada. Ten en cuenta que, a partir del 15 de marzo, se habilitará una nueva meta de vacaciones correspondiente a 42 días. Esperamos que la respuesta te haya sido de gran ayuda."</t>
  </si>
  <si>
    <t>b99e9d07-LATAM-LP</t>
  </si>
  <si>
    <t>11/01/2026 17:37</t>
  </si>
  <si>
    <t>Buenas tardes, solicito ayuda con confirmacion de mis vacaciones pre publicadas. Tengo 15 dias por vencimiento hasta el 01/08/2026, solicite en febrero la ultima semana y del 1 al 7 marzo, sin embargo solo me llego la confirmacion de 7 dias. Posteriormente solicite adelanto de vacaciones, mismo mes febrero pero aun no tengo la confirmación. Quisiera saber si esos 8 dias por vencer los puedo solicitar en este periodo de meses como adelanto nuevamente o como procede con esos dias restantes. Muchas gracias</t>
  </si>
  <si>
    <t>"¡Gracias por la información! Te confirmamos que tus vacaciones se encuentran prepublicadas para el periodo del 01/03 al 07/03. Asimismo, se ha aprobado tu solicitud adicional de vacaciones para el bloque comprendido entre el 21/02 y el 28/02. Esperamos que la respuesta te haya sido de gran ayuda."</t>
  </si>
  <si>
    <t>03a23695-LATAM-LP</t>
  </si>
  <si>
    <t>11/01/2026 22:24</t>
  </si>
  <si>
    <t>En noviembre pasé apto médico y EMO para reincorporarme después de un DM prolongado, ahora que del 19 al 22ENE tengo reva, debo pasar nuevamente exámen médico?</t>
  </si>
  <si>
    <t>"¡Gracias por la información! De acuerdo con el cronograma enviado para tu revalidación, hemos observado que no tienes programado tu apto médico en ninguna de las fechas indicadas. Te recomendamos revisar la programación de tus actividades a la brevedad para asegurar el cumplimiento de estas. Esperamos que la respuesta te haya sido de gran ayuda."</t>
  </si>
  <si>
    <t>e141f82b-LATAM-LP</t>
  </si>
  <si>
    <t>12/01/2026 00:55</t>
  </si>
  <si>
    <t>Hice una solicitud adicional de vacaciones ya que tenía 9 dias por vencerme, solicité vacaciones del 20 al 28 de febrero, sin embargo veo por PBS que se me asignaron vacaciones del 13 al 28 FEB, será que puedo cambiar o ceder la primera semana, ya que deseo salir de vacaciones 16 dias.</t>
  </si>
  <si>
    <t>"¡Gracias por la información! Te informamos que cuenta con un saldo pendiente de 16 días de vacaciones que deben ser utilizados antes de su fecha de vencimiento el 01/03. Por este motivo, se ha procedido a programar dicho periodo en los bloques correspondientes para asegurar el cumplimiento de su meta de vacaciones. Esperamos que la respuesta te haya sido de gran ayuda."</t>
  </si>
  <si>
    <t>50154aef-LATAM-LP</t>
  </si>
  <si>
    <t>13/01/2026 07:11</t>
  </si>
  <si>
    <t>Tenia linecheck de 767 el dia de hoy en miami y cancelaron mi vuelo por falta de aeronave. Quisiera que por favor lo tengan en cuenta para mi rol de febrero o si es posible antes. Ya que en febreronse estaria usando mi prórroga de 1 mes más. Muchas gracias.</t>
  </si>
  <si>
    <t>"¡Gracias por la información! Te informamos que se estará programando tu verificación de competencia para el mes de febrero. Esperamos que la respuesta te haya sido de gran ayuda."</t>
  </si>
  <si>
    <t>ca24fddc-LATAM-LP</t>
  </si>
  <si>
    <t>13/01/2026 05:01</t>
  </si>
  <si>
    <t>Buen día,tenía mi linecheck programado 5 de enero del avión B767 el cual perdi por apoyar en una contingencia operacional y plazo máximo para chequearme es hasta el próximo mes FEBRERO si podría tener su apoyo para que el.proximo mes tenga programado mi chequeo y no pierda la habilitación por favor,se lo agradecería mucho</t>
  </si>
  <si>
    <t>"¡Gracias por la información! Te comentamos que tenemos mapeado tu caso. Asimismo, te recordamos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</si>
  <si>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f92d099d-LATAM-LP</t>
  </si>
  <si>
    <t>12/01/2026 10:06</t>
  </si>
  <si>
    <t>Vencimiento próximo Apto Medico</t>
  </si>
  <si>
    <t>47ba6de0-LATAM-LP</t>
  </si>
  <si>
    <t>12/01/2026 10:07</t>
  </si>
  <si>
    <t>Vencimiento apto medico</t>
  </si>
  <si>
    <t>6908a354-LATAM-LP</t>
  </si>
  <si>
    <t>12/01/2026 10:08</t>
  </si>
  <si>
    <t>Vencimiento próximo licencia chilena</t>
  </si>
  <si>
    <t>"¡Gracias por la información! Te comentamos que la gestión de tu licencia chilena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</si>
  <si>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a7580653-LATAM-LP</t>
  </si>
  <si>
    <t>13/01/2026 11:01</t>
  </si>
  <si>
    <t>Buenos días el 28/02/26 vence mi verificación de competencia en la flota airbus y para el mes de febrero no tengo reservado la asignación para mi verificacion.cumplo con informar el próximo vencimiento de mi competencia</t>
  </si>
  <si>
    <t>39ea2b34-LATAM-LP</t>
  </si>
  <si>
    <t>12/01/2026 16:01</t>
  </si>
  <si>
    <t>Buenas tardes: El 28 de febrero vence mi curso en tierra y pude ver en el PBS que no me están considerando en este mes, les pido lo revisen porque ahora estoy sumamente preocupada ya que en este momento estoy en reentrenamiento por vencerme en mi chequeo de competencia, les pido puedan xonsiderar ponérmelo en febrero, muchas gracias</t>
  </si>
  <si>
    <t>560d537b-LATAM-LP</t>
  </si>
  <si>
    <t>13/01/2026 10:42</t>
  </si>
  <si>
    <t>El día de ayer 12 de enero tenia programado mi verificación de competencia en A320 la cual no se rindió porque no llegó a subir a vuelo la instructora correspondiente. Quisiera saber para que fecha estaría programado ya que estoy próxima a vencerme el siguiente mes. Quedo atenta.</t>
  </si>
  <si>
    <t>b08164ea-LATAM-LP</t>
  </si>
  <si>
    <t>12/01/2026 23:10</t>
  </si>
  <si>
    <t>Estimados, Espero que tengan una excelente semana. Me pongo en contacto con ustedes para informarles que mi licencia chilena vencerá el próximo 31 de enero de 2026. Dado que nos encontramos a menos de 20 días de su caducidad, solicito su apoyo para gestionar la renovación con anticipación. Mi objetivo es contar con el documento vigente lo antes posible para proceder con su impresión y así dar cumplimiento a los requisitos documentales de los tripulantes de cabina. Agradezco de antemano su gestión. Saludos cordiales,</t>
  </si>
  <si>
    <t>131cc082-LATAM-LP</t>
  </si>
  <si>
    <t>14/01/2026 20:20</t>
  </si>
  <si>
    <t>Estimados buenas noches, quisiera solicitar la posibilidad de ser programada en un vuelo en Boeing 767 durante el mes de febrero, ya que, debido a que no he volado en esta flota en los últimos meses, estoy próxima a vencerme. Quedo atenta a sus comentarios y con total disposición. Muchas gracias por su apoyo.</t>
  </si>
  <si>
    <t>8a3a224a-LATAM-LP</t>
  </si>
  <si>
    <t>14/01/2026 08:47</t>
  </si>
  <si>
    <t>Buenos días, en un formulario anterior consulté por mi LCK ya que lo había perdido en el mes de diciembre, me respondieron que lo tenían mareado y que podía ser programado hasta febrero en mi mes de extensión. Quería consultar nuevamente y pedirles por favor consideren que en febrero yo tengo vacaciones del 01/02 al 23/02 y según el PBS el 24, 25, 26 y 27 tengo programada REVA, por lo que entendería que esa REVA se puede modificar para tener esos días disponibles para mi LCK ya que mi REVA todavía la podría tener en Marzo. Les agradezco la atención y espero entiendan mi preocupación por mantener mis evaluaciones vigentes.</t>
  </si>
  <si>
    <t>089196a6-LATAM-LP</t>
  </si>
  <si>
    <t>16/01/2026 10:17</t>
  </si>
  <si>
    <t>Estoy intentando realizar el proceso de reembolso por el tramite de visa crew sin embargo en SAP CONCUR no me muestra la opcion de "pasaporte/ visa" tal como figura en el manual, desearia saber como puedod realizar el proceso en todo caso. Saludos</t>
  </si>
  <si>
    <t>9f8fa149-LATAM-LP</t>
  </si>
  <si>
    <t>13/01/2026 10:24</t>
  </si>
  <si>
    <t>¡Gracias por la información! Te comentamos que no es necesario que realices algún trámite adicional. La gestión de tu licencia chilena se está gestionando con la DGAC Chile y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</si>
  <si>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32061ee8-LATAM-LP</t>
  </si>
  <si>
    <t>Buenos días, mi apto médico vence el 31 de marzo de 2026 y en el pbs no figura para renovarlo en febrero. Mi apto vence cada año y el año pasado si me lo programaron para febrero. Yo lo paso en la clínica Los Andes porque ahí tienen toda mi historia. Como puedo hacer para programarlo? Y no estar en apuros el mes de marzo, porque es muy ajustado y eso me preocupa. Muchas gracias</t>
  </si>
  <si>
    <t>"¡Gracias por la información! Te informamos que la programación de tu apto médico se realizará antes de la fecha de vencimiento. Asimismo,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</si>
  <si>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1b37392b-LATAM-LP</t>
  </si>
  <si>
    <t>16/01/2026 10:57</t>
  </si>
  <si>
    <t>4a0e9237-LATAM-LP</t>
  </si>
  <si>
    <t>16/01/2026 11:07</t>
  </si>
  <si>
    <t>Buenos días, comentarle que el día 30 de enero 2026. Termina mi descanso médico de maternidad y quisiera saber para que día estaría programado mi reva, que tramites y documentos tengo que realizar y con que áreas me debo comunicar. Por favor quedo atenta a su comunicación</t>
  </si>
  <si>
    <t>5765ddaa-LATAM-LP</t>
  </si>
  <si>
    <t>13/01/2026 12:19</t>
  </si>
  <si>
    <t>Mi consulta es en referencia al vuelo demorado 2213 del 25/11/2025 no se contaba con el avion ya que se quedo en arequipa por manto; se tuvo cambio de tripulacion, la mitad se fue porque tenia libre legal y se sumaron 3 de reserva, se tenia un etd inicial 17:05 luego lo cambiaron a las 21:00 finalmente nuestro avion tampoco llego porque en cusco hubo mal tiempo, se despego a las 23:42. Esta demora no esta considerando en la tarjeta de alimentos.</t>
  </si>
  <si>
    <t>"¡Gracias por la información! Te comentamos que hemos revisado su caso y el vuelo que nos indica no tiene ninguna demora. Te adjuntamos la imagen del reporte de dicho vuelo. Esperamos que la respuesta te haya sido de gran ayuda."</t>
  </si>
  <si>
    <t>7e23a1c7-LATAM-LP</t>
  </si>
  <si>
    <t>13/01/2026 14:49</t>
  </si>
  <si>
    <t>Estimados, buenos días, mis vacaciones empezaban el día de hoy, pero por mantenimiento del avión en NY he llegado hoy, cambiando mi secuencia a 6×4 y empezando mis vacaciones el día 18, desearía saber cuando me darían los 5 días de vacaciones que me faltan por vencimiento y si yo puedo elegir dichos días. Además pedirles por favor activar el artículo 75 por postergacion de vacaciones, ya que debido a lo antes mencionado impacto el inicio de mis vacaciones. Adjunto mi rol modificado. Saludos,</t>
  </si>
  <si>
    <t>"¡Gracias por la información! Te informamos que tus 5 días de vacaciones han sido reasignados para el periodo del 01/02 al 05/02, gestión que ya fue solicitada al equipo de roles. Con respecto al pago por postergación de vacaciones, este se verá reflejado en tu boleta de febrero. Esperamos que la respuesta te haya sido de gran ayuda."</t>
  </si>
  <si>
    <t>a0057273-LATAM-LP</t>
  </si>
  <si>
    <t>13/01/2026 20:37</t>
  </si>
  <si>
    <t>Buen dia ni nombre es pamela chavez con bp 1169105 pase mi apto medico inicios de diciembre 2025 y aun no me mandan el apto actualizado! Estoy a la espera por favor ! Mi apyo ya se vence en febrero! Quedo atenta para ir a rexoger. Gracias</t>
  </si>
  <si>
    <t>8ef57a39-LATAM-LP</t>
  </si>
  <si>
    <t>13/01/2026 18:39</t>
  </si>
  <si>
    <t>Buen día; Solo para consultar cuando se estaría agendando la cita para renovación de apto médico ya que este tiene vencimiento 31/03/2026. Gracias</t>
  </si>
  <si>
    <t>"¡Gracias por la información! Te comentamos que la programación de tu apto médico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</si>
  <si>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948297c0-LATAM-LP</t>
  </si>
  <si>
    <t>13/01/2026 18:56</t>
  </si>
  <si>
    <t>"¡Gracias por escribirnos! Revisamos en el sistema y tu licencia chilena ya está gestionada, por lo que estamos a la espera para su respectivo envío antes de su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</si>
  <si>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8c4bbc98-LATAM-LP</t>
  </si>
  <si>
    <t>16/01/2026 11:11</t>
  </si>
  <si>
    <t>286e5e60-LATAM-LP</t>
  </si>
  <si>
    <t>14/01/2026 09:28</t>
  </si>
  <si>
    <t>Buen día, tengo programado para mañana apto médico, pero según las indicaciones no lo puedo tomar porque estoy con mi periodo menstrual. De acuerdo con lo enviado, el apto puede realizarse 5 días después del término del periodo, lo que sería a partir del sábado 24/01. Quedo atenta a la nueva fecha que pudieran asignarme. Muchas gracias</t>
  </si>
  <si>
    <t>"¡Gracias por la información! Te comentamos que tenemos mapeado tu caso, te enviaremos por correo la programación de tu nueva fecha de apto médico. Esperamos que la respuesta te haya sido de gran ayuda."</t>
  </si>
  <si>
    <t>dfcfe320-LATAM-LP</t>
  </si>
  <si>
    <t>14/01/2026 09:56</t>
  </si>
  <si>
    <t>Mi licencia chilena estará venciendo el 31de este mes, mi linecheck lo realice hace unos meses atras.</t>
  </si>
  <si>
    <t>76da937d-LATAM-LP</t>
  </si>
  <si>
    <t>14/01/2026 11:38</t>
  </si>
  <si>
    <t>Tengo descanso medico estos días y mañana 15 de enero tengo apto medico y EMO , sin embargo no cumplo con las condiciones para hacerlo , ya que me encuentro con medicamentos y con síntomas de proceso respiratorio.</t>
  </si>
  <si>
    <t>58d5ccf4-LATAM-LP</t>
  </si>
  <si>
    <t>14/01/2026 12:42</t>
  </si>
  <si>
    <t>PAGO POR INTERRUPCION DE VACACIONES</t>
  </si>
  <si>
    <t>"¡Gracias por la información! Te informamos que respecto al pago por postergación de vacaciones, este se verá reflejado en tu boleta de febrero. Esperamos que la respuesta te haya sido de gran ayuda."</t>
  </si>
  <si>
    <t>856fec6a-LATAM-LP</t>
  </si>
  <si>
    <t>16/01/2026 11:35</t>
  </si>
  <si>
    <t>Hola, estoy vencida en 767, mi último vuelo fue en julio 2025. Ahora en enero tendré reentrenamiento; sin embargo no sé si con eso ya quedaría ok para operar 767 o tendría que hacer también recalificación, muchas gracias.</t>
  </si>
  <si>
    <t>"¡Gracias por la información! Te pedimos que consideres la siguiente información ya que es importante que estés informado sobre los procesos correspondientes según el tipo de vencimiento. Cuando un tripulante vence su experiencia reciente, solo debe realizar el reentrenamiento. Sin embargo, si el vencimiento es en la verificación de competencia, se deben asignar tanto el reentrenamiento como la recalificación. En tu caso, solo corresponde realizar el reentrenamiento para que puedas volver a operar en la flota B767. Esperamos que la respuesta te haya sido de gran ayuda."</t>
  </si>
  <si>
    <t>3dc221cb-LATAM-LP</t>
  </si>
  <si>
    <t>15/01/2026 16:26</t>
  </si>
  <si>
    <t>Mi licencia vence el 31-01-26, aun no tengo ningún correo con la licencia renovada , ya tengo el apto medico pero la licencia aun no , espero su pronta respuesta , muchas gracias</t>
  </si>
  <si>
    <t>ceb4f151-LATAM-LP</t>
  </si>
  <si>
    <t>15/01/2026 19:36</t>
  </si>
  <si>
    <t>Buen día estimados, envié correo hace unos días pero no obtengo respuesta, solicito el envío de mi licencia chilena puesto que pasado mañana tengo vuelo asignado (retorno de maternidad) y no tengo mi documento. Quedo atenta a su respuesta.</t>
  </si>
  <si>
    <t>b38c3003-LATAM-LP</t>
  </si>
  <si>
    <t>16/01/2026 17:23</t>
  </si>
  <si>
    <t>Buenas tardes, mi último vuelo en 767 fue el 2 de noviembre, este mes el 14/01 tenía programado un miami con mi linecheck pero se canceló mi vuelo. Quería saber si me pueden ayudar activándome un vuelo en 767 en las reservas que tengo este mes para no vencerme. Gracias y saludos</t>
  </si>
  <si>
    <t>72d395f5-LATAM-LP</t>
  </si>
  <si>
    <t>15/01/2026 23:39</t>
  </si>
  <si>
    <t>VENCIMIENTO APTO MEDICO</t>
  </si>
  <si>
    <t>e5331be8-LATAM-LP</t>
  </si>
  <si>
    <t>18/01/2026 10:01</t>
  </si>
  <si>
    <t>1f872ac2-LATAM-LP</t>
  </si>
  <si>
    <t>18/01/2026 16:14</t>
  </si>
  <si>
    <t>Chequeo Latam 767</t>
  </si>
  <si>
    <t>db6b3ce9-LATAM-LP</t>
  </si>
  <si>
    <t>Programación de reva</t>
  </si>
  <si>
    <t>NA04</t>
  </si>
  <si>
    <t>Informativo.</t>
  </si>
  <si>
    <t>719424f2-LATAM-LP</t>
  </si>
  <si>
    <t>16/01/2026 11:04</t>
  </si>
  <si>
    <t>Buenos días, por el presente comunicar que el día 30 de enero 2026, termina mi descanso médico por maternidad. Quisiera saber para cuando estaría programado mi reva y retorno a labores, así también que tramites y documentos tengo que presentarles y a que áreas dirigirme. Quedo atenta a su respuesta. Saludos Ericka López</t>
  </si>
  <si>
    <t>"¡Gracias por la información! Te comentamos que hemos enviado toda la información con respecto a tu línea de retorno a tu correo, el cual incluye las fechas de tu revalidación y vuelos programados para tu retorno a línea. Esperamos que la respuesta te haya sido de gran ayuda."</t>
  </si>
  <si>
    <t>fba3bbe9-LATAM-LP</t>
  </si>
  <si>
    <t>18/01/2026 16:22</t>
  </si>
  <si>
    <t>Buenas tardes, el día 16/01 se canceló mi chequeo Latam por temas de manto con el avión, se había programado el dgac para el día 20/01, este vuelo aún me figura en el iFlight, como se procedería con este caso ya que no se dió el chequeo. muchas gracias</t>
  </si>
  <si>
    <t>6a66580b-LATAM-LP</t>
  </si>
  <si>
    <t>16/01/2026 11:10</t>
  </si>
  <si>
    <t>cdd6533e-LATAM-LP</t>
  </si>
  <si>
    <t>19/01/2026 10:02</t>
  </si>
  <si>
    <t>Buenos días estimados, la presente solicitud es para informar que el día de hoy 19/01 tenía linecheck de airbus programado. Sin embargo, me encuentro con descanso médico por hoy y mañana. Por favor, solicito la reprogramación de esta actividad regulatoria. Muchas gracias</t>
  </si>
  <si>
    <t>41dc4563-LATAM-LP</t>
  </si>
  <si>
    <t>Buenos días, comentarles que el día 30 de enero 2026 termina mi descanso médico por maternidad, quisiera saber para cuando me progrmarian reva, que documentos debo presentar y a que áreas escribir. Quedo atenta a su comunicación</t>
  </si>
  <si>
    <t>ca263ba2-LATAM-LP</t>
  </si>
  <si>
    <t>18/01/2026 17:56</t>
  </si>
  <si>
    <t>49da9ca7-LATAM-LP</t>
  </si>
  <si>
    <t>Buenos días, quería realizar una acotación acerca de mi chequeo de competencia de Boeing 767, yo lo tenía programado para el mes de diciembre por motivos de descanso médico lo perdí, en este mes de Enero no me lo reprogramaron y me indicaron que tenía el mes de prórroga que sería en febrero, el tema es que en febrero estaré sin pasaporte desde el día 05/02 debido a que renovaré mi visa crew, entonces quisiera saber cómo se procedería en ese caso ya que no se el tiempo exacto que estaré sin pasaporte, por ello les agradecería pudieran hacer seguimiento a mi caso.</t>
  </si>
  <si>
    <t>"¡Gracias por la información! Te informamos que, una vez publicado el rol, verificaremos la posible fecha de recuperación. Asimismo, en caso de que no cuentes con tu visa, evaluaremos la posibilidad de asignarte una ruta que no requiera dicho documento. Esperamos que la respuesta te haya sido de gran ayuda."</t>
  </si>
  <si>
    <t>fdd2c5a2-LATAM-LP</t>
  </si>
  <si>
    <t>15/01/2026 20:19</t>
  </si>
  <si>
    <t>Buenas noches, perdi mi linecheck A320 por descanso medico. Llene esta solicitud el mes pasado indicando lo mismo pero aun no he tenido alguna respuesta ni reprogramacion.</t>
  </si>
  <si>
    <t>f4421e8b-LATAM-LP</t>
  </si>
  <si>
    <t>17/01/2026 08:35</t>
  </si>
  <si>
    <t>Buenos días. Realice el intercambio de vacaciones cob mi compañero Walter Alarcon bp 4676547 y solo he recibido la confirmación de la primera semana de marzo, mas no la semana que cambie con Walter que me correspondería del 08 al 15 de marzo. Adjunto también la confirmación y aceptación del cambio. Porfavor verificar. Gracias</t>
  </si>
  <si>
    <t>8917932e-LATAM-LP</t>
  </si>
  <si>
    <t>18/01/2026 10:22</t>
  </si>
  <si>
    <t>3e8e97a5-LATAM-LP</t>
  </si>
  <si>
    <t>21/01/2026 05:23</t>
  </si>
  <si>
    <t>Fotocheck latam por vencer</t>
  </si>
  <si>
    <t>9d3e416f-LATAM-LP</t>
  </si>
  <si>
    <t>18/01/2026 16:17</t>
  </si>
  <si>
    <t>Reprogramación apto médico. Buenas tardes, les escribo para solicitar se me reprograme el apto médico ya que no cumplo con las consideraciones necesarias para rendirlo. Me encuentro con mi periodo y eso impide rendir el apto médico. Ni durante ni cinco días posteriores al último día.</t>
  </si>
  <si>
    <t>"¡Gracias por la información! Te pedimos que vuelvas a ingresar tu consulta indicandonos en qué día de tu periodo te encuentras para realizar la programación. Esperamos que la respuesta te haya sido de gran ayuda."</t>
  </si>
  <si>
    <t>3b7f852f-LATAM-LP</t>
  </si>
  <si>
    <t>18/01/2026 17:35</t>
  </si>
  <si>
    <t>e837e5cc-LATAM-LP</t>
  </si>
  <si>
    <t>18/01/2026 16:21</t>
  </si>
  <si>
    <t>No puedo hacer mi apto medico ya que estoy en mi primer dia de ciclo de menstruacion y segun las consideraciones enviada en el correo, no esta permitido. Quedo atenta. Muchas gracias. Adjunto correo enviado.</t>
  </si>
  <si>
    <t>951d9254-LATAM-LP</t>
  </si>
  <si>
    <t>16/01/2026 14:38</t>
  </si>
  <si>
    <t>1c2d0167-LATAM-LP</t>
  </si>
  <si>
    <t>19/01/2026 11:50</t>
  </si>
  <si>
    <t>Estimados buenos días, para informarles que el 5 de Feb se vence mi experiencia reciente en 767. He solicitado un MIA abierto entre esas fechas. Solicito su apoyo. Gracias</t>
  </si>
  <si>
    <t>"¡Gracias por la información! Te comentamos que la vigencia de tu experiencia reciente en la flota B767 es hasta el 19 de febrero. Asimismo, se te programará tu último vuelo para la flota B767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</si>
  <si>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bf57b15a-LATAM-LP</t>
  </si>
  <si>
    <t>18/01/2026 17:54</t>
  </si>
  <si>
    <t>Quisiera saber cuántos días me quedan de vacaciones para el segundo semestre 2026</t>
  </si>
  <si>
    <t>"¡Gracias por la información! Te comentamos que tienes 26 días de vacaciones por gozar antes de tu fecha de vencimiento (27/08/2026), de las cuales ya cuentas con 23 días de vacaciones pre publicadas en los bloques del 23/04/2026 al 30/04/2026 , 16/06/2026 al 22/06/2026 y del 23/06/2026 al 30/06/2026. Asimismo, te recordamos que apartir del 27/08/2026 se te aperturará una nueva meta de vacaciones de 40 días. Esperamos que la respuesta te haya sido de gran ayuda."</t>
  </si>
  <si>
    <t>c585a79a-LATAM-LP</t>
  </si>
  <si>
    <t>18/01/2026 20:24</t>
  </si>
  <si>
    <t>Buenas noches, estoy viendo por PBS vuelos programados a mia que asumo son vuelos de chequeo (aun no tengo licencia) pero no veo dias de curso programado. En el mes de setiembre del 2025 paso lo mismo y me tuvieron que quitar los vuelos y perdi muchas horas de vuelo y 2 pernoctes. Doy aviso para que no vuelva a pasar lo mismo y me puedan programar el curso antes de las fechas de los chequeos.</t>
  </si>
  <si>
    <t>"¡Gracias por la información! Hemos revisado tu consulta y te comentamos que según tu rol, no cuentas con vuelos programados según como menciona. ¡Agradecemos mucho tu colaboración y comprensión!"</t>
  </si>
  <si>
    <t>607f6b82-LATAM-LP</t>
  </si>
  <si>
    <t>20/01/2026 12:41</t>
  </si>
  <si>
    <t>Buenas tardes, tenía un vuelo en 767 este mes sin embargo por no tener apto médico vigente lo voy a perder. Por favor pido su colaboración programando un vuelo en 76 en la primera quincena de febrero para no perder mi experiencia frecuente. Muchas gracias, slds</t>
  </si>
  <si>
    <t>"¡Gracias por la información! Te comentamos que según tu rol de febrero, se te ha asignado vuelo en la flota B767. Esperamos que la respuesta haya sido de tu ayuda."</t>
  </si>
  <si>
    <t>4c95d953-LATAM-LP</t>
  </si>
  <si>
    <t>21/01/2026 09:25</t>
  </si>
  <si>
    <t>TR04</t>
  </si>
  <si>
    <t>fb8d6a9e-LATAM-LP</t>
  </si>
  <si>
    <t>21/01/2026 15:26</t>
  </si>
  <si>
    <t>En febrero se vence mi chequeo de competencia en la flota B-767</t>
  </si>
  <si>
    <t>"¡Gracias por la información! Te informamos que, dado que tu mes base es febreo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</si>
  <si>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7023d926-LATAM-LP</t>
  </si>
  <si>
    <t>19/01/2026 14:06</t>
  </si>
  <si>
    <t>Confirmación de vacaciones</t>
  </si>
  <si>
    <t>4e4a452d-LATAM-LP</t>
  </si>
  <si>
    <t>19/01/2026 14:07</t>
  </si>
  <si>
    <t>Buenas tardes estimados , la siguiente consulta es respecto a la confirmación de mis Vaciones, me mandaron el correo indicando q sería hasta el 7 de marzo pero en un correo anterior en mi línea de retorno ustedes me mandaron q es hasta el 17 de marzo me pueden confirmar si estoy en lo correcto, porque ya tengo planificado estar libre hasta el 17 como me habían mandado ustedes . Adjunto prueba</t>
  </si>
  <si>
    <t>"¡Gracias por la información! Te comentamos que según tu línea de retorno, tus vacaciones asignadas son del 06/02/2026 al 17/03/2026. Asimismo, te recordamos que la confirmación de tus vacaciones pendientes (del 08/03/ al 17/03) se estará realizando con 22 días de anticipación. Esperamos que la respuesta haya sido de tu ayuda."</t>
  </si>
  <si>
    <t>7ad373ed-LATAM-LP</t>
  </si>
  <si>
    <t>19/01/2026 15:01</t>
  </si>
  <si>
    <t>RV99</t>
  </si>
  <si>
    <t>b523d9dd-LATAM-LP</t>
  </si>
  <si>
    <t>19/01/2026 16:51</t>
  </si>
  <si>
    <t>Buenas tardes, espero estén bien. En el formulario anterior les comentaba que no podía asistir a mi apto de hoy pues ayer empezó mi periodo que dura 7 días, rara vez 8 y estoy en mi segundo día. Quedo atenta a cualquier información adicional. Gracias</t>
  </si>
  <si>
    <t>"¡Gracias por la información! Te comentamos que se te programará tu apto médico el 27/01. Recuerda que te enviaremos por correo la actualización de tu nueva fecha programada. Esperamos que la respuesta te haya sido de gran ayuda."</t>
  </si>
  <si>
    <t>fd59b448-LATAM-LP</t>
  </si>
  <si>
    <t>19/01/2026 16:17</t>
  </si>
  <si>
    <t>Estimados buenas tardes, por la presente recurro a ustedes para que me puedan orientar con el tema del pago de Edenred, este mes he recibido el monto de s/264,02, habiendo volado 82:29 horas, mi consulta es como se realiza el pago de este ya que en otra ocasión he volado un aproximado de 80hrs y recibí un monto de s/500, si me pueden ayudar con esta duda. Muchas gracias.</t>
  </si>
  <si>
    <t>¡Gracias por la información! Te informamos que el pago comprendió los siguientes Bonos. Bono Cumplimiento de Rol: 8% de tu remuneración básica. Te comentamos que tu bono de cumplimiento de rol se vio afectado en un 2% por un permiso de jefatura del 30/12. Bono Operación NB: S/. 171.00. En caso desees consultar por este bono, debes comunicarte con Osmar Neves. ¡Agradecemos mucho tu colaboración y comprensión!</t>
  </si>
  <si>
    <t>d715a4b8-LATAM-LP</t>
  </si>
  <si>
    <t>20/01/2026 10:28</t>
  </si>
  <si>
    <t>Estimados el día de mañana tengo apto medico pero me encuentro con mi periodo, me indican que debo avisarles para que me lo puedan r reprogramar. Quedo atenta. Gina Ferreyros, 3327220</t>
  </si>
  <si>
    <t>b02cd4df-LATAM-LP</t>
  </si>
  <si>
    <t>22/01/2026 09:47</t>
  </si>
  <si>
    <t>RO09</t>
  </si>
  <si>
    <t>1223f4e4-LATAM-LP</t>
  </si>
  <si>
    <t>20/01/2026 13:51</t>
  </si>
  <si>
    <t>El día de hoy se ha realizado el deposito de la tarjeta de alimentación y mi deposito solo ha sido de 178 soles que corresponden al mes de diciembre, quería saber porque me han deposito tan poco</t>
  </si>
  <si>
    <t>¡Gracias por la información! Te informamos que el pago comprendió los siguientes Bonos. Bono Cumplimiento de Rol: 5% de tu remuneración básica. Esto se debe a que en diciembre tuvo un total de 4 días de descanso médico. Bono Demora: 0.65 hrs, lo que equivale S/ 32.56 Bono Operación NB: S/. 32.60. En caso desees consultar por este bono, debes comunicarte con Osmar Neves. ¡Agradecemos mucho tu colaboración y comprensión!</t>
  </si>
  <si>
    <t>38c06536-LATAM-LP</t>
  </si>
  <si>
    <t>20/01/2026 18:58</t>
  </si>
  <si>
    <t>Buenas tardes, para poder saber si es que mi solicitud de cambio de vacaciones pasó? A pesar de recibir el correo de confirmación de vacaciones con mi programación original? Así poder confirmar mis clases qué tengo pendiente, muchas gracias</t>
  </si>
  <si>
    <t>3dde4530-LATAM-LP</t>
  </si>
  <si>
    <t>22/01/2026 15:46</t>
  </si>
  <si>
    <t>8c3b22fd-LATAM-LP</t>
  </si>
  <si>
    <t>23/01/2026 16:43</t>
  </si>
  <si>
    <t>bbd41e2e-LATAM-LP</t>
  </si>
  <si>
    <t>21/01/2026 12:52</t>
  </si>
  <si>
    <t>Buenos dias, quería consultar acerca de mi reva. Estuve de DM desde el día 02/12 hasta el 06/01 luego vacaciones. Hoy tuve mi apto médico y quería saber cuando sería programada para mi reva ya que tengo como fecha de vcto el 31/01/26. Quería saber a su vez cuando sería mi fecha limite para no perder habilitación del 76 ya que mi último vuelo fue inicios de noviembre. Se puede programar un vuelo para no perder ello o primero tengo que pasar la reva? Agradezco su respuesta y atención. Saludos.</t>
  </si>
  <si>
    <t>"¡Gracias por la información! Te comentamos que se va a regularizar y se te retornará a rol una vez que se emita tu apto médico. Asimismo, te comentamos que tenemos mapeado tu caso en cuanto a la fecha de vencimiento de tu experiencia reciente. Esperamos que la respuesta te haya sido de gran ayuda."</t>
  </si>
  <si>
    <t>c230b862-LATAM-LP</t>
  </si>
  <si>
    <t>21/01/2026 14:41</t>
  </si>
  <si>
    <t>Buenas tardes, Mi consulta es con respecto al vuelo demorado 2213 del 25/11/2025 no se contaba con el avion ya que se quedo en arequipa por manto; se tuvo cambio de tripulacion, la mitad se fue porque tenia libre legal y se sumaron 3 de reserva, se tenia un etd inicial 17:05 luego lo cambiaron a las 21:00 finalmente nuestro avion tampoco llego porque en cusco hubo mal tiempo, se despego a las 23:42. Esta demora no esta considerando en la tarjeta de alimentos.</t>
  </si>
  <si>
    <t>"¡Gracias por la información! Te comentamos que se ha revisado el caso y se regularizará el pago correspondiente al vuelo mencionado. ¡Agradecemos mucho tu colaboración y comprensión!"</t>
  </si>
  <si>
    <t>b4569e41-LATAM-LP</t>
  </si>
  <si>
    <t>22/01/2026 18:22</t>
  </si>
  <si>
    <t>906d36fc-LATAM-LP</t>
  </si>
  <si>
    <t>22/01/2026 09:45</t>
  </si>
  <si>
    <t>Cambio dias de vacaciones</t>
  </si>
  <si>
    <t>33dcd579-LATAM-LP</t>
  </si>
  <si>
    <t>23/01/2026 17:03</t>
  </si>
  <si>
    <t>Buenas tardes, escribo porque no me han programado mi LCK de 767 que tiene vencimiento el 28/02 para el mes de febrero. Tengo entendido que igual podría ser en marzo que sería la prórroga. Porfavor considérenlo para marzo porque es mi mes de prórroga. Gracias.</t>
  </si>
  <si>
    <t>"¡Gracias por la información!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</si>
  <si>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1d4e3563-LATAM-LP</t>
  </si>
  <si>
    <t>22/01/2026 09:52</t>
  </si>
  <si>
    <t>No procedió cesión de mi semana de vacaciones a compañera. Solicito por favor no me den esa semana y en cambio estoy solicitando del 30 de abril al 10 de mayo. Espero.consideren mi peticion por viaje familiar por favoy. Muchas gracias!</t>
  </si>
  <si>
    <t>"¡Gracias por la información! Te informamos que el canal correcto para ingresar tu solicitud es através del link de intercambio de vacaciones e ingresar tus comentarios correspondientes en el formulario. "Pedido, Cesión e Intercambio de Vacaciones LP 2026-01". Puedes acceder al formulario mediante el siguiente link: https://docs.google.com/forms/d/e/1FAIpQLSdmXt-iSndWo5_kb3Bithorzgp7OTZOBAa-lYgrbwGZuQBVcw/viewform Asimismo, te recordamos que la confirmación de tus vacaciones serán notificadas con 30 días de anticipación del inicio de las mismas. Esperamos que la respuesta te haya sido de gran ayuda."</t>
  </si>
  <si>
    <t>b6c9ba9d-LATAM-LP</t>
  </si>
  <si>
    <t>Mi reclamo es en referencia al vuelo demorado 2213 del 25/11/2025 no se contaba con el avion ya que se quedo en arequipa por manto; se tuvo cambio de tripulacion, la mitad se fue porque tenia libre legal y se sumaron 3 de reserva, se tenia un etd inicial 17:20 segun etd y adjunto roster report, luego lo cambiaron a las 21:00 finalmente nuestro avion tampoco llego porque en cusco hubo mal tiempo, se despego a las 23:42 y dejo ifligh como evidencia del mismo. Esta demora no se ha considerado en la tarjeta dd alimentos, ya que en un correo anterior indican que vuelo salio a tiempo cuando no fue asi. Adjunto evidencia de los mismos. Su apoyo para hacer las verificaciones correspondientes.</t>
  </si>
  <si>
    <t>0dd9459a-LATAM-LP</t>
  </si>
  <si>
    <t>22/01/2026 11:24</t>
  </si>
  <si>
    <t>Fecha de otorgamiento que sale en Licencia renovada enviada, sale la misma fecha de otorgamiento que la licencia anterior: 22-01-2023, la nueva licencia chilena renovada me la enviaron ayer 21-01-2026. Ya le imprimí y en mica las fechas de vencimiento están bien pero solo tengo esa observación sobre la fecha de otorgamiento si está bien que aparezca la misma fecha anterior 22-01-23. Quedo atenta, gracias !</t>
  </si>
  <si>
    <t>"¡Gracias por la información! Te comentamos que consideres solo la fecha de vencimiento de tu licencia chilena (31/10/2028). Esperamos que la respuesta te haya sido de gran ayuda."</t>
  </si>
  <si>
    <t>767b42b3-LATAM-LP</t>
  </si>
  <si>
    <t>22/01/2026 12:45</t>
  </si>
  <si>
    <t>Buenas tardes, actualmente han modificado el primer dia que tenia de reva, donde solo tenia mis examenes medicos, mi consulta va sobre si los otros 3 dias permanecen como lo indica mi horario, gracias espero su respuesta.</t>
  </si>
  <si>
    <t>"¡Gracias por la información! Te comentamos que según el cronograma, tienes programado actividades por realizar desde el 27 al 29 de ENE según como se indica en el correo Esperamos que la respuesta te haya sido de gran ayuda."</t>
  </si>
  <si>
    <t>7605085b-LATAM-LP</t>
  </si>
  <si>
    <t>22/01/2026 13:51</t>
  </si>
  <si>
    <t>Reprogramación Apto Médico</t>
  </si>
  <si>
    <t>bf7529f8-LATAM-LP</t>
  </si>
  <si>
    <t>22/01/2026 14:35</t>
  </si>
  <si>
    <t>Tengo mi apto médico programado para el lunes 26 de enero pero en las consideraciones indican que en el caso de las mujeres, si se encuentran en periodo de menstruación o si han pasado menos de 5 días desde el último día de periodo no podemos rendir el apto médico, y a mi me ha venido mi periodo justo hoy 22 de enero por lo que mi apto médico debería ser reprogramado para otra fecha.</t>
  </si>
  <si>
    <t>53407713-LATAM-LP</t>
  </si>
  <si>
    <t>23/01/2026 19:29</t>
  </si>
  <si>
    <t>Estimados buenas tardes: tuve programado chequeo de competencia (LCK) con Instructora Claudia Flores, sin embargo , por motivos operacionales no pudo embarcar. Por favor mi chequeo vence 28 de febrero de 2026. Si pudieran programar LCK en cualquier jornada de vuelos nacionales les agtadecere. Gracias por su gentil atencion. Saludos</t>
  </si>
  <si>
    <t>"¡Gracias por la información! Te comentamos que tenemos mapeado tu caso., por ello, te informamos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 junto con la prórroga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</si>
  <si>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71a67464-LATAM-LP</t>
  </si>
  <si>
    <t>24/01/2026 05:36</t>
  </si>
  <si>
    <t>Buenos dias, estuve con DM prolongado entre diciembre y enero por lo que perdi mis vuelos en B767 de esos meses y al no contar con apto medico hasta hace unos dias mi rol de febrero quedó como NME todo el mes por lo que les pido me puedan incluir en algun vuelo en B767 para no perder experiencia resiente. Muchas Gracias</t>
  </si>
  <si>
    <t>"¡Gracias por la información! Te comentamos que se ha solicitado al equipo de roles para la asignación de tus vuelos de febrero, el cual podrás visualizar entre el transcurso de estos días. Asimismo, comentarte que tenemos mapeado tu caso y se estará asignando tus vuelos correspondientes. Esperamos que la respuesta te haya sido de gran ayuda."</t>
  </si>
  <si>
    <t>4830bce0-LATAM-LP</t>
  </si>
  <si>
    <t>23/01/2026 16:12</t>
  </si>
  <si>
    <t>Estimados buenaa tardes, acabo de recibir mi rol del mes de febrero en el cual verifico qye tengo 5 días de REVA de seguridad tal cual tienen mis compañeros Trihabilitados, sin embargo yo no soy trihabilitado, no vuelo B787. Adicionalmente tengo un día ppr rol que es ME, quería saber si ese es para examen médico, porque tenía entendido que mi ápto medico debería hacerse en mis 4 días que tengo RTI por rol. De antemano agradezco su gentil ayuda y quedo atento a su respuesta, saludos.</t>
  </si>
  <si>
    <t>"¡Gracias por la información! Te recordamos que, dado que tu mes base es marzo y según lo establecido en la RAP 63, esta actividad puede ser programada dentro de un período de elegibilidad que comprende 30 días antes, durante y después de tu mes base. Por lo tanto, tu curso de revalidación de seguridad tanto para la flota A320 como B767 podrá ser agendada tanto en febrero como en abril, junto con la prórroga correspondiente. Asimismo, el ME ien tu rol significa la asignación de tu EMO. Recuerdo que te estaremos enviado la programación a tu correo. Esperamos que la respuesta te haya sido de gran ayuda."</t>
  </si>
  <si>
    <t>d2ebd3e5-LATAM-LP</t>
  </si>
  <si>
    <t>24/01/2026 10:30</t>
  </si>
  <si>
    <t>Estimados, el 10 de febrero estaría vencimiento mi habilitación B767 quisiera por favor me tengan en cuenta y puedan activarme cualquiera de mis reservas antes de la fecha.</t>
  </si>
  <si>
    <t>"¡Gracias por la información! Hemos verificado y según tu rol, tienes aisgnado vuelo en la flota B767 el 5 de Feb. Esperamos que la respuesta te haya sido de gran ayuda."</t>
  </si>
  <si>
    <t>36aaa1b6-LATAM-LP</t>
  </si>
  <si>
    <t>25/01/2026 17:04</t>
  </si>
  <si>
    <t>El 2 de diciembre fue mi último vuelo en Boeing y en febrero no me pusieron nada en esa flota y me voy a vencer el 2 de marzo</t>
  </si>
  <si>
    <t>"¡Gracias por la información! Te comentamos que se te estará programando un vuelo en la flota B767 antes de su fecha de vencimiento. Esperamos que la respuesta te haya sido de gran ayuda."</t>
  </si>
  <si>
    <t>8b7b9f20-LATAM-LP</t>
  </si>
  <si>
    <t>26/01/2026 08:03</t>
  </si>
  <si>
    <t>Buenos días, quería confirmar la actualización de datos de mi pasaporte, este lo envié el día miércoles 21 a traves del formulario en OSSA, pues no me figura aún el nuevo número en el i flight. Gracias</t>
  </si>
  <si>
    <t>"¡Gracias por la información! Te comentamos que hemos recibido tu solicitud de Actualización Pasaporte, esta se encuentra modificada en nuestra base de datos SAB e IFN. Esperamos que la respuesta te haya sido de gran ayuda."</t>
  </si>
  <si>
    <t>7c58d5ec-LATAM-LP</t>
  </si>
  <si>
    <t>26/01/2026 09:50</t>
  </si>
  <si>
    <t>El 28 de febrero se vence mi plazo para linechek y en el rol de enero y febrero no me han asignado la actividad</t>
  </si>
  <si>
    <t>"¡Gracias por la información! Te informamos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</si>
  <si>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c0306feb-LATAM-LP</t>
  </si>
  <si>
    <t>23/01/2026 19:26</t>
  </si>
  <si>
    <t>Buenas noches, el mes de diciembre tuve programado mi examen medico EMO el cual no pude rendir ya que no me encontraba bien de salud, envié un correo me indicaron que me iban a reprogramar. Tambien tuve reva de servicios pero me quitaron el segundo dia para ponerme reserva. Este mes de febrero me han vuelto a programar los dos dias de reva de servicio pero me dijeron que solo deberia dar el segundo dia ya que el primero ya lo hice. Queria saber si derrepente el primer dia me lo pueden cambiar por el apto medico EMO que quedaba pendiente. Quedo a la espera de su respuesta. Muchas gracias.</t>
  </si>
  <si>
    <t>"¡Gracias por la información! Te comentamos que tenemos mapeado tu caso y te informamos que se programará tu EMO para el mes de Marzo. Esperamos que la respuesta te haya sido de gran ayuda."</t>
  </si>
  <si>
    <t>d3f4f6a4-LATAM-LP</t>
  </si>
  <si>
    <t>23/01/2026 23:47</t>
  </si>
  <si>
    <t>Día adicional no solicitado</t>
  </si>
  <si>
    <t>0e00bff6-LATAM-LP</t>
  </si>
  <si>
    <t>Buenas noches quisiera saber el motivo por el que se considero el día de mi cumpleaños dentro de mis vacaciones si cuando me mandaron yccuando las solicite empezaban el día 22 de febrero . Entiendo que esto hace que se me reste un día mas en mi bolsa y que yo no solicite</t>
  </si>
  <si>
    <t>"¡Gracias por la información! Te informamos que se ha pre publicado tus vacaciones del 22 al 28 de febrero por vencimiento. Debido a que restaba un día para completar tu meta de 30 días antes de tu fecha de vencimiento (01/07/26), este se ha incluido en el bloque de febrero ya que contamos con cupos disponibles para dicho mes. Te recordamos que, bajo la normativa actual, cada periodo de vacaciones debe ser de al menos 7 días, es por ello que se ha empalmado tu día faltante por gozar en al inicio de tu bloque pre publicado. Asimismo, no fue posible programar este día en meses posteriores debido a que aún no contamos con la disponibilidad de cupos confirmada. Esperamos que la respuesta te haya sido de gran ayuda."</t>
  </si>
  <si>
    <t>01f98ecc-LATAM-LP</t>
  </si>
  <si>
    <t>26/01/2026 09:52</t>
  </si>
  <si>
    <t>Mi linechek de Airbus se vence el 28 de febrero y en enero y febrero no tengo asignado linechek</t>
  </si>
  <si>
    <t>adf97046-LATAM-LP</t>
  </si>
  <si>
    <t>24/01/2026 09:06</t>
  </si>
  <si>
    <t>Buenos días, quisiera consultar ya que mi licencia chilena vence el 28 de Febrero.</t>
  </si>
  <si>
    <t>52912339-LATAM-LP</t>
  </si>
  <si>
    <t>26/01/2026 12:05</t>
  </si>
  <si>
    <t>5c198635-LATAM-LP</t>
  </si>
  <si>
    <t>27/01/2026 00:09</t>
  </si>
  <si>
    <t>Buenas noches estimados, Espero se encuentren muy bien, me dirijo a ustedes para informarles que el próximo 28 de febrero se vencería mi habilitación de A320 debido a que en mi linecheck programado lamentablemente tuve un incidente médico y tuve que reportarme unos días y perdí el chequeo. Les pediría porfavor la ayuda para que me puedan reprogramar mi próximo LINECHECK para no vencerme.</t>
  </si>
  <si>
    <t>"¡Gracias por la información! Te informamos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 junto con la prórroga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</si>
  <si>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6a82e034-LATAM-LP</t>
  </si>
  <si>
    <t>26/01/2026 19:39</t>
  </si>
  <si>
    <t>"¡Gracias por la información! Recuerda que, dado que tu mes base es febrero y según lo establecido en la RAP 63, esta actividad puede ser programada dentro de un período de elegibilidad que comprende 30 días antes, durante y después de tu mes base. Por lo tanto, tu verificación de competencia podría ser agendada tanto en enero como en marzo,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</si>
  <si>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eee57da0-LATAM-LP</t>
  </si>
  <si>
    <t>24/01/2026 21:08</t>
  </si>
  <si>
    <t>Renovación tarjeta edenred</t>
  </si>
  <si>
    <t>b1b7bfe7-LATAM-LP</t>
  </si>
  <si>
    <t>24/01/2026 12:04</t>
  </si>
  <si>
    <t>Hola, por favor quisiera puedan ayudarme a participar en el sgte Curso 767 y considerar tambien que desde have mas de una swmana ya cuento nuevamente con el pasaporte y visa. Estonfue actualizado en el formulario pero no se ha modificado aun en el iflight. Muchas gracias</t>
  </si>
  <si>
    <t>TR03</t>
  </si>
  <si>
    <t>16ba02f9-LATAM-LP</t>
  </si>
  <si>
    <t>25/01/2026 10:31</t>
  </si>
  <si>
    <t>Estimados buenos días, mi consulta es por lo siguiente: en el mes de septiembre del 2025 realicé la renovación de mi apto médico y examen ocupacional. En marzo del presenta año 2026, se vence mi apto médico y deseo saber como gestionar el recojo de mi documentación. Muchas gracias. saludos cordiales. Hanny Marruffo</t>
  </si>
  <si>
    <t>146429a1-LATAM-LP</t>
  </si>
  <si>
    <t>25/01/2026 07:21</t>
  </si>
  <si>
    <t>Tengo RTI el 26/01 y no puedo ingresar a la nueva plataforma SAP SUCCCESS FACTOR para realizar mis cursos</t>
  </si>
  <si>
    <t>OS05</t>
  </si>
  <si>
    <t>098347fa-LATAM-LP</t>
  </si>
  <si>
    <t>26/01/2026 08:08</t>
  </si>
  <si>
    <t>171bbe27-LATAM-LP</t>
  </si>
  <si>
    <t>27/01/2026 17:05</t>
  </si>
  <si>
    <t>Hola; buenas tardes: El motivo de la presente es para consultar lo siguiente. El día de ayer tenía Verificación de la Competencia y el vuelo LA2008/2007 LIM/CUZ/LIM fue cancelado. ¿Qué procede en este caso? Considerar que mi fecha de vencimiento es el 28/2/26 y en marzo salgo de vacaciones del 16-31. Quedo atento a sus comentarios. Saludos; Braulio López.</t>
  </si>
  <si>
    <t>d96eed8b-LATAM-LP</t>
  </si>
  <si>
    <t>23/01/2026 17:18</t>
  </si>
  <si>
    <t>Quisiera saber si me pueden programar antes del 15 de febrero un vuelo Boeing 767 para mi recalificacion ya que no me programaron un vuelo para este chequeo ya que la licencia provisional s la tengo extendida solo hasta el 15 de febrero.gracias</t>
  </si>
  <si>
    <t>"¡Gracias por la información! Te informamos que se va a gestionar tu caso con el equipo de roles para asignarte un vuelo en dicha flota antes de tu vencimiento. Asimismo, te contactaremos por correo electrónico si surge una opción que implique cambios en tu rol. Esperamos que la respuesta te haya sido de gran ayuda."</t>
  </si>
  <si>
    <t>0dbd91c2-LATAM-LP</t>
  </si>
  <si>
    <t>24/01/2026 12:09</t>
  </si>
  <si>
    <t>Por favor les pido puedan considerar para rol de marzo que desde quincena de enero yo ya cuento con pasaporte y visa. Estp fue actualizado ya en el formulario pero aun no en mi iflight. Muchas gracias</t>
  </si>
  <si>
    <t>"¡Gracias por la información! Te comentamos que tenemos mapeado tu caso y que procederemos con el retiro de tu rol especial para el rol de marzo. Esperamos que la respuesta te haya sido de gran ayuda."</t>
  </si>
  <si>
    <t>bd92341d-LATAM-LP</t>
  </si>
  <si>
    <t>27/01/2026 17:57</t>
  </si>
  <si>
    <t>Me estan bajando de vuelo por medicamentos y voy a perder mi lax del 1 de feb. Hasta que dia tengo chance de volat sin vencerme el 767? Tengo un miami el dia 26 de feb. De ser que me venza me pueden considerar para activacion dias previos a mi vencimiento como para operar un scl roundtrip por favor utilizando mis reservas del 5 o del 15 o del 22 o 23 de febrero por favor. Estaria muy agradecida.</t>
  </si>
  <si>
    <t>"¡Gracias por la información! Te comentamos que tenemos mapeado en asignarte un vuelo en tu experiencia reciente. Te informamos que se va a gestionar tu caso con el equipo de roles para asignarte un vuelo en dicha flota antes de tu vencimiento. Asimismo, te contactaremos por correo electrónico si surge una opción que implique cambios en tu rol. Esperamos que la respuesta te haya sido de gran ayuda."</t>
  </si>
  <si>
    <t>dc47565e-LATAM-LP</t>
  </si>
  <si>
    <t>27/01/2026 18:51</t>
  </si>
  <si>
    <t>Por favor considerarme para alguna activación en 767 debido a que me están retirando vuelos por dm y medicamentos y esto haría que pierda la experiencia reciente en 767. Rectifico mi retorno para operar para el día 4 de feb. Cabe mencionar que el 4, 5 y 6 de febrero cuento con reservas, por favor sería posible que me asignen un vuelo en 767 durante ese periodo que no afecte mi pernocte a Madrid del día 7 de febrero? Quedo atenta! Muchas gracias por las gestiones y el apoyo de antemano</t>
  </si>
  <si>
    <t>10787229-LATAM-LP</t>
  </si>
  <si>
    <t>26/01/2026 12:46</t>
  </si>
  <si>
    <t>198cc0a5-LATAM-LP</t>
  </si>
  <si>
    <t>26/01/2026 14:11</t>
  </si>
  <si>
    <t>El día de mañana tengo mi reentrenamiento de Boeing 767 ,en el vuelo 2698 , sucede que aún no me enviaron el código de reserva para poder hacer el check in y a mis demás compañeros que serán chequeados si se los enviaron y quería saber si hay algún inconveniente , quisiera saber una respuesta por favor o si podrían enviarme el correo para poder hacer el check in .</t>
  </si>
  <si>
    <t>RC02</t>
  </si>
  <si>
    <t>f7a586f7-LATAM-LP</t>
  </si>
  <si>
    <t>26/01/2026 15:36</t>
  </si>
  <si>
    <t>Buenas tardes, verifico en el correo que enviado qué hay un error respecto a mi línea de retorno, ya que no se han considerado mi lactancia y las vacaciones, favor de verificar bien la información.</t>
  </si>
  <si>
    <t>"¡Gracias por la información! Te comentamos que el envío de tu línea de retorno enviado a tu correo es un avance, ya que aún falta incluir los días de lactancia, vacaciones y el día de tu recalificación. Asimismo, te recordamos según como menciona el correo de tu línea: "Ten en cuenta que, aproximadamente a mediados de febrero, te compartiremos el avance de tu línea de retorno. Nota: Por favor considerar que las fechas de capacitación son tentativas, ya que corresponde al mes de febrero, y está pendiente programar tus días restantes de lactancia, vacaciones y, de ser el caso, vuelos de capacitación." Esperamos que la respuesta te haya sido de gran ayuda."</t>
  </si>
  <si>
    <t>ef8ce8fb-LATAM-LP</t>
  </si>
  <si>
    <t>28/01/2026 10:42</t>
  </si>
  <si>
    <t>Ayer me llegó un mail donde me indican que en mi proceso de retorno a la línea, se me debe programar RTI B767 (3 días) Revisé mis fechas de vencimiento y sinceramente no entiendo cual seria la razón de hacer el curso. En mi caso, con el B767, mi último vuelo fue el 17 de Octubre, por lo que solo he dejado de volar más de 3 meses, lo que entendería que solo se ha vencido mi Experiencia Reciente.... Mi curso en tierra B767 todavía vence el 28 de febrero. Ya hice la Reva Online de todo los primeros dias de diciembre, y solo me quedó pendiente el CAE.... Realmente es necesario un curso de 3 días?</t>
  </si>
  <si>
    <t>"¡Gracias por la información! Te informamos que, dado que tu mes base para la flota B767 es en febrero y según lo establecido en la RAP 63, esta actividad puede ser programada dentro de un período de elegibilidad que comprende 30 días antes, durante y después de tu mes base. Por lo tanto, tu curso de revalidación de seguridad podrá ser agendada tanto en enero como en marzo , junto con la prórroga correspondiente. Te recordamos que es importante que consideres y conozcas dicha información para futuras ocasiones. Asimismo, hemos verificado que se te asignó tu día pendiente de tu curso en tierra que se llevó a cabo el 29/01. Esperamos que la respuesta te haya sido de gran ayuda."</t>
  </si>
  <si>
    <t>b9cb3e97-LATAM-LP</t>
  </si>
  <si>
    <t>28/01/2026 15:58</t>
  </si>
  <si>
    <t>24ec277b-LATAM-LP</t>
  </si>
  <si>
    <t>28/01/2026 19:28</t>
  </si>
  <si>
    <t>Estimados, buebas noches. Un gusto saludarles, la presente es para recordarles que mi verificación de competencia B767 vence el 31 de marzo 2026. Gracias de antemano. Saludos cordiales</t>
  </si>
  <si>
    <t>"¡Gracias por la información! Te informamos que, dado que tu mes base es marzo y según lo establecido en la RAP 63, esta actividad puede ser programada dentro de un período de elegibilidad que comprende 30 días antes, durante y después de tu mes base. Por lo tanto, tu verificación de competencia podrá ser agendada tanto en febrero como en abril, junto con la prórroga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</si>
  <si>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ff368c2e-LATAM-LP</t>
  </si>
  <si>
    <t>28/01/2026 19:38</t>
  </si>
  <si>
    <t>Estimados, me es grato saludarles. La presente es para hacer de vuestro conocimiento que mi verificación de competencia en A320F vence el 30 de Abril del 2026. Agradezco de antemano su ayuda . Saludos cordiales</t>
  </si>
  <si>
    <t>2a9c705f-LATAM-LP</t>
  </si>
  <si>
    <t>28/01/2026 20:10</t>
  </si>
  <si>
    <t>El dia de hoy 28 de enero tenía asignado mi line check de airbus320 , sin embargo horas previas del ETD se nos notificó la ausencia del instructor a cargo. Sabiendo ello notifico a ustedes que mi fecha de vencimiento de mi line check de A320 es el 28 de febrero por favor solicito la verificación y programación del mismo. Quedo atenta , Muchas gracias .</t>
  </si>
  <si>
    <t>"¡Gracias por la información! Te comentamos que tenemos mapeado tu caso. Asimismo, te informamos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</si>
  <si>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a1fb9d57-LATAM-LP</t>
  </si>
  <si>
    <t>27/01/2026 16:23</t>
  </si>
  <si>
    <t>Buen día, Quisiera informar que acaba de aprobarse mi cambio de vacaciones con una compañera, quedando mis vacaciones programadas para la primera quincena de marzo. Sin embargo, actualmente en mi rol tengo asignado un vuelo que retorna a Lima el 2 de marzo, por lo que agradeceré me puedan indicar cómo se procederá con dicha asignación. Quedo atenta a sus indicaciones. Muchas gracias.</t>
  </si>
  <si>
    <t>"¡Gracias por la información! Te comentamos que dado que las vacaciones de marzo no fueron confirmadas, se estará realizando la actualización de su bloque de vacaciones de marzo según su nueva secuencia operacional respetando los libre legales. Esperamos que la respuesta te haya sido de gran ayuda."</t>
  </si>
  <si>
    <t>a691cf9d-LATAM-LP</t>
  </si>
  <si>
    <t>29/01/2026 16:43</t>
  </si>
  <si>
    <t>Buenas tardes. Para comentar que el día de ayer se canceló mi vuelo LCK VLO 2360/2631. Quedo atenta a la reprogramación. Asimismo, en febrero vence mi verificación de competencia. Gracias.</t>
  </si>
  <si>
    <t>82cf1c0e-LATAM-LP</t>
  </si>
  <si>
    <t>28/01/2026 12:01</t>
  </si>
  <si>
    <t>Me han programado en el rol, RTI para mañana jueves 29 de enero, sin embargo no he recibido ningún mail de invitación y donde se detalle la asignación. Quedo al pendiente de su pronta respuesta. Gracias</t>
  </si>
  <si>
    <t>e957eb5e-LATAM-LP</t>
  </si>
  <si>
    <t>30/01/2026 00:05</t>
  </si>
  <si>
    <t>Buenas tardes, Comentarles que el 01 diciembre 2025 fue mi último vuelo ATL-LIM en 767 ya que por renovación de visa de turista se protegió mi rol de diciembre y enero. Para febrero hice pedido de JFK pero no me lo dieron, pero tampoco me programaron vuelos en 767. Tengo reservas 4, 5 y 6 de Febrero. Quería saber si hay posibilidad de que me activen un vuelo en dicha flota para no vencerme. Quedo atenta. Mil gracias!</t>
  </si>
  <si>
    <t>91c67f9e-LATAM-LP</t>
  </si>
  <si>
    <t>31/01/2026 14:38</t>
  </si>
  <si>
    <t>Cómo renovar fotocheck latam</t>
  </si>
  <si>
    <t>6d0c7634-LATAM-LP</t>
  </si>
  <si>
    <t>30/01/2026 08:47</t>
  </si>
  <si>
    <t>Buenos días; Debido a mi descanso médico y a los medicamentos administrados mi periodo fuera de vuelo comprometió un lax que tenía el 1 de febrero, este fue retirado, quedando así expuesta a la pérdida de experiencia reciente (90 días) envíe formulario correspondiente, sin embargo quería ponerlos sobre aviso en aras de que se me pueda activar un vuelo en 767 antes del 25 o hasta el 25 de febrero. Tengo reservas el día 4, 5 y 6 de febrero (días consecutivos de reservas) Adicional a eso desearía hacerles una consulta, existe algún tipo de prórroga con respecto a la experiencia reciente? Porque el 25 me venzo sin embargo el 26 tengo vuelo en 767. Les pido encarecidamente me puedan ayudar por favor. Esperando que se encuentres bien; Saludos Mariale Carranza Michaud Bp: 3133503</t>
  </si>
  <si>
    <t>"¡Gracias por la información! Te informamos que tenemos mapeado tu caso y estaremos coordinando la asignación de tu reentrenamiento en B767, en base a la disponibilidad de los instructores y la holgura operativa. Recuerda que te estaremos notificando por correo tanto sobre esta asignación como sobre tu retorno a la línea. Esperamos que la respuesta te haya sido de gran ayuda."</t>
  </si>
  <si>
    <t>5d0fa764-LATAM-LP</t>
  </si>
  <si>
    <t>02/02/2026 08:46</t>
  </si>
  <si>
    <t>Vencimiento de lck en b767 el dia 28/02/2026 y no me han programado para este mes</t>
  </si>
  <si>
    <t>d3fef227-LATAM-LP</t>
  </si>
  <si>
    <t>29/01/2026 16:33</t>
  </si>
  <si>
    <t>DM04</t>
  </si>
  <si>
    <t>6342e79c-LATAM-LP</t>
  </si>
  <si>
    <t>29/01/2026 16:39</t>
  </si>
  <si>
    <t>Deseo saber respecto a las fechas de mis licencias ya que en febrero tendría que haber hecho la “reva”, pero estoy con DM desde el 24 de Noviembre, sólo debo esperar a que acabe mi Dm para que me programen o tengo que hacer o enviar algún formulario al probablemente seguir en DM en esa fecha..</t>
  </si>
  <si>
    <t>"¡Gracias por la información! Te comentamos que tu mes base para flota A320 y B767 es febrero y según lo establecido en la RAP 63, esta actividad puede ser programada dentro de un período de elegibilidad que comprende 30 días antes, durante y después de tu mes base. Por lo tanto, tu curso de revalidación de seguridad podrá ser agendada tanto en enero como en marzo, junto con la prórroga correspondiente. Asimismo, te informamos que en caso de recibir tu alta médica, deberás reportarlo a tu CPL para que se notifique al área de Salud Laboral. Una vez recibamos su respuesta, gestionaremos la programación de tu apto médico y, posteriormente, los cursos correspondientes que tengas pendientes. Esperamos que la respuesta te haya sido de gran ayuda."</t>
  </si>
  <si>
    <t>b5444672-LATAM-LP</t>
  </si>
  <si>
    <t>29/01/2026 16:48</t>
  </si>
  <si>
    <t>4f59ef83-LATAM-LP</t>
  </si>
  <si>
    <t>02/02/2026 18:29</t>
  </si>
  <si>
    <t>LCK Cancelado</t>
  </si>
  <si>
    <t>"¡Gracias por la información! Te informamos que tenemos mapeado tu caso y se estará programando tu verificación de competencia. Asimismo, te recordamos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Esperamos que la respuesta te haya sido de gran ayuda."</t>
  </si>
  <si>
    <t>87009c3a-LATAM-LP</t>
  </si>
  <si>
    <t>02/02/2026 17:52</t>
  </si>
  <si>
    <t>Buenas tardes; solicito que en la medida de lo posible se me considere para un vuelo en 767 para antes del 25 de feb como me indicaron en aras de no perder la experiencia reciente. Así mismo autorizo el cambio de mi rol de ser necesario para poder tener la continuidad en la flota. Muchas gracias</t>
  </si>
  <si>
    <t>01e9bd3f-LATAM-LP</t>
  </si>
  <si>
    <t>29/01/2026 23:02</t>
  </si>
  <si>
    <t>Buenos noches. No ha llegado la convalidacion de la licencia chilena. Por favor, hacerla llegar antes de la fecha de vencimiento, Saludos.</t>
  </si>
  <si>
    <t>"¡Gracias por la información! Te recordamos que la fecha de tu vencimiento de tu licencia chilena es el 31/01/2028. Esperamos que la respuesta te haya sido de gran ayuda."</t>
  </si>
  <si>
    <t>9bb7a2ed-LATAM-LP</t>
  </si>
  <si>
    <t>30/01/2026 04:38</t>
  </si>
  <si>
    <t>Fui programada para el curso el mes de enero, pero por tema medico no pude realizar el dia de practica y en el mes de febrero no he sido programada siento este mi mes de vencimiento.</t>
  </si>
  <si>
    <t>"¡Gracias por la información! Te informamos que el día pendiente de tu práctica será programado para el mes de marzo. Asimismo, te recordamos que al ser tu mes base es febrero y según lo establecido en la RAP 63, esta actividad puede ser programada dentro de un período de elegibilidad que comprende 30 días antes, durante y después de tu mes base. Por lo tanto, tu curso de revalidación de seguridad podrá ser agendada tanto en enero como en marzo, junto con la prórroga correspondiente Esperamos que la respuesta te haya sido de gran ayuda."</t>
  </si>
  <si>
    <t>61465a39-LATAM-LP</t>
  </si>
  <si>
    <t>03/02/2026 11:13</t>
  </si>
  <si>
    <t>Vcto verificación competencia A320, se me programo en enero pero por secuencia ilegal me lo quitaron y en el presente mes no se me ha programo y se vence el 28 Feb solicito su apoyo con la consulta o indicarme si se dará prorroga para marzo.</t>
  </si>
  <si>
    <t>"¡Gracias por la información! Te informamos que si tu actividad no fue agendada durante el mes base, aún puedes ser programado durante el mes de prórroga, sin que esto implique la pérdida de tu chequeo. Asimismo, te recordamos que tu mes base al ser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</si>
  <si>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287d1dc1-LATAM-LP</t>
  </si>
  <si>
    <t>04/02/2026 09:50</t>
  </si>
  <si>
    <t>7047b5a3-LATAM-LP</t>
  </si>
  <si>
    <t>30/01/2026 18:22</t>
  </si>
  <si>
    <t>073fee5a-LATAM-LP</t>
  </si>
  <si>
    <t>04/02/2026 12:15</t>
  </si>
  <si>
    <t>Buenos días tengo proramados los cursos de Emergencias Generales y Equipos 767 ppara el día de hoy 04/02/2026 pero no me figuran en el sistema. Gracias por la atención y quedo atento.</t>
  </si>
  <si>
    <t>f643dac3-LATAM-LP</t>
  </si>
  <si>
    <t>05/02/2026 11:51</t>
  </si>
  <si>
    <t>Quisiera indicar que tenía mi chequeo de competencia Airbus previsto para el pasado 12 de enero, sin embargo no se pudo realizar. He podido ver que para los vuelos nacionales que tengo previstos para el 17 de este mes viajo con una tripulación que va a ser chequeada en la ruta LIM-PIU-LIM y no me figura a mí el código de LCK_T. Quisiera confirmar si mi chequeo estará previsto para esa fecha y si no fuese el caso si me lo podrían agendar, muchas gracias</t>
  </si>
  <si>
    <t>"¡Gracias por la información! Te informamos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Te recordamos que en Soporte SAB llevamos el control y seguimiento de tus licencias y habilitaciones, por lo que te pedimos tenerlo presente para futuras ocasiones; entendemos que puedas preocuparte cuando se acerque la fecha de vencimiento y no has sido programado, pero estamos atentos a cada caso para gestionar las renovaciones, así que solo es necesario que nos contactes si tu licencia o habilitación está a menos de 72 horas de vencer y aún no has recibido noticias. Esperamos que la respuesta te haya sido de gran ayuda."</t>
  </si>
  <si>
    <t>f4fd672c-LATAM-LP</t>
  </si>
  <si>
    <t>06/02/2026 09:15</t>
  </si>
  <si>
    <t>e81f4cbf-LATAM-LP</t>
  </si>
  <si>
    <t>06/02/2026 11:59</t>
  </si>
  <si>
    <t>Mi linecheck en B767 se vence a fines de febrero y no me lo han programado, en diciembre hubo un cambio de matrícula en mi vuelo de linecheck y se nos retiró a toda la tripulación el linecheck de ese día, informamos por este medio a capacitación y en respuesta dijeron que considerarían programarlo enero o febrero.</t>
  </si>
  <si>
    <t>65cf6e39-LATAM-LP</t>
  </si>
  <si>
    <t>07/02/2026 06:33</t>
  </si>
  <si>
    <t>395c0121-LATAM-LP</t>
  </si>
  <si>
    <t>03/02/2026 09:52</t>
  </si>
  <si>
    <t>Estimados buenos dias, ayer me mandaron un mensaje indicándome que querían cambiarme la fecha de mi apto medico para el dia 6 de febrero, pero por rol lo tengo el dia 12. quisiera ver si no seria afectado ya que el dia 6 tengo reserva y estaba esperando que me activen ese día ya que tengo pocas horas de vuelo. por mi parte no hay problema cambiar de fecha pero si el dia 12 quisiera que lo cambien como reserva para tener la oportunidad de volar.</t>
  </si>
  <si>
    <t>8a4fd545-LATAM-LP</t>
  </si>
  <si>
    <t>03/02/2026 10:34</t>
  </si>
  <si>
    <t>40b4801f-LATAM-LP</t>
  </si>
  <si>
    <t>03/02/2026 10:47</t>
  </si>
  <si>
    <t>Buenos días, Mi consulta es con respecto a las vacaciones que solicité del 1 al 15 de marzo, las cuales ya se encuentran pre publicadas. Sin embargo, solo me han confirmado del 1 al 7 de marzo. Quisiera saber si la segunda semana será confirmada más adelante o si ha habido algún inconveniente con esos días. Quedo atenta a sus comentarios. Muchas gracias.</t>
  </si>
  <si>
    <t>f87238d6-LATAM-LP</t>
  </si>
  <si>
    <t>08/02/2026 16:59</t>
  </si>
  <si>
    <t>Buenas tardes, escribo porque el 10 de marzo se cumplen 90 días desde mi último vuelo en la flota 767. Quisiera pedir que consideren un vuelo antes de esa fecha para no perder mi experiencia reciente. Espero que lo puedan considerar, gracias de antemano.</t>
  </si>
  <si>
    <t>d3ca12d9-LATAM-LP</t>
  </si>
  <si>
    <t>03/02/2026 15:37</t>
  </si>
  <si>
    <t>Me programaron la REVA para enero ( 26 al 29) sin embargo estuve con descanso médico. Debió programarse para este mes (febrero) pero no tengo ninguna programación por el IFN.</t>
  </si>
  <si>
    <t>"¡Gracias por la información! Te informamos que se estará programando tus actividades pendientes, el cual te lo notificaremos por correo. Esperamos que la respuesta te haya sido de gran ayuda."</t>
  </si>
  <si>
    <t>44b630c2-LATAM-LP</t>
  </si>
  <si>
    <t>08/02/2026 21:25</t>
  </si>
  <si>
    <t>Quisiera saber para cuando estaría programado mi verificación de competencia en A320 ya que vence el 28 de febrero, escribí el mes pasado pero aun no tengo programación, espero atentamente respuesta, gracias.</t>
  </si>
  <si>
    <t>"¡Gracias por la información! Te recordamos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Te recordamos que en Soporte SAB llevamos el control y seguimiento de tus licencias y habilitaciones, por lo que te pedimos tenerlo presente para futuras ocasiones; entendemos que puedas preocuparte cuando se acerque la fecha de vencimiento y no has sido programado, pero estamos atentos a cada caso para gestionar las renovaciones, así que solo es necesario que nos contactes si tu licencia o habilitación está a menos de 72 horas de vencer y aún no has recibido noticias. Esperamos que la respuesta te haya sido de gran ayuda."</t>
  </si>
  <si>
    <t>d6bcf627-LATAM-LP</t>
  </si>
  <si>
    <t>09/02/2026 06:57</t>
  </si>
  <si>
    <t>8afe5953-LATAM-LP</t>
  </si>
  <si>
    <t>04/02/2026 14:37</t>
  </si>
  <si>
    <t>Buenas tardes, tengo dos cursos pendientes y programados para el día de hoy 04/02 (Emergencias Generales y B767); pero en la academia corporativa no cuento con los cursos cargados; adjunto pantallazo. Gracias por su ayuda y apoyo.</t>
  </si>
  <si>
    <t>6914715c-LATAM-LP</t>
  </si>
  <si>
    <t>04/02/2026 20:41</t>
  </si>
  <si>
    <t>a9277a44-LATAM-LP</t>
  </si>
  <si>
    <t>04/02/2026 20:43</t>
  </si>
  <si>
    <t>Me sale error para realizar el examen de Emergencias generales reva 2026. No pude realizar el exámen como tal. Podrian por favor volver a aperturarlo. Solo llegue a la primera pregunta que al darle siguiente¨me salia error*. Tuve que salir de la pagina para seguir con mis otros exámenes y salió desaprobado.</t>
  </si>
  <si>
    <t>4eca4e00-LATAM-LP</t>
  </si>
  <si>
    <t>05/02/2026 09:47</t>
  </si>
  <si>
    <t>6d98b5da-LATAM-LP</t>
  </si>
  <si>
    <t>09/02/2026 07:02</t>
  </si>
  <si>
    <t>f2b97936-LATAM-LP</t>
  </si>
  <si>
    <t>06/02/2026 09:00</t>
  </si>
  <si>
    <t>Estimados. El 5 de febrero por la noche recibi un correo informandome la confirmacion y programacion de mi apto medico y EMO para el lunes 9/2/2026. Y en las consideraciones mencionan en caso tener el periodo de menstruacion o estar menos de 5 dias no se podra rendir. Quiero informar que mi periodo de menstruacion empezo el dia jueves 5 de febrero, con esto me gustaria saber si me van a reprogramar o de todas maneras asistire el lunes 9. Atenta a su respuesta. Saludos</t>
  </si>
  <si>
    <t>ebe7ddaa-LATAM-LP</t>
  </si>
  <si>
    <t>09/02/2026 18:49</t>
  </si>
  <si>
    <t>Licencia de Matrimonio : Comentarles que ya ingresé mi solicitud por licencia de Matrimonio del 13 de marzo al 17 de marzo. Asimismo, en alineación con mi CPL, solicito su apoyo para considerar mi periodo vacacional del 04al 12 de marzo y del 18 al 24 de marzo. Adjunto edicto matrimonial y link de invitación con fecha de matrimonio: https://matrimonio-ximenaygianfranco.my.canva.site/ Muchas gracias por su apoyo y gestión</t>
  </si>
  <si>
    <t>Consulta sobre otro tipo de licencia (matrimonio, etc.)</t>
  </si>
  <si>
    <t>¡Gracias por la información! Te comentamos que tenemos mapeado tu caso y se va a evaluar con tu CPL cuando se publique tu rol. Esperamos que la respuesta te haya sido de gran ayuda.</t>
  </si>
  <si>
    <t>3987539f-LATAM-LP</t>
  </si>
  <si>
    <t>10/02/2026 11:57</t>
  </si>
  <si>
    <t>Prorroga line check 28 febrero, el dia de hoy era mi line check 10 febrero y acaban de cancelar el vuelo.Queria consultar si debo esperar a otro mail para nuevo checkeo.Muchas gracias</t>
  </si>
  <si>
    <t>¡Gracias por la información! Te informamos que estamos coordinando la asignación de tu chequeo de competencia. Asimismo, te estaremos enviando a tu correo las opciones de cambio en rol para la recuperación. Esperamos que la respuesta te haya sido de gran ayuda.</t>
  </si>
  <si>
    <t>b536eb07-LATAM-LP</t>
  </si>
  <si>
    <t>10/02/2026 18:38</t>
  </si>
  <si>
    <t>Estimados buenas tardes, Hoy tenia mi Re entrenamiento en 76 y se cancelo, se reprogramara este mes? Ya que mi Licencia Chilena tiene vencimiento este 28 de Febrero, quisera saber si esto afecta de alguna manera. Muchas gracias Saludos.</t>
  </si>
  <si>
    <t>¡Gracias por la información! Te informamos que tu re entrenamiento en la flota B767 se programará para el mes de marzo. Esperamos que la respuesta te haya sido de gran ayuda.</t>
  </si>
  <si>
    <t>72f864a2-LATAM-LP</t>
  </si>
  <si>
    <t>07/02/2026 10:43</t>
  </si>
  <si>
    <t>Buenas tardes, el 28 de febrero tengo programado por rol un MIA el cual no es LCK, pero mi vencimiento es 28 de febrero. El retorno de ese mia es el 2 de marzo, mi consulta es si estoy autorizada de realizar el vuelo con mi retorno pasada mi fecha de vencimiento. Por otro lado, tengo entendido que mi chequeo será programado en marzo que es mi de prórroga, pero aún no me la mandan. Muchas gracias, quedo atenta.</t>
  </si>
  <si>
    <t>¡Gracias por la información! Te recordamos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junto con la prórroga correspondiente. Asimismo, te comentamos que en este caso no afecta tu vuelo asignado. Esperamos que la respuesta te haya sido de gran ayuda.</t>
  </si>
  <si>
    <t>be2bbd33-LATAM-LP</t>
  </si>
  <si>
    <t>08/02/2026 20:58</t>
  </si>
  <si>
    <t>Vencimiento experiencia reciente B767</t>
  </si>
  <si>
    <t>"¡Gracias por la información! Te comentamos que tenemos mapeado tu caso y se te estará considerando asignar tu reentrenamientopara marzo. Esperamos que la respuesta te haya sido de gran ayuda."</t>
  </si>
  <si>
    <t>041f65a3-LATAM-LP</t>
  </si>
  <si>
    <t>12/02/2026 08:46</t>
  </si>
  <si>
    <t>Buen día,junto con saludarlo,quería comentarle que en marzo estoy en mi prorroga para mi LCK del B767,lo cual me fijo en el PBS y me sale un ATL el cual quería saber si ese sería la nueva ruta de LCK o si se mantiene solo MIA y si me podrían ayudar con programación de ella que vengo avisando desde enero,se lo agradecería mucho!</t>
  </si>
  <si>
    <t>"¡Gracias por la información! Te comentamos que para tu verificación de competencia se mantienen los vuelos a MIA. Asimismo, comentarte que tu mes base al ser febrero, se considerará tu prórroga en marzo. Esperamos que la respuesta te haya sido de gran ayuda."</t>
  </si>
  <si>
    <t>781ca8a9-LATAM-LP</t>
  </si>
  <si>
    <t>12/02/2026 17:13</t>
  </si>
  <si>
    <t>Estimados, me es grato saludarlos. Quería confirmar la fecha de mi linecheck 767. El año pasado lo tuve en marzo y en el correo de actividades reguladores indica 30/04. Lamentablemente no encuentro la plataforma DGAC para verificar si la última fecha es correcta. Podrían indicarme si está correcta o en todo caso donde puedo confirmar la información. Muchas gracias por su ayuda .</t>
  </si>
  <si>
    <t>"¡Gracias por la información! Te informamos que su mes base para el chequeo de competencia en la flota B767 es marzo. Asimismo, te recordamos que dicho mes base np cambia, independientemente de que el chequeo se realice un mes antes o durante el mes de prórroga. Esperamos que la respuesta te haya sido de gran ayuda."</t>
  </si>
  <si>
    <t>8424324d-LATAM-LP</t>
  </si>
  <si>
    <t>15/02/2026 12:53</t>
  </si>
  <si>
    <t>Buenas tardes que recibido la notificación de que mi experiencia reciente del 767 a expirado solicito se me programe mi vuelo para el reentrenamiento, lo mas pronto posible, muchas gracias de antemano.</t>
  </si>
  <si>
    <t>"¡Gracias por la información! Te informamos que tu Qual 767 en IFN se encuentra vigente. Asimismo, te comentamos que se te ha asignado tu vuelo de experiencia reciente antes de tu fecha de vencimiento. Esperamos que la respuesta te haya sido de gran ayuda."</t>
  </si>
  <si>
    <t>ab39567d-LATAM-LP</t>
  </si>
  <si>
    <t>12/02/2026 08:31</t>
  </si>
  <si>
    <t>"¡Gracias por la información! Te comentamos que tenemos mapeado tu caso y en asignar tu experiencia reciente para la flota B767, el cual se realizará antes de tu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</si>
  <si>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331dba50-LATAM-LP</t>
  </si>
  <si>
    <t>Buenos días ! Espero que estén bien . Por favor si el mes de marzo , me podrían colocar cualquier vuelo en el 767 para no perder mi habilitación y me tengan que re entrenar . Muchas gracias por la ayuda y su tiempo . Bp 3889607 saludos , buen día ! Maricarmen pinedo</t>
  </si>
  <si>
    <t>86f26024-LATAM-LP</t>
  </si>
  <si>
    <t>12/02/2026 09:42</t>
  </si>
  <si>
    <t>Quisiera saber el motivo por el cual se me está bloqueando el día 11 de marzo en el PBS como off dutty. Necesito pedir los días 12-13 de marzo y ese día bloqueado podría afectar mis libres pedidos . Gracias</t>
  </si>
  <si>
    <t>¡Gracias por la información! Te comentamos que tu apto médico ha sido programada para el próximo 10 de marzo. Debido a esta programación, se le ha asignado el día 11 de marzo como día libre (DO). Cabe mencionar que esta fecha se ha establecido de manera previa al vencimiento de tu aptol, razón por la cual su actividad quedará bloqueada al día siguiente de la evaluación. Le recordamos que es indispensable contar con su apto médico actualizado para proceder con la renovación de su licencia chilena. Esperamos que la respuesta te haya sido de gran ayuda.</t>
  </si>
  <si>
    <t>8ae144b6-LATAM-LP</t>
  </si>
  <si>
    <t>09/02/2026 20:37</t>
  </si>
  <si>
    <t>d6648888-LATAM-LP</t>
  </si>
  <si>
    <t>12/02/2026 14:29</t>
  </si>
  <si>
    <t>Buenas tardes, quisiera que me consideraran para tener dias adicionales de vacaciones en junio, del 24 al 29 por favor. Quedo pendiente. Gracias.</t>
  </si>
  <si>
    <t>2a202025-LATAM-LP</t>
  </si>
  <si>
    <t>10/02/2026 14:20</t>
  </si>
  <si>
    <t>Buenas tardes, tenia programado ME el dia de mañana 11/2/26 lamentablemente me han extendido el DM que tenia (perforacion de timpano)hasta el 16/2/26. Les escribo por favor para que me puedan reagendar el APTO MÉDICO Y SALUD OCUPACIONAL. El vencimientode mi apto es 30/3/26. Muchas gracias.</t>
  </si>
  <si>
    <t>¡Gracias por la información! Te comentamos que tenemos mapeado tu caso, por lo que te estaremos enviando por correo la programación de tu nueva fecha de apto médico. Esperamos que la respuesta te haya sido de gran ayuda.</t>
  </si>
  <si>
    <t>c02ef0b5-LATAM-LP</t>
  </si>
  <si>
    <t>12/02/2026 14:30</t>
  </si>
  <si>
    <t>LINE CHECK 767 expira Marzo</t>
  </si>
  <si>
    <t>"¡Gracias por la información! Te informamos que, dado que tu mes base es marzo y según lo establecido en la RAP 63, esta actividad puede ser programada dentro de un período de elegibilidad que comprende 30 días antes, durante y después de tu mes base. Por lo tanto, tu verificación de competencia podrá ser agendada tanto en febrero como en abril,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</si>
  <si>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67a072ed-LATAM-LP</t>
  </si>
  <si>
    <t>11/02/2026 04:18</t>
  </si>
  <si>
    <t>Buen dia , deseo consultar acerca de mis vacaciones si estan confirmadas del 01 al 15 de marzo.de 2026. Muchas gracias</t>
  </si>
  <si>
    <t>9f9a68b2-LATAM-LP</t>
  </si>
  <si>
    <t>11/02/2026 15:03</t>
  </si>
  <si>
    <t>Buenas tardes, quería saber si es que cabría la posibilidad de mover mis vacaciones del mes de mayo solo por una semana, osea si es posible tenerlas del 24 al 31 de Mayo? Quedo atento a su respuesta y de antemano muchas gracias por su gentil ayuda.</t>
  </si>
  <si>
    <t>"¡Gracias por la información! Te informamos que para tu solicitud, lo recomendable es que realice un intercambio de vacaciones con un compañero, el cual lo debes hacerlo a través del formulario ""Pedido, Cesión e Intercambio de Vacaciones LP 2026-01"". Puedes acceder al formulario mediante el siguiente link: https://docs.google.com/forms/d/e/1FAIpQLSdmXt-iSndWo5_kb3Bithorzgp7OTZOBAa-lYgrbwGZuQBVcw/viewform Asimismo, te recordamos que la confirmación de tus vacaciones serán notificadas con 30 días de anticipación del inicio de las mismas. Esperamos que la respuesta te haya sido de gran ayuda."</t>
  </si>
  <si>
    <t>4fc06899-LATAM-LP</t>
  </si>
  <si>
    <t>11/02/2026 20:33</t>
  </si>
  <si>
    <t>"¡Gracias por la información! Te comentamos que la programación de tu apto médico se realizará antes de la fecha de vencimiento, el cual se enviará a tu correo.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</si>
  <si>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abd1e171-LATAM-LP</t>
  </si>
  <si>
    <t>12/02/2026 16:50</t>
  </si>
  <si>
    <t>Vencimiento chequeo de competencia 767</t>
  </si>
  <si>
    <t>"¡Gracias por la información! Te informamos que, dado que tu mes base es abril y según lo establecido en la RAP 63, esta actividad puede ser programada dentro de un período de elegibilidad que comprende 30 días antes, durante y después de tu mes base. Por lo tanto, tu verificación de competencia podrá ser agendada tanto en marzo como en mayo,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</si>
  <si>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70dc4d13-LATAM-LP</t>
  </si>
  <si>
    <t>14/02/2026 08:51</t>
  </si>
  <si>
    <t>14f11c25-LATAM-LP</t>
  </si>
  <si>
    <t>16/02/2026 21:15</t>
  </si>
  <si>
    <t>Buenas noches, quise rendir mi examen newsletter 1 2026, ordené todos los newsletter de octubre, noviembre y diciembre, para que sea mas ordenado estudiar y no puedo abrir ninguno de los archivos, de ninguno de los newsletter de los 3 meses, sea cual sea, siempre me sale el mismo error que adjunto. Me comentan que puedo hacer, muchas gracias.</t>
  </si>
  <si>
    <t>b87ff4dc-LATAM-LP</t>
  </si>
  <si>
    <t>14/02/2026 17:32</t>
  </si>
  <si>
    <t>LK08</t>
  </si>
  <si>
    <t>0618f871-LATAM-LP</t>
  </si>
  <si>
    <t>12/02/2026 11:34</t>
  </si>
  <si>
    <t>"¡Gracias por la información! Te comentamos que es importante que cuentes con la siguiente información: tu mes base para tu chequeo en la flota B767 es mayo y según lo establecido en la RAP 63, esta actividad puede ser programada dentro de un período de elegibilidad que comprende 30 días antes, durante y después de tu mes base. Por lo tanto, tu verificación de competencia podrá ser agendada tanto en abril como en junio, junto con la prórroga correspondiente. Es por ello que no se te podrá programar para el mes que solicites. Asimismo, solo es necesario que nos contactes si tu licencia o habilitación está a menos de 72 horas de vencer y aún no has recibido noticias. Entendemos que puedas preocuparte cuando se acerque la fecha de vencimiento, pero estamos atentos a cada caso para gestionar las renovaciones Esperamos que la respuesta te haya sido de gran ayuda."</t>
  </si>
  <si>
    <t>5a97f885-LATAM-LP</t>
  </si>
  <si>
    <t>12/02/2026 11:46</t>
  </si>
  <si>
    <t>VA99</t>
  </si>
  <si>
    <t>5e438cba-LATAM-LP</t>
  </si>
  <si>
    <t>12/02/2026 12:02</t>
  </si>
  <si>
    <t>Buenos días. Me acaba de llegar un correo indicando que me han programado vacaciones del 08/03 al 14/03 por vencimiento. Creo que es un error pues el vencimiento de mis vacaciones es el 31/12. No estoy interesada en esas fechas pues he solicitado y tengo pre publicadas en el mes de mayo</t>
  </si>
  <si>
    <t>2ec418e5-LATAM-LP</t>
  </si>
  <si>
    <t>12/02/2026 12:49</t>
  </si>
  <si>
    <t>Buenas tardes, Disculpen, quisiera informar que realicé dos solicitudes de cesión de vacaciones con diferentes compañeras. La primera fue enviada por error, ya que no verificamos que las vacaciones correspondían a un vencimiento. El día 9 de febrero ingresé una nueva solicitud con la TC Rocío Aliaga. Espero no haber generado ninguna confusión y que esta situación no afecte mi última solicitud. Para mí es muy importante poder obtener esa semana, por lo que agradecería mucho su apoyo. Muchas gracias de antemano. Saludos cordiales.</t>
  </si>
  <si>
    <t>"¡Gracias por la información! Te comentamos que según lo que informa, vamos a proceder a cancelar tus vacaciones cedidas del 16 al 22 de abril con tu compañera Mora, y vamos a evaluar tu nueva solicitud realizada el 9 de febrero con tu compañera Aliaga. Recuerda que esta se confirmará con 10 días hábiles previos al inicio de la fecha de vacaciones. Esperamos que la respuesta te haya sido de gran ayuda."</t>
  </si>
  <si>
    <t>47f1f115-LATAM-LP</t>
  </si>
  <si>
    <t>15/02/2026 20:41</t>
  </si>
  <si>
    <t>Mi consulta es por mi LCK 767 . Mi mes base es febrero y no visualizo programación este mes . He observado un bloqueo a MIA el próximo mes , agradeceré confirmar si corresponde a mi chequeo. Saludos .Gracias</t>
  </si>
  <si>
    <t>"¡Gracias por la información! Te informamos que en el mes de marzo se dará tu prórroga para la programación de tu verificación de competencia en la flota B767. Esperamos que la respuesta te haya sido de gran ayuda."</t>
  </si>
  <si>
    <t>5675c536-LATAM-LP</t>
  </si>
  <si>
    <t>17/02/2026 15:19</t>
  </si>
  <si>
    <t>d0ff6d84-LATAM-LP</t>
  </si>
  <si>
    <t>12/02/2026 15:07</t>
  </si>
  <si>
    <t>Quisiera saber si cuento con dias a vencer de vacaciones, ya q me si fuese asi me gustaria poder planearlo, soy movimiento interno, quisiera saber cuantos dias acumulados tengo, muchas gracias y a la espera de su gentil respuesta</t>
  </si>
  <si>
    <t>"¡Gracias por la información! Te comentamos que dado que ingresaste a la línea en el mes de diciembre, te corresponde una meta de 30 días de vacaciones el cual deberás gozar hasta antes de tu fecha de vencimiento (16/12/2026). Asimismo, te informamos que independiemente cuentas con 9 días acumulados de tu anterior bolsa. En caso deseas gozar vacaciones durante el primer semestre, deberás ingresarlo en el formulario de pedidos adicional de vacaciones. Puedes acceder al formulario mediante el siguiente link: https://docs.google.com/forms/d/e/1FAIpQLSdmXtiSndWo5_kb3Bithorzgp7OTZOBAalYgrbwGZuQBVcw/viewform Esperamos que la respuesta te haya sido de gran ayuda.</t>
  </si>
  <si>
    <t>b86c3116-LATAM-LP</t>
  </si>
  <si>
    <t>12/02/2026 05:50</t>
  </si>
  <si>
    <t>Buen día , veo que para marzo me han puesto un Atlanta , por qué mejor no lo cambian por un Miami así tener mi line check y experiencia reciente al mismo tiempo ,ya que el 31 de marzo es mi fecha de vencimiento de la verificación de la competencia.</t>
  </si>
  <si>
    <t>¡Gracias por la información! Te informamos que, dado que tu mes base es marzo y según lo establecido en la RAP 63, esta actividad puede ser programada dentro de un período de elegibilidad que comprende 30 días antes, durante y después de tu mes base. Por lo tanto, tu verificación de competencia podrá ser agendada tanto en febrero como en abril,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</si>
  <si>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bae44aa0-LATAM-LP</t>
  </si>
  <si>
    <t>18/02/2026 06:50</t>
  </si>
  <si>
    <t>9146da00-LATAM-LP</t>
  </si>
  <si>
    <t>13/02/2026 13:45</t>
  </si>
  <si>
    <t>Apto Medico</t>
  </si>
  <si>
    <t>AM20</t>
  </si>
  <si>
    <t>¡Gracias por la información! Te comentamos que la programación de tu apto médico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</si>
  <si>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06ea18de-LATAM-LP</t>
  </si>
  <si>
    <t>13/02/2026 13:46</t>
  </si>
  <si>
    <t>En Abril vence mi apto medico</t>
  </si>
  <si>
    <t>12c40454-LATAM-LP</t>
  </si>
  <si>
    <t>13/02/2026 19:51</t>
  </si>
  <si>
    <t>Buenas noches, informar que tengo por rol asignado RTI y en esos días tengo el examen médico ocupacional, al leer las consideraciones no me encuentro apta para pasarlo ya que me encuentro tomando medicamentos para una infección que tengo (cuento con mi receta médica) este tratamiento va a terminar el día 23 y mi examen médico es el 26, por lo cual no cumplo con la semana sin medicación que ponen en las indicaciones</t>
  </si>
  <si>
    <t>"¡Gracias por la información! Con respecto a tu EMO, dado que el plazo es de tres días, te recomendamos asistir el día 26 portando tu receta médica.Asimismo, en caso de que el médico indique alguna observación, te solicitamos ingresarla a través de consultas. Esperamos que la respuesta te haya sido de gran ayuda.</t>
  </si>
  <si>
    <t>c06dc5c4-LATAM-LP</t>
  </si>
  <si>
    <t>14/02/2026 00:26</t>
  </si>
  <si>
    <t>Quisiera confirmar cuantos dias tengo acumulados de vacaciones porfavor</t>
  </si>
  <si>
    <t>ee229d56-LATAM-LP</t>
  </si>
  <si>
    <t>15/02/2026 13:52</t>
  </si>
  <si>
    <t>baabf290-LATAM-LP</t>
  </si>
  <si>
    <t>17/02/2026 13:21</t>
  </si>
  <si>
    <t>No puedo ingresar al link de solicitudes web, me indica que las credeciales son incorrectas.</t>
  </si>
  <si>
    <t>"¡Gracias por la información! Te pedimos por favor canalizar esta información con tu CPL. Esperamos que la respuesta te haya sido de gran ayuda.</t>
  </si>
  <si>
    <t>6857143e-LATAM-LP</t>
  </si>
  <si>
    <t>19/02/2026 19:52</t>
  </si>
  <si>
    <t>No pude tener el chequeo programado para el día 16/02/2026 LA2308 debido a que el instructor no llegó por estar en un vuelo demorado. Espero recibir su pronta respuesta respecto a la reprogramación</t>
  </si>
  <si>
    <t>60998c02-LATAM-LP</t>
  </si>
  <si>
    <t>20/02/2026 04:01</t>
  </si>
  <si>
    <t>Aún no me programan line check y vence el 28 de febrero. Me llegará un correo para la extensión de la licencia por un mes de prórroga?</t>
  </si>
  <si>
    <t>"¡Gracias por la información! Te informamos que, dado que tu mes base es marzo y según lo establecido en la RAP 63, esta actividad puede ser programada dentro de un período de elegibilidad que comprende 30 días antes, durante y después de tu mes base. Por lo tanto, tu verificación de competencia podrá ser agendada tanto en febrero como en abril, junto con la prórroga correspondiente. Reforzamos la información sobre tu fecha de vencimiento, el cual es el 31/03/2026.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</si>
  <si>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f450082b-LATAM-LP</t>
  </si>
  <si>
    <t>20/02/2026 11:48</t>
  </si>
  <si>
    <t>2eb3b70d-LATAM-LP</t>
  </si>
  <si>
    <t>20/02/2026 21:14</t>
  </si>
  <si>
    <t>Actividad 25 de febrero. Me retiraron el día 25 curso de servicio (son dos días) por legalidad y cambio de rol me retiraron el.curso el primer día pero aun figura el 25 con curso. Me lo retiraran? Porque este curso son 2 días.</t>
  </si>
  <si>
    <t>cd1dfdbe-LATAM-LP</t>
  </si>
  <si>
    <t>16/02/2026 12:04</t>
  </si>
  <si>
    <t>Hola, ingrese una solicitud de cesión coni compañera Mildred Saldaña Rengifo BP 4307350 y quería saber si por favor va proceder ya que de no ser el caso poder buscar un compañero que si tenga. Muchas gracias</t>
  </si>
  <si>
    <t>"¡Gracias por la información! Te informamos que el tiempo de respuesta de las solicitudes de intercambio de vacaciones que se realizan a través del formulario es de 10 días hábiles desde que ingresó su solicitud. Esperamos que la respuesta te haya sido de gran ayuda."</t>
  </si>
  <si>
    <t>f6930590-LATAM-LP</t>
  </si>
  <si>
    <t>22/02/2026 18:37</t>
  </si>
  <si>
    <t>Estimados buenas tardes. En el Iflight me indica como si me hubieran quitado el vuelo. Ya que ahora aparece DOM. Días previos tuve REVA ( 17-18-19) y ahora también aparecen como DOM. ¿Corresponde a una falla en el sistema? ¿Aún mantengo el vuelo? Quedo atenta a sus comentarios. Muchas gracias. Yuli Magill 3708024</t>
  </si>
  <si>
    <t>"¡Gracias por la información! Te comentamos que tu rol figura como DOM debido a que estamos a la espera de tu apto para regularizar tus actividades. Asimismo, te recordamos que se te enviará tu línea de retorno actualizada a tu correo. Esperamos que la respuesta te haya sido de gran ayuda."</t>
  </si>
  <si>
    <t>6f562ea8-LATAM-LP</t>
  </si>
  <si>
    <t>21/02/2026 18:49</t>
  </si>
  <si>
    <t>Buenos tardes estimados para informarles que el día 03 de Febrero perdí mi linecheck del 767 ya que pernocte en La Paz. Hasta el momento me encuentro a la espera de su re programación. Estaré atenta a su respuesta, gracias.</t>
  </si>
  <si>
    <t>fe420f9b-LATAM-LP</t>
  </si>
  <si>
    <t>21/02/2026 19:56</t>
  </si>
  <si>
    <t>Buenas noches , porfavor verificar que tenga vuelo en flota WB . Mi última asignación fue la 2da semana de diciembre . Muchas gracias</t>
  </si>
  <si>
    <t>"¡Gracias por la información! Verificamos según tu rol que cuentas con vuelo en la flota B767 el 3/3. Esperamos que la respuesta te haya sido de gran ayuda."</t>
  </si>
  <si>
    <t>1dcb2456-LATAM-LP</t>
  </si>
  <si>
    <t>23/02/2026 16:06</t>
  </si>
  <si>
    <t>fe94428f-LATAM-LP</t>
  </si>
  <si>
    <t>23/02/2026 19:00</t>
  </si>
  <si>
    <t>Reprogramacion Chequeo en vuelo 767 tras la cancelación de mi chequeo en el mes de febrero a falta de instructor, teniendo en cuenta que le hice presente a mi jefatura para que me programen en el mes de marzo un nuevo chequeo ya que mi licencia vence el 31/03 tomando encuentra que aún tengo el mes de prórroga, porfavor considerarme lo antes posible si puede ser en alguna reserva del mes de marzo y ya para el mes de abril.</t>
  </si>
  <si>
    <t>4bb8d3d8-LATAM-LP</t>
  </si>
  <si>
    <t>18/02/2026 09:59</t>
  </si>
  <si>
    <t>Buenos dias, quisiera saber si ya estuviera lista mis licencias con la nueva habilitacion B767. Deje el formulario el pasado 04/02/26. Muchas gracias</t>
  </si>
  <si>
    <t>9e64a211-LATAM-LP</t>
  </si>
  <si>
    <t>18/02/2026 13:16</t>
  </si>
  <si>
    <t>Buenas Tardes, me gustaría tomar mis vacaciones al final de mi periodo de maternidad, mi jefatura ya esta al tanto de mi solicitud, de antemano muchas gracias por su apoyo.</t>
  </si>
  <si>
    <t>"¡Gracias por la información! Dado que te encuentras embarazada, vamos a cancelar tus vacaciones pre publicadas de junio para que estas regresen a tu bolsa. Esperamos que la respuesta te haya sido de gran ayuda."</t>
  </si>
  <si>
    <t>288c5e62-LATAM-LP</t>
  </si>
  <si>
    <t>18/02/2026 13:27</t>
  </si>
  <si>
    <t>Estimados, Les escribo para realizar una consulta respecto al Formulario 001 que me están solicitando. Hace un poco más de una semana informé que mi DNI se encuentra en trámite y que, según lo indicado por RENIEC, estaría recibiéndolo el día sábado. Sin embargo, considero que el correo que envié con esa información podría estar rebotando, por lo que lo comunico nuevamente por este medio. Quedo atenta a sus indicaciones respecto a la entrega del formulario tanto para el Apto Médico como para mi chequeo del Boeing 767. Saludos cordiales, Luciana Rodriguez Raggio</t>
  </si>
  <si>
    <t>"¡Gracias por la información! Te comentamos que debes dejar el formulario cuando actualice su DNI. Asimismo, te mencionamos que consideres que una vez actualizado el DNI debe modificar su licencia peruana para que ambas direcciones coincidan en caso no sea asi. Esperamos que la respuesta te haya sido de gran ayuda."</t>
  </si>
  <si>
    <t>253f260e-LATAM-LP</t>
  </si>
  <si>
    <t>18/02/2026 15:46</t>
  </si>
  <si>
    <t>buenas tardes segun este esquema, aunque pertenezco a SAB actualmente no pertenezco al area operativa. Es posible saber desde ya si las vacaciones de los bloques 4 y 5 (16/03/2026 - 31/03/2026) se van a dar en las fecha prepublicadas? muchas gracias</t>
  </si>
  <si>
    <t>"¡Gracias por la información! Te comentamos que debido a que vienes de DMP, se ha evaluado nuevamente tu bolsa de vacaciones con el equipo de RRHH, por lo tanto se te ha actualizado las fechas de tus vacaciones pre publicadas del primer semestre tal como se muestra en el correo enviado el 14 de enero. Esperamos que la respuesta te haya sido de gran ayuda."</t>
  </si>
  <si>
    <t>c31d3e73-LATAM-LP</t>
  </si>
  <si>
    <t>19/02/2026 19:31</t>
  </si>
  <si>
    <t>Pido por favor me reprogramen mi APTO médico pues estoy con descanso médico por intervención quirúrgica</t>
  </si>
  <si>
    <t>1b217bc1-LATAM-LP</t>
  </si>
  <si>
    <t>19/02/2026 19:32</t>
  </si>
  <si>
    <t>a92a8fcc-LATAM-LP</t>
  </si>
  <si>
    <t>23/02/2026 19:55</t>
  </si>
  <si>
    <t>Perdi mi habilitación en Airbus. Necesito por favor programar mi reentrenamiento y recalificación para la flota mencionada..</t>
  </si>
  <si>
    <t>"¡Gracias por la información! Te informamos que estamos coordinando la asignación de tu reentrenamiento y recalificación, en base a la disponibilidad de los instructores y la holgura operativa. Asimismo, te estaremos notificando por correo sobre esta asignación. Esperamos que la respuesta te haya sido de gran ayuda."</t>
  </si>
  <si>
    <t>0c5fdac0-LATAM-LP</t>
  </si>
  <si>
    <t>24/02/2026 06:42</t>
  </si>
  <si>
    <t>Estimados: Buen dia , les escribo porque mi chequeo de competencia de b767 vence en marzo y tengo un vuelo programado el dia 10 de marzo donde observo que tenemos instructora Jennifer Acurio pero no estoy figurando en la página como LCKT , lo que si observe de mis compañeros del vuelo, me podria confirmar lo de mi chequeo ya que es el único vuelo programado del mes en B767, muchas gracias!</t>
  </si>
  <si>
    <t>"¡Gracias por la información! Te informamos que, dado que tu mes base para la flota B767 es junio y según lo establecido en la RAP 63, esta actividad puede ser programada dentro de un período de elegibilidad que comprende 30 días antes, durante y después de tu mes base. Por lo tanto, tu verificación de competencia podrá ser agendada tanto en mayo como en julio,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</si>
  <si>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f76c0e8e-LATAM-LP</t>
  </si>
  <si>
    <t>20/02/2026 05:56</t>
  </si>
  <si>
    <t>Hola, hice un cambio de vacaciones para el mes de Abril. Recibí un correo indicando que tengo vacaciones en marzo por vencimiento (no publicadas) Entiendo que aún es pronto para confirmar las de Abril pero mas que consulta es un pedido para que puedan priorizar las vacaciones de Abril, tengo un evento importante que con libres no logro cubrir, por eso solicite el cambio. Mil gracias!</t>
  </si>
  <si>
    <t>"¡Gracias por la información! Te comentamos que el 16 de diciembre se envió a tu correo con copia a tu compañero informando que ha procedido el intercambio de vacaciones en las fechas solicitadas. Asimismo, es importante destacar que la confirmación por bloque se realiza con 30 días de anticipación. Esperamos que la respuesta te haya sido de gran ayuda."</t>
  </si>
  <si>
    <t>9349987d-LATAM-LP</t>
  </si>
  <si>
    <t>25/02/2026 17:44</t>
  </si>
  <si>
    <t>3ef57e81-LATAM-LP</t>
  </si>
  <si>
    <t>20/02/2026 13:08</t>
  </si>
  <si>
    <t>Buenas tardes, hoy me llegó el correo del procedimiento para bajada a tierra por natalidad y me informan que en la brevedad posible debo cargar los trámites de NO APTO . Recién tendré cita con mi ginecólogo el 25 de este mes pues mi tiempo de embarazo es de 3 semanas y 5 días aproximadamente,un embarazo muy temprano . Tendré más información sobre el embarazo el día 25 de este mes.A partir de ese día podría hacer el trámite.Quedo atenta ante cualquier información adicional.</t>
  </si>
  <si>
    <t>"¡Gracias por la información! Estaremos atentos con el envío de su documento. Esperamos que la respuesta te haya sido de gran ayuda."</t>
  </si>
  <si>
    <t>e1c772d2-LATAM-LP</t>
  </si>
  <si>
    <t>20/02/2026 13:39</t>
  </si>
  <si>
    <t>Buenas tardes estimados, el día lunes 16 tenía programada el mi primer día de reva y empezaba con la academia corporativa para hacer los cursos de primeros auxilios MMPP Y seguridad de la aviación, pero tuve descanso médico, la pregunta es si para el mes de marzo van a programar ese día que me faltó de reva o ya no es necesario? Porque esos cursos ya los hice en mis libres y los aprobé. Espero no sea necesario. Gracias</t>
  </si>
  <si>
    <t>"¡Gracias por la información! Te comentamos que tenemos mapeado tu caso y el 27 de marzo se agendará tu día pendiente. Esperamos que la respuesta te haya sido de gran ayuda."</t>
  </si>
  <si>
    <t>7ec3785e-LATAM-LP</t>
  </si>
  <si>
    <t>20/02/2026 15:45</t>
  </si>
  <si>
    <t>Buenas tardes, quisiera saber cuántos días de vacaciones tengo hasta la fecha ya que tengo acumuladas del año pasado y si es factible solicitar salir en el mes de mayo</t>
  </si>
  <si>
    <t>"¡Gracias por la información! Te comentamos que cuentas con 31 días de vacaciones por gozar hasta antes del 01/12/26. Te informamos que, para solicitar vacaciones adicionales debes hacerlo a través del formulario "Pedido, Cesión e Intercambio de Vacaciones LP 2026-01". Puedes acceder al formulario mediante el siguiente link: https://docs.google.com/forms/d/e/1FAIpQLSdmXt-iSndWo5_kb3Bithorzgp7OTZOBAa-lYgrbwGZuQBVcw/viewform Asimismo, te recordamos que la confirmación de tus vacaciones serán notificadas con 30 días de anticipación del inicio de las mismas. Esperamos que la respuesta te haya sido de gran ayuda."</t>
  </si>
  <si>
    <t>5d779f5a-LATAM-LP</t>
  </si>
  <si>
    <t>25/02/2026 20:27</t>
  </si>
  <si>
    <t>Estimados, junto con saludarlos, si me podrían ayudar en la medida de lo mas pronto posible con la programación de recuperación de la verificación de competencia en B-767. Entiendo que el proceso se pueda demorar por la disponibilidad de fechas, agradezco de antemano sus ayuda.</t>
  </si>
  <si>
    <t>"¡Gracias por la información! Te comentamos que tenemos mapeado tu caso y se te programará en base a la disponibilidad de los instructores y la holgura operativa. Esperamos que la respuesta te haya sido de gran ayuda."</t>
  </si>
  <si>
    <t>70632389-LATAM-LP</t>
  </si>
  <si>
    <t>20/02/2026 21:46</t>
  </si>
  <si>
    <t>Buenas noches, quisiera saber si mi programación de Reva sigue estando vigente ya que en mi Iflight puede ver que solo tengo 3 días de RTI cuando deberían ser 4</t>
  </si>
  <si>
    <t>5c8d0741-LATAM-LP</t>
  </si>
  <si>
    <t>25/02/2026 23:09</t>
  </si>
  <si>
    <t>El dia 10 tenia chequeo en linea en Boeing sin embargo la instructora no se presento por lo que lo perdi , segun el correo que llego en el mes de diciembre tengo hasta el 30 de marzo para que se me chequee ,quisiera saber cual es el procedimiento ya que en marzo no se me programo? Mil gracias</t>
  </si>
  <si>
    <t>0c9bfc48-LATAM-LP</t>
  </si>
  <si>
    <t>23/02/2026 16:07</t>
  </si>
  <si>
    <t>Buenas tardes estimados para comentarles que llene el formulario en enero para proteger mi rol en abril, no he tenido una respuesta aún podrían indicarme si todo está bien y mi rol estaría protegido. Muchas gracias</t>
  </si>
  <si>
    <t>"¡Gracias por la información! Te comentamos que no hemos encontrado ninguna observación y se enviará la información con la aprobación durante las próximas semanas. Esperamos que la respuesta te haya sido de gran ayuda."</t>
  </si>
  <si>
    <t>d58981e0-LATAM-LP</t>
  </si>
  <si>
    <t>24/02/2026 13:01</t>
  </si>
  <si>
    <t>Buenas tardes, pedi en el pbs con prioridad 100 cualquier vuelo a Miami xq tengo que volar el 76 en Marzo si o si, mi ultmo vuelo ahi fue el 3 de enero, tengo para volarlo hasta el 3 de abril pero yo salgo de vacaciones del 1 al 15 de abril. Al salir el rol veo que si me dieron Miami pero voy de pax y regreso operando un habana lima en airbus , es decir ese miami no lo opero . Xfavor si me pueden tener en prioridad para alguna activacion en ese avion. Mil gracias</t>
  </si>
  <si>
    <t>"¡Gracias por la información! Te comentamos que tenemos mapeado en asignarte un vuelo en tu experiencia reciente. Te informamos que se va a gestionar tu caso con el equipo de roles para asignarte un vuelo en dicha flota antes de tu vencimiento. Asimismo, te contactaremos por correo electrónico si surge una opción que implique cambios en tu rol. Esperamos que la respuesta te haya sido de gran ayuda.</t>
  </si>
  <si>
    <t>b82c182c-LATAM-LP</t>
  </si>
  <si>
    <t>23/02/2026 08:00</t>
  </si>
  <si>
    <t>¡Gracias por la información! Te informamos que el pago comprendió los siguientes Bonos. ENERO Bono Cumplimiento de Rol: 15% de tu remuneración básica. Esto se debe a que tuvo un total de 2 días de descanso médico en enero. Bono Demora: 3.12 hrs, lo que equivale S/ 116.38 Bono Operación NB: S/. 102.93. DICIEMBRE Bono Cumplimiento de Rol: 20% de tu remuneración básica, el cual equivale a S/ 232.40. Bono Demora: 1.28 hrs, lo que equivale S/ 47.74 Bono Operación NB: S/. 265.62. En caso desees consultar por este bono, debes comunicarte con Osmar Neves. Es importante resaltar que la información del párrafo 1 corresponde a lo efectuado al mes de enero (pago de febrero), mientras que en el párrafo 2 corresponde a lo efectuado en diciembre (pago en enero). Esperamos que la respuesta te haya sido de gran ayuda."</t>
  </si>
  <si>
    <t>468c4ab8-LATAM-LP</t>
  </si>
  <si>
    <t>23/02/2026 13:56</t>
  </si>
  <si>
    <t>0d4c50f8-LATAM-LP</t>
  </si>
  <si>
    <t>23/02/2026 16:16</t>
  </si>
  <si>
    <t>Buenas tardes, Espero se encuentren muy bien. Me comunico con ustedes para consultar sobre la programación del examen médico que tengo asignado para el día 13 de marzo. Quisiera confirmar si corresponde al examen médico ocupacional o si se trata del apto médico. Agradeceré mucho su confirmación para poder organizarme adecuadamente. Quedo atenta a su respuesta. Muchas gracias de antemano. Mónica Castillo Cardenas</t>
  </si>
  <si>
    <t>AM10</t>
  </si>
  <si>
    <t>¡Gracias por la información! El 13/03 te corresponde tu Apto Médico + Exámen Médico Ocupacional en la clínica Del Trabajador. Esperamos que la respuesta te haya sido de gran ayuda.</t>
  </si>
  <si>
    <t>21eba5b3-LATAM-LP</t>
  </si>
  <si>
    <t>23/02/2026 16:05</t>
  </si>
  <si>
    <t>Buenas tardes estimados yo llene el formulario para solicitar vacaciones del 1 de abril al 7 de abril por días que tenía por vencer pero no he tenido una respuesta hasta el momento, podrían ayudarme brindando información sobre mi solicitud</t>
  </si>
  <si>
    <t>"¡Gracias por la información! Te comentamos que el tiempo de respuesta para su solicitud es de 15 días de anticipación al inicio del mes del disfrute. Esperamos que la respuesta te haya sido de gran ayuda."</t>
  </si>
  <si>
    <t>a3eccc56-LATAM-LP</t>
  </si>
  <si>
    <t>23/02/2026 16:01</t>
  </si>
  <si>
    <t>APTO MEDICO. por favor mi APTO VENCE EL 31/03 y no me han programaso ME, mucho les agradeceréme ayuden para no vencerme. He tenido DM largo en Febreroy tengo muy pocas horas (37h) De ser posible les agradeceria me puedan programar ME, en alguna HSB por favor para no perder mas horas. Quedo atenta a sus indicadores. Gracias mil!.</t>
  </si>
  <si>
    <t>¡Gracias por la información! El 04/03 te corresponde tu Apto Médico + Exámen Médico Ocupacional en la clínica de los Andes. Esperamos que la respuesta te haya sido de gran ayuda.</t>
  </si>
  <si>
    <t>55fa4fbd-LATAM-LP</t>
  </si>
  <si>
    <t>24/02/2026 19:59</t>
  </si>
  <si>
    <t>Buenas Noches: Verificando mi rol de marzo tengo 2 días de vuelo como HR ( día 12 y 28) sin embargo yo no firmé la adenda de HR. Por favor, Verificarlo, para hacer las modificaciones correspondientes. Gracias.</t>
  </si>
  <si>
    <t>RO06</t>
  </si>
  <si>
    <t>"¡Gracias por la información! Te comentamos que tu rol ya se encuentra con la vista actualizada correctamente. Esperamos que la respuesta te haya sido de gran ayuda."</t>
  </si>
  <si>
    <t>3e241e9f-LATAM-LP</t>
  </si>
  <si>
    <t>25/02/2026 09:31</t>
  </si>
  <si>
    <t>Buenos días. Solicito ayuda con mi rol de marzo ya que tengo un vuelo a Miami con reentrenamiento, luego un vuelo a JFK operando y luego de ese vuelo tengo otro Miami como CST ya que yo el año pasado por DM prologando perdí mi habilitación y creo que perdí mi linechek. Quiero saber si estoy legal para operar ese JFK que tengo en medio. Mi bp es 4238020</t>
  </si>
  <si>
    <t>"¡Gracias por la información! Te comentamos que tus vuelos de reentranmiento y recalificación se mantendrán. En cuanto al vuelo a JFK, este se retirará de tu rol. ¡Agradecemos mucho tu colaboración y esperamos que la respuesta te haya sido de gran ayuda."</t>
  </si>
  <si>
    <t>c61843ce-LATAM-LP</t>
  </si>
  <si>
    <t>24/02/2026 11:33</t>
  </si>
  <si>
    <t>Buenos días. Este mes de Marzo tengo revalidación de seguridad. Pero adicional a eso me han asignado un ME adicional y me han puesto OFF unos días. Me podrían indicar a qué se debe ? Porque dentro de mis días de reva ya tengo un examen médico. Gracias</t>
  </si>
  <si>
    <t>"¡Gracias por la información! Te comentamos que tu OOF en tu rol, según las normas, al cumplir 40 años se debe renovar tu apto médico y dichos días de OOF son para hacer el trámite y emitir el nuevo documento antes de su siguiente asignación. Esperamos que la respuesta te haya sido de gran ayuda."</t>
  </si>
  <si>
    <t>2592acde-LATAM-LP</t>
  </si>
  <si>
    <t>23/02/2026 19:19</t>
  </si>
  <si>
    <t>Vencimiento de licencia Chilena 31/03/26. Queria saber si me tienen que programar REVA en el mes de marzo o la licencia se renueva en automatico.</t>
  </si>
  <si>
    <t>"¡Gracias por la información! Te comentamos que la gestión de tu licencia chilena se realizará antes de la fecha de vencimiento. Asimismo, te informamos que, dado que tu mes base es mayo y según lo establecido en la RAP 63, esta actividad puede ser programada dentro de un período de elegibilidad que comprende 30 días antes, durante y después de tu mes base. Por lo tanto, tu curso de revalidación de seguridad podrá ser agendada tanto en abril como en junio,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</si>
  <si>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52c053e3-LATAM-LP</t>
  </si>
  <si>
    <t>26/02/2026 06:16</t>
  </si>
  <si>
    <t>Buenos días, tenía programado Line check el dia de hoy 26 de Febrero en vuelo 2119, debido a mantenimiento en vuelo anterior , nos quitaron el vuelo. Tenerlo en consideración para programacion de Marzo ya que mi vencimiento es el 31/03 . Muchas gracias</t>
  </si>
  <si>
    <t>"¡Gracias por la información! Te informamos que, dado que tu mes base es marzo y según lo establecido en la RAP 63, esta actividad puede ser programada dentro de un período de elegibilidad que comprende 30 días antes, durante y después de tu mes base. Por lo tanto, tu verificación de competencia podrá ser agendada tanto en febrero como en abril, junto con la prórroga correspondiente.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</si>
  <si>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378a0849-LATAM-LP</t>
  </si>
  <si>
    <t>26/02/2026 06:17</t>
  </si>
  <si>
    <t>Buen día, el día de hoy 26/02/26, tenia linecheck en el vuelo LA 2119. Debido a mantto no programado en vuelo anterior, mi vuelo de linecheck fue retirado. Por favor considerar su reprogramacion en marzo, ya que vence a finales de ese mes. Gracias de antemano</t>
  </si>
  <si>
    <t>013204a3-LATAM-LP</t>
  </si>
  <si>
    <t>26/02/2026 06:19</t>
  </si>
  <si>
    <t>Buenos días, el día de hoy 26 de febrero tenia linecheck en el vuelo la2119, sin embargo, debido a mantenimiento en el vuelo previo la2131 que está demorado, no quitaron dicha evaluación, solicito su apoyo para la programación en marzo ya que vence el 31 de marzo</t>
  </si>
  <si>
    <t>07e683ec-LATAM-LP</t>
  </si>
  <si>
    <t>26/02/2026 06:23</t>
  </si>
  <si>
    <t>Buenos días para informar que acabamos de perder el line check de la flota airbus programado para el vuelo LA2119, por lo que esperamos consideración pqra reprogramación en el mes de marzo, quedo atento. Saludos.</t>
  </si>
  <si>
    <t>8f27a363-LATAM-LP</t>
  </si>
  <si>
    <t>24/02/2026 14:16</t>
  </si>
  <si>
    <t>Hace algunos meses reporté que en el link de academia corporativa aparecen unos cursos obligatorios pendientes x hacer, estos cursos los realize antes que vencieran en marzo 2025 por favor solicito que lo revisen y retiren</t>
  </si>
  <si>
    <t>"¡Gracias por la información! Te comentamos que para errores de plataforma o problemas con la interfaz, lo debes gestionar a través de la academia LATAM Esperamos que la respuesta te haya sido de gran ayuda."</t>
  </si>
  <si>
    <t>6618dd9f-LATAM-LP</t>
  </si>
  <si>
    <t>24/02/2026 16:27</t>
  </si>
  <si>
    <t>buenas tardes, segun prepublicacion, son las dos primeras semans de abril. Del 1/04 al 15/04, so,lo se me ha confirmado la primera semana, por favor necesito tambien la confirmacion de la segunda semana de vacaciones (08/04 al 15/04) ya que mi familia radica en europa. gracias</t>
  </si>
  <si>
    <t>c2066d5a-LATAM-LP</t>
  </si>
  <si>
    <t>24/02/2026 17:30</t>
  </si>
  <si>
    <t>Mi apto medico vence el 31/03/2026 y en mi rol de febrero y el de marzo no se ha programado mi apto medico por rol. Por favor considerar el realizar el apto medico en marzo para evitar prblemas por vencieminto</t>
  </si>
  <si>
    <t>"¡Gracias por la información! Te comentamos que el 13/03 cuentas con Apto Médico + Exámen Médico Ocupacional Esperamos que la respuesta te haya sido de gran ayuda."</t>
  </si>
  <si>
    <t>44c64e0e-LATAM-LP</t>
  </si>
  <si>
    <t>24/02/2026 18:16</t>
  </si>
  <si>
    <t>Buenas tardes quisiera consultar sobre el monto que recibi en mi tarjeta edenred en este mes de febrero el cual fue de 316, considerando que en enero solo sali de vacaciones 1 semana y no tuve descanso medico, quisiera solicitar que verifiquen que el monto es correcto ya que me parece que es muy bajo.</t>
  </si>
  <si>
    <t>Consulta sobre efecto de DM u otras ausencias en el abono</t>
  </si>
  <si>
    <t>¡Gracias por la información! Te informamos que el pago comprendió los siguientes Bonos. Bono Cumplimiento de Rol: 20% de tu remuneración básica, el cual equivale a S/ 232.40 Bono Operación NB: S/. 84.35. Esperamos que la respuesta te haya sido de gran ayuda."</t>
  </si>
  <si>
    <t>2b76aa28-LATAM-LP</t>
  </si>
  <si>
    <t>26/02/2026 09:51</t>
  </si>
  <si>
    <t>Estimados buenos días, me están llegando correos no destinados para mi, creo que están confundiéndose con una compañera Marcia Celi sin S al final, mi apellido es Celis, podrían por favor revisarlo o porque están generando confusión en mi, yo tengo Reva del 9-12 donde el 9 debería ser mi Examen Médico, pero me están llegando correo de Hola Marcia como si fuera otra persona y ella tiene otras fechas. Adicional a ello en el correo de información sobre el curso están poniendo fecha 8 que es domingo, cuando debería ser fecha 9</t>
  </si>
  <si>
    <t>1f7e7177-LATAM-LP</t>
  </si>
  <si>
    <t>24/02/2026 23:43</t>
  </si>
  <si>
    <t>aff44d2f-LATAM-LP</t>
  </si>
  <si>
    <t>26/02/2026 10:30</t>
  </si>
  <si>
    <t>b69a46a4-LATAM-LP</t>
  </si>
  <si>
    <t>25/02/2026 17:57</t>
  </si>
  <si>
    <t>957a2f78-LATAM-LP</t>
  </si>
  <si>
    <t>25/02/2026 17:59</t>
  </si>
  <si>
    <t>estos cursos emergencia,avsec, pauxiios,mmpp, del 2025 figuran vencidos con si no estuvieran realizados estos cursos los realicé el año pasado en la fecha que me mandaron para la reva pero todavía figuran en mi plataforma de academia corporativa pido por favor q me ayuden a retirarlo me crea confusión y espero que no figure como falta en mi legajo hace bastante tiempo escribí comentando lo mismo pero sigue figurando adjunto foto</t>
  </si>
  <si>
    <t>10bedad6-LATAM-LP</t>
  </si>
  <si>
    <t>26/02/2026 12:48</t>
  </si>
  <si>
    <t>"¡Gracias por la información! Te comentamos que tenemos mapeado tu caso y la asignación de tu último vuelo para la flota B767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</si>
  <si>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3ae249c5-LATAM-LP</t>
  </si>
  <si>
    <t>25/02/2026 19:13</t>
  </si>
  <si>
    <t>Buenas Noches, el 4 de Febrero hice una solicitud de pedido adicional de vacaciones para los días 22 al 29 de Abril. Quería saber si ya tienen respuesta o cuando podría saber para poder planificar? Gracias Ana Cristina Miro Quesada</t>
  </si>
  <si>
    <t>"¡Gracias por la información! Te comentamos que nos encontramos evaluando las solicitudes,. Asimismo, mencionarte que el tiempo de respuesta es de 15 días de anticipación al inicio del mes de disfrute. Esperamos que la respuesta te haya sido de gran ayuda."</t>
  </si>
  <si>
    <t>7d9c3505-LATAM-LP</t>
  </si>
  <si>
    <t>02/03/2026 16:01</t>
  </si>
  <si>
    <t>Buenas tardes, les avisaba por este formato que tengo descanso médico hasta el día 6 de marzo, por ende no podré realizar mi vuelo de verificación de competencia que tenía asignado. Quedaría atenta a la re programación del mismo.</t>
  </si>
  <si>
    <t>"¡Gracias por la información! Te informamos que, dado que tu mes base es abril y según lo establecido en la RAP 63, esta actividad puede ser programada dentro de un período de elegibilidad que comprende 30 días antes, durante y después de tu mes base. Por lo tanto, tu verificación de competencia podrá ser agendada tanto en marzo como en mayo, junto con la prórroga correspondiente. Te comentamos además que,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</si>
  <si>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09f64f70-LATAM-LP</t>
  </si>
  <si>
    <t>02/03/2026 22:53</t>
  </si>
  <si>
    <t>El dia de ayer domingo 1 de marzo realicé el control de lectura y ocurrió lo siguiente: Desde una tablet ingresé al portal de cursos y no me figuraba el curso, entonces decidi ingresar desde mi OD y sí pude abrir el curso. Entonces empecé a hacerlo y en la pregunta #2 se me congeló la pagina y procedí a actualizarla pero no funcionó. Entonces volví a coger la tablet y esta vez sí pude acceder al curso desde la tablet pero al momento de abrir nuevamente.el curso me salió un aviso indicando que habia desaprobado el exámen con 20% (porque claramente no habia hecho las 8 preguntas restantes). Luego de eso me tocó volver a hacer el examen y saque 100. A pesar de de haber sacado 100 en el 2do intento me queda la preocupación que esa prrimera nota desaprobada injustamente me perjudique en mi desempeño y legajo por lo mismo que el motivo puntual fue por la falla de la conexión y el sistema lo tomó como si hubiese desaprobado realmente. Por ello agradeceré puedan verificar y en caso necesiten mas evidencias, cuento con los pantallasos de la 1ra y 2da nota y ademas el pantallaso inicial donde no me figuraba el exámen. Muchas gracias por el apoyo.</t>
  </si>
  <si>
    <t>7ca80b43-LATAM-LP</t>
  </si>
  <si>
    <t>26/02/2026 01:37</t>
  </si>
  <si>
    <t>Consulta Fecha REVA</t>
  </si>
  <si>
    <t>"""¡Gracias por la información! Te comentamos que tienes programado RTI del 9 al 12 de marzo. Esperamos que la respuesta te haya sido de gran ayuda."""</t>
  </si>
  <si>
    <t>0c88cf32-LATAM-LP</t>
  </si>
  <si>
    <t>26/02/2026 04:55</t>
  </si>
  <si>
    <t>Buenos días, me han programado el apto médico el 9 de marzo y ese día llego de volar, no puedo estar en ayunas y llegaría muy tarde. El día que me habían puesto era el 10 de marzo como libreY lo otro es que me lo han puesto en clínica del trabajador y siempre lo paso en clínica Los Andes, porque ahiya tienen toda mi historia clínica por una pastilla que tomo a diario y siempre les llevo mi informe médico.</t>
  </si>
  <si>
    <t>¡Gracias por la información! Te comentamos que realizaremos el cambio respectivo, en cuanto recibamos la confirmación te lo estaremos notificando mediante un correo. Esperamos que la respuesta te haya sido de gran ayuda.</t>
  </si>
  <si>
    <t>67b12648-LATAM-LP</t>
  </si>
  <si>
    <t>26/02/2026 06:04</t>
  </si>
  <si>
    <t>66174a38-LATAM-LP</t>
  </si>
  <si>
    <t>02/03/2026 22:56</t>
  </si>
  <si>
    <t>"¡Gracias por la información! El 13/03 tienes asignado vuelo de experiencia reciente. Asimismo, reforzamos la información en cuanto a tu mes base, el cual es en el mes de abril y según lo establecido en la RAP 63, esta actividad puede ser programada dentro de un período de elegibilidad que comprende 30 días antes, durante y después de tu mes base. Por lo tanto, tu verificación de competencia en la flota B767 podrá ser agendada tanto en marzo como en mayo, junto con la prórroga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</si>
  <si>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ae99e06c-LATAM-LP</t>
  </si>
  <si>
    <t>02/03/2026 10:26</t>
  </si>
  <si>
    <t>Buenos dias la presente es para informar que en mi app IFN me figura el mensaje "crew without passport" esto apareció un día después de que me respondieran el correo indicándome que se había actualizado mi nuevo pasaporte en el sistema. Para complementar la información, en la parte de documentos de IFN si figura la nueva fecha de mi pasaporte. Solicito su apoyo por favor. A su vez quisiera saber si la documentación está correctamente actualizada, ya que este es mi segundo mes de protección y ya cuenta con los documentos para volar 767. Quedo atento a sus comentarios y muchas gracias por la atención.</t>
  </si>
  <si>
    <t>¡Gracias por la información! Te comentamos que se está retirando el status, por lo que tus datos del nuevo pasaporte son los siguientes : 125727911 // PE 16-Feb-2026 // 16-Feb-2036 Esperamos que la respuesta te haya sido de gran ayuda.</t>
  </si>
  <si>
    <t>76d75bc7-LATAM-LP</t>
  </si>
  <si>
    <t>04/03/2026 12:32</t>
  </si>
  <si>
    <t>Buenos días! , mi último vuelo en 767 fue en enero , el 14 de enero, en febrero y marzo no tengo 767 por rol, por favor tenerlo en cuenta , para que me pongan vuelo en 767 en abril , antes del 14 para no perder mi habilitación en esa flota , muchas gracias!</t>
  </si>
  <si>
    <t>fdc2c54a-LATAM-LP</t>
  </si>
  <si>
    <t>28/02/2026 20:02</t>
  </si>
  <si>
    <t>72e862a0-LATAM-LP</t>
  </si>
  <si>
    <t>26/02/2026 09:34</t>
  </si>
  <si>
    <t>Estimados buenos dias, tengo por rol reva del 9-12 , me ha llegado un correo del 8-11 y que mi examen médico es el día 8, dia que tengo libre, podrían verificar tal vez hubo un error en las fechas enviadas, gracias</t>
  </si>
  <si>
    <t>"¡Gracias por la información! Te comentamos que ya se encuentra corregido la fecha correcta para tu apto médico y los días de RTI, los cuales fueron enviados previamente a tu correo. Esperamos que la respuesta te haya sido de gran ayuda."</t>
  </si>
  <si>
    <t>fa98e187-LATAM-LP</t>
  </si>
  <si>
    <t>06/03/2026 09:49</t>
  </si>
  <si>
    <t>Una de las preguntas del examen. Vino con duplicidad de respuesta . La.pregunta era cuanto tiempo antes debo avisar sobre la renovación de pasaporte , y en las 3 respuesta a marcar dos se repiten. Las.doa dicen 2 meses que es la.oñcion correcta pero saque 90 , marcando correctamente todas las preguntas ya que todas fueron buscadas y encontradas en los documentos del newsletter lo qje me hace pensar que esa pregunta es la que esta mal.valorafa pero si fue marcada la.opción correcta. Por favor revisarlo . Mi ID es 01013506. ( este error ya ha pasado en newspetter anteriores )</t>
  </si>
  <si>
    <t>"¡Gracias por tu mensaje!. Te recordamos que las consultas sobre errores de plataforma, notas o problemas con la interfaz deben ser gestionadas a través del canal de Soporte de Academia LATAM. Además, durante las evaluaciones es importante seguir los lineamientos indicados para evitar posibles errores. Puedes acceder al formulario mediante el siguiente link: https://sites.google.com/latam.com/sscap-ssc/soporte-academia-corporativa Esperamos que la respuesta te haya sido de gran ayuda."</t>
  </si>
  <si>
    <t>c53039b1-LATAM-LP</t>
  </si>
  <si>
    <t>04/03/2026 22:29</t>
  </si>
  <si>
    <t>Estoy en mi mes de prórroga, hoy tenía agendado mi verificación de competencia sin embargo este fue cancelado.</t>
  </si>
  <si>
    <t>¡Gracias por tu mensaje!. Te comentamos que realizamos las gestiones correspondientes para la asignación de tu verificación de competencia, el cual se envió a su correo la programación para el 18/03. Esperamos que la respuesta te haya sido de gran ayuda.</t>
  </si>
  <si>
    <t>68fa5125-LATAM-LP</t>
  </si>
  <si>
    <t>04/03/2026 11:18</t>
  </si>
  <si>
    <t>03a1add5-LATAM-LP</t>
  </si>
  <si>
    <t>26/02/2026 15:01</t>
  </si>
  <si>
    <t>Buenas tardes. Escribo para saber si ya esta disponible mi licencia peruana con la nueva habilitacion. Ya recibi la chilena.</t>
  </si>
  <si>
    <t>Trámite de otro documento (fotocheck, licencia peruana, DNI)</t>
  </si>
  <si>
    <t>daf05698-LATAM-LP</t>
  </si>
  <si>
    <t>26/02/2026 15:50</t>
  </si>
  <si>
    <t>Buenas tardes, ya me cambiaron la fecha del apto médico, pero me sigue figurando en Clínica del trabajador, pero yo lo paso en clínica Los Andes porque ahí ya tienen mi historia médica por un medicamento que tomo a diario y le llevo mi informe médico al doctor. Quería saber si se podía cambiar de clínica?</t>
  </si>
  <si>
    <t>"¡Gracias por la información! Te comentamos que te corresponde realizar tu apto médico en la Clínica de Los Andes. Esperamos que la respuesta te haya sido de gran ayuda."</t>
  </si>
  <si>
    <t>72d68979-LATAM-LP</t>
  </si>
  <si>
    <t>27/02/2026 10:59</t>
  </si>
  <si>
    <t>Me enviaron 2 correos con confirmacion de vacaciones para Marzo en 2 bloques del 01 al 10 y del 14 al 24 pero en mi rol salgo como fuera de vuelo deseo saber como quedaria mi rol para Marzo</t>
  </si>
  <si>
    <t>"¡Gracias por la información! Te comentamos que tu rol se encuentra actualizado con tus vacaciones asignados por vencimiento. Esperamos que la respuesta te haya sido de gran ayuda."</t>
  </si>
  <si>
    <t>90d8aee4-LATAM-LP</t>
  </si>
  <si>
    <t>27/02/2026 11:43</t>
  </si>
  <si>
    <t>Buenos días tengo programado para el 10 de marzo la renovación de mi apto, pero me lo han programado en la clínica del trabajador y yo lo paso en clínica Los Andes porque tengo una dispensa y en un inicio pasé junta médica en esa misma clínica y siempre me piden el informe médico de mi doctor tratante y ya tengo una historia clínica ahí. Agradecería si me pudiera cambiar a clínica Los Andes. Gracias</t>
  </si>
  <si>
    <t>f28a18ac-LATAM-LP</t>
  </si>
  <si>
    <t>27/02/2026 14:42</t>
  </si>
  <si>
    <t>Buenas tardes, les escribo para consultar acerca de mi Reva la que tenía programada del 24 al 27 de febrero sin embargo saliendo del examen médico chocaron mi taxi y me dieron descanso médico por 7 días perdiendo los días de la Reva. Quisiera saber cómo puedo recuperar eso dias para no vencerme. Gracias de antemano. Mi bp es 4023910</t>
  </si>
  <si>
    <t>"¡Gracias por la información! Te informamos que, dado que tu mes base es marzo y según lo establecido en la RAP 63, esta actividad puede ser programada dentro de un período de elegibilidad que comprende 30 días antes, durante y después de tu mes base. Por lo tanto, tu curso de revalidación de seguridad podrá ser agendada tanto en febrero como en abril, junto con la prórroga correspondiente.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</si>
  <si>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ff565528-LATAM-LP</t>
  </si>
  <si>
    <t>27/02/2026 15:55</t>
  </si>
  <si>
    <t>Consulta apto medico</t>
  </si>
  <si>
    <t>1d5567a3-LATAM-LP</t>
  </si>
  <si>
    <t>27/02/2026 15:57</t>
  </si>
  <si>
    <t>efebc101-LATAM-LP</t>
  </si>
  <si>
    <t>05/03/2026 09:10</t>
  </si>
  <si>
    <t>Buen día, Quisiera por favor saber si habría alguna novedad respecto a la programación de mi chequeo B767. Inicialmente estaba programado par el 23 de febrero pero debido a variaciones operacionales tuvo que reprogramarse en 2 ocasiones. Entiendoem motivo de estos cambios... sin embargo quería dejar la solicitud para que lo consideren nuevamente en la siguiente programación. Quedo atenta, muchas gracias.</t>
  </si>
  <si>
    <t>"¡Gracias por la información! Te comentamos que se te estará programando tu chequeo antes de su fecha de vencimiento. Esperamos que la respuesta te haya sido de gran ayuda."</t>
  </si>
  <si>
    <t>fee0d208-LATAM-LP</t>
  </si>
  <si>
    <t>02/03/2026 07:15</t>
  </si>
  <si>
    <t>Examen ocupacional: segun lo indicado por correo, informo no poder asistir por encontrarme hoy con mi periodo y espero la comunicación para re agendar por favor</t>
  </si>
  <si>
    <t>Estimada Andrea, Por favor solicitamos su apoyo para que nos indique una fecha en la que pueda asistir a tu exámen médico.</t>
  </si>
  <si>
    <t>3a6cb19e-LATAM-LP</t>
  </si>
  <si>
    <t>05/03/2026 19:32</t>
  </si>
  <si>
    <t>Estimados, Espero que se encuentren muy bien. Muchas gracias por la información y por la propuesta de reprogramación. Confirmo que acepto el cambio propuesto para el día 18 de marzo, con la asignación del LCK A320F en los vuelos 2312/2313 y el retiro de los vuelos 2115, 2114, 2198 y 2199. Quedo atento a la actualización de mi rol en el sistema.</t>
  </si>
  <si>
    <t>d32b5927-LATAM-LP</t>
  </si>
  <si>
    <t>06/03/2026 22:50</t>
  </si>
  <si>
    <t>Cumpliendo con el procedimiento de renovación de visa crew estuve con rol protegido 2 meses, para el mes de marzo pensé que me programarían un vuelo en 767 para no perder mi experiencia reciente, sin embargo, no fue así. Solicito una extensión</t>
  </si>
  <si>
    <t>"¡Gracias por la información! Te informamos que, debido al vencimiento de tu experiencia reciente, se te asignará tu reentrenamiento en B767. La fecha exacta se programará según la disponibilidad de instructores y la holgura operativa, y te será notificada oportunamente por correo electrónico. Asimismo, debido a tu rol especial y a que la actualización de tu visa se realizó en febrero, no fue posible programar dicha asignación para el rol de marzo. Esperamos que la respuesta te haya sido de gran ayuda."</t>
  </si>
  <si>
    <t>18368115-LATAM-LP</t>
  </si>
  <si>
    <t>02/03/2026 17:12</t>
  </si>
  <si>
    <t>Buenas tardes, deseaba consultar sobre el pago de bono por vacaciones tocadas, regresaba de Miami el día 22 de diciembre pero debido a una demora llegue en mi día libre, por lo que mi secuencia de 4x1 se convirtió en 5x2, tocando dos días de mis días de vacaciones que originalmente eran del 24 al 31 de diciembre del 2025, cambiando del 26 de diciembre al 03 de enero de 2026. Tenia entendido que el pago de dicho bono se vería reflejado en mi boleta de pago del mes de enero, pero eso no ocurrió. Por lo que deseaba consultar si debo realizar algún trámite al respecto el cual mucho agradeceré pudieran indicarme. Muchas gracias</t>
  </si>
  <si>
    <t>a8530cab-LATAM-LP</t>
  </si>
  <si>
    <t>08/03/2026 10:18</t>
  </si>
  <si>
    <t>Estimados buenas tardes, mi chequeo de competencias del 767 vence en abril, les pido la consideración para la programación porfavor</t>
  </si>
  <si>
    <t>"¡Gracias por la información! Te informamos que, dado que tu mes base es mayo y según lo establecido en la RAP 63, esta actividad puede ser programada dentro de un período de elegibilidad que comprende 30 días antes, durante y después de tu mes base. Por lo tanto, tu verificación de competencia podrá ser agendada tanto en abril como en junio,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</si>
  <si>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ae50bd6a-LATAM-LP</t>
  </si>
  <si>
    <t>09/03/2026 13:31</t>
  </si>
  <si>
    <t>Buenas tardes, el día 11 de este mes , tengo programado mi líne check de airbus, figuraba como instructora jazmin guerra, pero hace días ya no figura ella ni ningún otro instructor, yo este mes ya estoy con la prorroga para el line check de este equipo, quería saber si tendré el line check ese día o algún otro día o si en todo caso también se podría extender al mes siguiente , muchas gracias de antemano por la atención, Jenny</t>
  </si>
  <si>
    <t>"¡Gracias por la información! Te informamos que si te corresponde tu verificación de competencia el día de mañana 11/03. Esperamos que la respuesta te haya sido de gran ayuda."</t>
  </si>
  <si>
    <t>6e4e3bad-LATAM-LP</t>
  </si>
  <si>
    <t>03/03/2026 14:45</t>
  </si>
  <si>
    <t>LC06</t>
  </si>
  <si>
    <t>7300be46-LATAM-LP</t>
  </si>
  <si>
    <t>03/03/2026 15:04</t>
  </si>
  <si>
    <t>Estimados tengo por rol la asignación RTI el dia 9 de Marzo, dentro de las indicaciones para rendir el apto indican que las mujeres no podemos estar dentro de nuestro período menstrual o deben pasar al menos 5 dias luego del periodo, mi periodo inicio el dia de hoy y debe finalizar el dia 6 o 7 de Marzo lo que me deja a solo 2 o 3 dias de mi apto médico, estaría requiriendo un cambio de fecha por favor.</t>
  </si>
  <si>
    <t>"¡Gracias por la información! Te comentamos que si puedes realizar tu EMO programado el día 9 de marzo con normalidad, por ello te pedimos que consideres asistir a la fecha programada. Esperamos que la respuesta te haya sido de gran ayuda."</t>
  </si>
  <si>
    <t>2e8357be-LATAM-LP</t>
  </si>
  <si>
    <t>09/03/2026 14:02</t>
  </si>
  <si>
    <t>Tenia mi chequeo de competencia hoy 09/03 pero me puse mal y tuve que reportarme, quisiera porfavor que tengan en cuenta mi reprogramacion para el mes siguiente</t>
  </si>
  <si>
    <t>"¡Gracias por la información! Te informamos que, dado que tu mes base es abril y según lo establecido en la RAP 63, esta actividad puede ser programada dentro de un período de elegibilidad que comprende 30 días antes, durante y después de tu mes base. Por lo tanto, tu verificación de competencia podrá ser agendada tanto en marzo como en mayo, junto con la prórroga correspondiente. Si tienes alguna otra consulta, estamos aquí para ayudarte. Si tu actividad no puede ser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</si>
  <si>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bba50f66-LATAM-LP</t>
  </si>
  <si>
    <t>10/03/2026 12:39</t>
  </si>
  <si>
    <t>Hands on. Me acaba de llegar un correo indicando que tengo hands on en hangar aereopuerto. La verdad escribo porque no me queda claro . Eso es line check en tierra?? Necesito saber para prepararme. Quedo atenta</t>
  </si>
  <si>
    <t>"¡Gracias por la información! Te recordamos que el Hans On son evaluaciones de puertas. Esperamos que la respuesta te haya sido de gran ayuda."</t>
  </si>
  <si>
    <t>4fef44a8-LATAM-LP</t>
  </si>
  <si>
    <t>06/03/2026 00:02</t>
  </si>
  <si>
    <t>82a5a01a-LATAM-LP</t>
  </si>
  <si>
    <t>06/03/2026 12:16</t>
  </si>
  <si>
    <t>Buenos días, les comento que me acaba de llegar un correo en relación al día libre compensado otorgado por asignación de vuelo adicional el 26/01/26 donde dice que la solicitud fue correspondida para marzo (15/03/26), sin embargo mi solicitud fue para el 01/04/26 donde según formulario dice que “Las solicitudes por empalme, es decir, para la primera semana de cada mes, se deben ingresar junto a las del mes anterior”. Hace claro ejemplo de querer un libre la primera semana de Agosto (8) se debe ingresar máximo el 31 de Mayo (5). Dicho esto, en mi caso he solicitado el día libre para el 1 de Abril (4) y entiendo que debí presentar la solicitud máximo el 31 de Enero (1) lo cual he respetado. Por lo que solicito se respete mi día libre pedido para el 01/04/2026 como solicitado en formulario. Quedo atento ante la solución del inconveniente para resolver cualquier duda.</t>
  </si>
  <si>
    <t>"¡Gracias por tu mensaje! De acuerdo con el convenio colectivo, los días libres compensados por vuelos adicionales deben gozarse en el segundo mes posterior a la actividad. Por ello, tu descanso se programó para el 15 de marzo bajo el código DOR. Para garantizar el cumplimiento de este beneficio, el día libre figura en tu Rol Mensual de Actividades de marzo, cumpliendo así con el periodo de compensación protegido por el convenio para la carga de trabajo de enero. Esperamos que la respuesta te haya sido de gran ayuda."</t>
  </si>
  <si>
    <t>144b1ae1-LATAM-LP</t>
  </si>
  <si>
    <t>05/03/2026 10:48</t>
  </si>
  <si>
    <t>42d13afc-LATAM-LP</t>
  </si>
  <si>
    <t>05/03/2026 10:59</t>
  </si>
  <si>
    <t>Ultimo mes de programacion de ditching.</t>
  </si>
  <si>
    <t>1472e3cb-LATAM-LP</t>
  </si>
  <si>
    <t>10/03/2026 21:32</t>
  </si>
  <si>
    <t>Estimados, el día 10 de febrero tenía mi line check de 767, el cual fue cancelado por falta de instructor a bordo, desearía me dejen saber si me van a programar prontamente mi linecheck debido a que este tiene vencimiento a fines de marzo. Y en caso sea difícil les agradecería que me puedan ayudar con una prórroga. Quedo atenta a su respuesta. Atte. Grace Humire</t>
  </si>
  <si>
    <t>"""¡Gracias por la información! Te informamos que, considera que tu mes base de LCK B767 es marzo y según lo establecido en la RAP 63, esta actividad puede ser programada dentro de un período de elegibilidad que comprende 30 días antes, durante y después de tu mes base. Por lo tanto, tu verificación de competencia puede ser programada en abril,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</si>
  <si>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603c3f29-LATAM-LP</t>
  </si>
  <si>
    <t>11/03/2026 10:36</t>
  </si>
  <si>
    <t>7fd21aaa-LATAM-LP</t>
  </si>
  <si>
    <t>06/03/2026 09:16</t>
  </si>
  <si>
    <t>VACACIONES MES DE ABRIL Renuncia</t>
  </si>
  <si>
    <t>"¡Gracias por la información! Te recomendamos realizar un intercambio o cesión de vacaciones, el cual debes hacerlo a través del formulario ""Pedido, Cesión e Intercambio de Vacaciones LP 2026-01"". Puedes acceder al formulario mediante el siguiente link: https://docs.google.com/forms/d/e/1FAIpQLSdmXt-iSndWo5_kb3Bithorzgp7OTZOBAa-lYgrbwGZuQBVcw/viewform Asimismo, te recordamos que la confirmación de tus vacaciones serán notificadas con 30 días de anticipación del inicio de las mismas. Esperamos que la respuesta te haya sido de gran ayuda."</t>
  </si>
  <si>
    <t>5c6a6d6e-LATAM-LP</t>
  </si>
  <si>
    <t>06/03/2026 09:35</t>
  </si>
  <si>
    <t>Yo tenía programado mi reva del 24-27 de febrero, pero tuve descanso médico del 24 de febrero al 3 marzo, quisiera saber si se reprogramara para este mes o para abril, dado que mi curso en tierra vence el 31 de marzo</t>
  </si>
  <si>
    <t>"¡Gracias por la información! Te informamos que, dado que tu mes base es marzo y según lo establecido en la RAP 63, esta actividad puede ser programada dentro de un período de elegibilidad que comprende 30 días antes, durante y después de tu mes base. Por lo tanto, tu curso de revalidación de seguridad podrá ser agendada tanto en febrero como en abril, junto con la prórroga correspondiente. Si tu actividad no fue agendada durante el mes base, aún puedes ser programado durante el mes de prórroga, sin que esto implique la pérdida de tu reva.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</si>
  <si>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3f20f999-LATAM-LP</t>
  </si>
  <si>
    <t>12/03/2026 09:46</t>
  </si>
  <si>
    <t>Estimados Señores, buen día, el día de ayer perdí mi linecheck por encontrarme delicada de salud, mi verificación de competencia vence el 31 de este mes, me podrían indicar ai existe alguna prórroga y como se procedería en este caso, agradeceré enormemente puedan absolverme dicha duda, Saludos, Melodi Tello</t>
  </si>
  <si>
    <t>8bc77c98-LATAM-LP</t>
  </si>
  <si>
    <t>12/03/2026 10:03</t>
  </si>
  <si>
    <t>"¡Gracias por la información! Te informamos que tu mes base de LCK B767 es junio y según lo establecido en la RAP 63, esta actividad puede ser programada dentro de un período de elegibilidad que comprende 30 días antes, durante y después de tu mes base. Por lo tanto, tu verificación de competencia podrá ser agendada tanto en mayo como en julio,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</si>
  <si>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b36e8559-LATAM-LP</t>
  </si>
  <si>
    <t>12/03/2026 12:28</t>
  </si>
  <si>
    <t>Buen días les escribo porque me llegó por parte de ustedes el correo de confirmacion de la actualizacion de mi visa tripulante y que se encuentra modificada en su base de datos e IFN. Sin embargo en la app del iFlight aun me aparece como crew sin pasaporte. Por eso me comunico con uds para verificar el tema y no incurramos en algun posible error y para que en el próximo mes de abril se me pueda asignar algún vuelo sin restricción de pasaporte y ademas notificarles que estoy proximo a vencer en abril mis 90 días de experiencia en 767 por lo que agradeceré me tengan mapeado para asignarme algún vuelo en 767 en abril para no vencerme en la habilitación. Muchas gracias</t>
  </si>
  <si>
    <t>"¡Gracias por la información! Con respecto a la actualización de información en IFN, ya se solicitó que se retire el status de "Crew Without Passport". Asimismo, te comentamos que tenemos mapeado tu caso y la asignación de tu último vuelo para la flota B767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</si>
  <si>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3dfc37d3-LATAM-LP</t>
  </si>
  <si>
    <t>08/03/2026 08:23</t>
  </si>
  <si>
    <t>Estimados buenos días. La presente es para consultar o solicitar se tome en consideración la solicitud de vacaciones del 08 al 15 de Abril del presente año. Entiende que se publicará 22 días antes pero de todas maneras quería tomarme el atrevimiento y poder solicitar se consideren los días solicitados para el siguientes mes. Gracias.</t>
  </si>
  <si>
    <t>"¡Gracias por la información! Si tus vacaciones fueron prepublicadas, sí las gozarás con total normalidad. Ten en cuenta que la confirmación oficial de cada bloque de vacaciones se envía con 22 días de anticipación a la fecha de inicio por bloque. Por ello, si aún no has recibido la confirmación, es completamente normal y no afecta tus bloques programados."</t>
  </si>
  <si>
    <t>3c84ea35-LATAM-LP</t>
  </si>
  <si>
    <t>12/03/2026 14:52</t>
  </si>
  <si>
    <t>Buenas tardes, quería hacer la consulta y solicitar apoyo con relación a mi rol del mes de abril, sucede que al verificar por medio del PBS, identifico que durante todo el mes se me van a poner vacaciones (Solo solicité 2 semanas y se me pre-publicaron del 1ro al 21 de abril), sin embargo, mi preocupación esta en que yo estaría próxima a vencer mi habilitación de Boeing 767 finalizando tal mes pero aún no se me ha puesto ningún vuelo a USA con Boeing 767, esperando que se me considerara ello para el mes de abril y así no perder mi habilitación sin antes de haber comenzado a volar con la misma. Quedo atenta a su respuesta y apoyo, gracias.</t>
  </si>
  <si>
    <t>"¡Gracias por la información! Te comentamos que la asignación de tu último vuelo para la flota B767 se realizará antes de la fecha de vencimiento (07-mayo-2026).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</si>
  <si>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4d7df56d-LATAM-LP</t>
  </si>
  <si>
    <t>09/03/2026 10:20</t>
  </si>
  <si>
    <t>Estimados buenos dias. Hace unos minutos recibo dos correos para la programacion de mi apto medico para el 11/03/2026. Mi examenes de audiometria y timpanometria estan agendadas para la fecha 12 que es los 30 dias que aplican por el otorrinolaringologo de la naval que me ordeno y me receyo algunis medicamentos que recien la semana pasada culmine. . Adicional quisiera mencionar que actualmente me encuentro con mi periodo mentrual y estaria no cumpliendo con una de las consideraciones. Por favor me confirman si igual asistore o me lo reprogramaran la fecha para asistir.</t>
  </si>
  <si>
    <t>¡Gracias por la información! Te informamos que se te estará programando para el 18 de marzo. Te recordamos llevar todos los documentos que se te solicitaron. Esperamos que la respuesta te haya sido de gran ayuda.</t>
  </si>
  <si>
    <t>78cf75ee-LATAM-LP</t>
  </si>
  <si>
    <t>09/03/2026 10:29</t>
  </si>
  <si>
    <t>Estimados, Actualmente me encuentro en licencia por maternidad, la cual finaliza a finales de abril. Quisiera consultarles si fuera posible brindarme alguna información referencial sobre mi línea de retorno, en particular sobre la programación de mis vacaciones o días de lactancia posteriores a la licencia. Entiendo que aún puede ser pronto para tener el rol definido, pero agradecería mucho cualquier orientación que me puedan dar, ya que me ayudaría a organizar con anticipación un viaje familiar durante el mes de mayo. Muchas gracias por su apoyo.</t>
  </si>
  <si>
    <t>¡Gracias por la información! Te informamos que tu línea de retorno se estará enviando por correo con toda la información programada. Esperamos que la respuesta te haya sido de gran ayuda.</t>
  </si>
  <si>
    <t>0a4d3784-LATAM-LP</t>
  </si>
  <si>
    <t>09/03/2026 11:21</t>
  </si>
  <si>
    <t>Buenos dias. Tengo programado apto medico para el dia 11/03 pero estare en mi periodo de menstruacion, segun las indicaciones no lo puedo dar. Quisiera saber como proceder</t>
  </si>
  <si>
    <t>"¡Gracias por la información! Te informamos que al ser tu examen médico ocupacional, si puedes asistir con normalidad el día de mañana. Esperamos que la respuesta te haya sido de gran ayuda."</t>
  </si>
  <si>
    <t>d8a9f47c-LATAM-LP</t>
  </si>
  <si>
    <t>15/03/2026 16:29</t>
  </si>
  <si>
    <t>Buenas tardes , el último vuelo que tuve en 767 fue en el mes de enero , el 14 de enero, entonces debería de tener un vuelo en 767 antes del 14 de abril, acabo de entrar al pbs y no me sale ninguna fecha bloqueada para el vuelo en 767, por favor , les pido que me otorguen un vuelo en 767 para no vencerme en esa flota, también acabo de pedir un vuelo e</t>
  </si>
  <si>
    <t>"¡Gracias por la información! Te comentamos que la asignación de tu último vuelo para la flota B767 se realizará antes de la fecha de vencimiento (14-abril-2026).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</si>
  <si>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a1edc8d5-LATAM-LP</t>
  </si>
  <si>
    <t>12/03/2026 15:32</t>
  </si>
  <si>
    <t>Vencimiento LCK 31.5.26 767 y 787 si es posible ponerlos en el mes de abril ya que tengo vacaciones el mes de mayo del 8 al 31</t>
  </si>
  <si>
    <t>"""¡Gracias por la información! Te informamos que tenemos presente tu periodo de vacaciones. Asimismo, considera que tu mes base de LCK B767 y B787 es mayo y según lo establecido en la RAP 63, esta actividad puede ser programada dentro de un período de elegibilidad que comprende 30 días antes, durante y después de tu mes base. Por lo tanto, tu verificación de competencia podrá ser agendada tanto en abril como en junio,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</si>
  <si>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21f9d123-LATAM-LP</t>
  </si>
  <si>
    <t>09/03/2026 23:37</t>
  </si>
  <si>
    <t>Buenas noches,tengo programado Examen Médico Ocupacional para el 11 de Marzo pero acabo de empezar mi periodo de menstruación y según las indicaciones dice que"si se encuentra en periodo de menstruación...no pueden rendir el apto médico".Yo tengo examen médico Ocupacional,puedo hacer el examen?</t>
  </si>
  <si>
    <t>e1756453-LATAM-LP</t>
  </si>
  <si>
    <t>10/03/2026 07:53</t>
  </si>
  <si>
    <t>Buenos dias, la presente es para solicitar que se me reprograme un nuevo apto médico. Esto debido a que estuve con tratamiento medico y no cumplo con el requisito de estar 1 semana sin consumirlos. Actualmente tengo RTI y la fecha es 11.03. Quedo atento a la nueva reprogramacion del. Muchas gracias.</t>
  </si>
  <si>
    <t>ab1366ae-LATAM-LP</t>
  </si>
  <si>
    <t>15/03/2026 11:59</t>
  </si>
  <si>
    <t>Para informarles que este 13 de Marzo me activaron un JFK y me sacaron el MIA del 16 de Marzo que era mi vuelo de Line Check. Por favor programarme un line check en 767 porque vence este 31 de Marzo 2026.</t>
  </si>
  <si>
    <t>"¡Gracias por la información! Te informamos que tu mes base de LCK B767 es marzo y según lo establecido en la RAP 63, esta actividad puede ser programada dentro de un período de elegibilidad que comprende 30 días antes, durante y después de tu mes base. Por lo tanto, tu verificación de competencia podrá ser agendada en abril,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</si>
  <si>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ee39981d-LATAM-LP</t>
  </si>
  <si>
    <t>10/03/2026 14:32</t>
  </si>
  <si>
    <t>da62f2a9-LATAM-LP</t>
  </si>
  <si>
    <t>16/03/2026 15:09</t>
  </si>
  <si>
    <t>Estimados, mi último vuelo Boeing 767 fue el 12 de enero 2026, por favor para no perder mi experiencia reciente podrían considerarme un vuelo en el próximo rol del mes abril entre los días 01 al 12 de abril. Muchas gracias!</t>
  </si>
  <si>
    <t>"¡Gracias por la información! Te comentamos que la asignación de tu último vuelo para la flota B767 se realizará antes de la fecha de vencimiento (11-abril-2026).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</si>
  <si>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990a78ae-LATAM-LP</t>
  </si>
  <si>
    <t>12/03/2026 18:37</t>
  </si>
  <si>
    <t>4ae1d594-LATAM-LP</t>
  </si>
  <si>
    <t>11/03/2026 10:58</t>
  </si>
  <si>
    <t>4ec8e062-LATAM-LP</t>
  </si>
  <si>
    <t>11/03/2026 13:51</t>
  </si>
  <si>
    <t>Buenas tardes, el día 27/03/2026 tengo programado Exámen Médico Ocupacional en la Clínica Del Trabajador pero la fecha coincide con mis días de periodo por lo que no podría realizar el exámen segun las condiciones que nos fueron enviadas vía correo electrónico. Comunico esto segun procedimiento y para que por favor se me reprograme la fecha del exámen. Muchas gracias.</t>
  </si>
  <si>
    <t>"¡Gracias por la información! Dado que es el EMO puedes acercarte sin inconvenientes en la fecha programada. En caso hubiera algún levantamiento por parte de la clínica nos notificas por este medio. Esperamos que la respuesta te haya sido de gran ayuda."</t>
  </si>
  <si>
    <t>54e7e418-LATAM-LP</t>
  </si>
  <si>
    <t>13/03/2026 21:16</t>
  </si>
  <si>
    <t>8183c221-LATAM-LP</t>
  </si>
  <si>
    <t>11/03/2026 14:56</t>
  </si>
  <si>
    <t>Buenas tardes estimados. Recibí la programación de mi apto médico y examen médico ocupacional porque me estoy reincorporando luego de un descanso médico prolongado. Pero al leer las consideraciones me parece que no cumplo con algunos puntos. 1) Tomé bismutol masticable el día 5 debido a que comí algo que me cayó mal y estuve con vómitos y diarrea. Y estuve tomando suero de rehidratación oral. 2) Ayer y hoy comí embutidos. Saludos cordiales</t>
  </si>
  <si>
    <t>74d897f7-LATAM-LP</t>
  </si>
  <si>
    <t>11/03/2026 16:45</t>
  </si>
  <si>
    <t>Buenas tardes, yo llene el formulario para vacaciones adicionales del 08/04 al 14/04 y quisiera saber si será posible porque yo pedí las dos primeras semanas de abril y solo me dieron la primera, solo me dieron una semana en el primer semestre. Adicional, una compañera me cedió sus vacaciones pero aún no recibo respuesta y quisiera saber si será posible. En caso no, quisiera saber si puede proceder el pedido de vacaciones adicionales.</t>
  </si>
  <si>
    <t>¡Gracias por la información! Te informamos que tu solicitud de pedido adicional y cesión de vacaciones para el mes de abril no han procedido. Los criterios considerados para esta decisión han sido detallados en los correos de respuesta enviados en su momento. Esperamos que la respuesta te haya sido de gran ayuda.</t>
  </si>
  <si>
    <t>46bc4d2d-LATAM-LP</t>
  </si>
  <si>
    <t>12/03/2026 09:27</t>
  </si>
  <si>
    <t>Buenos dias, espero se encuentren bien. Mi consulta es si me estan otorgando vacaciones en el mes de Abril? Acabo de ingresar a PBS y me sale coml si fuera a salir de vacaciones una semana pero no tengo ninguna confirmacion de ello. Me podrian ayudar con esa info puesto que también solicité licencia para el mes de Abril, caso contrario para poder ingresar mi pedido ya que es cumple de mi hijito. Me ayudarian mucho para saber si me estan sacando de vacaciones. Saludos.</t>
  </si>
  <si>
    <t>¡Gracias por la información! Por el lado de vacaciones, te confirmamos que, tal como se comunicó el pasado 14 de marzo, tu solicitud de vacaciones adicionales para el periodo del 08 al 14 de abril ha sido aprobada. Esperamos que la respuesta te haya sido de gran ayuda.</t>
  </si>
  <si>
    <t>1227b2b1-LATAM-LP</t>
  </si>
  <si>
    <t>12/03/2026 14:51</t>
  </si>
  <si>
    <t>Rol mes de Abril</t>
  </si>
  <si>
    <t>73c55191-LATAM-LP</t>
  </si>
  <si>
    <t>12/03/2026 19:44</t>
  </si>
  <si>
    <t>Buenas tardes, La presente era para solicitar su apoyo con la programación de algún vuelo en la flota 767, esto ya que estuve con protección de rol en febrero y marzo, y no quisiera vencerme. Actualmente ya cuento con todos los documentos actualizados. Quedo atento. Muchas gracias</t>
  </si>
  <si>
    <t>"¡Gracias por la información! Te comentamos que la asignación de tu último vuelo para la flota B767 se realizará antes de la fecha de vencimiento (02/05/2026)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</si>
  <si>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6269c512-LATAM-LP</t>
  </si>
  <si>
    <t>12/03/2026 13:15</t>
  </si>
  <si>
    <t>Estimados, Gracias por otorgarme la licencia que solicité, sin embargo creo que ha habido un error porque yo marqué la casilla del mes completo. Por favor si pudieran considerarme el mes completo se los agradecería infinitamente, necesito ir a Madrid a ayudar a mi familia a cuidar de mis sobrinos pequeños. Mi cuñada tiene leucemia y va a ser internada y mi hermano me necesita. Por favor, si me ayudan a ver mi caso, que es bastante delicado se los agradecería enormemente. Quedo atenta a su gentil respuesta, Gracias de antemano, Wendy Flores Altuna BP 3226557</t>
  </si>
  <si>
    <t>Corrección de una licencia ya otorgada</t>
  </si>
  <si>
    <t>a6dc0a81-LATAM-LP</t>
  </si>
  <si>
    <t>18/03/2026 09:34</t>
  </si>
  <si>
    <t>Por motivo de salud no pude asistir a mi chequeo de competencia, solicito su apoyo para reprogramación. Mi BP es 4390382</t>
  </si>
  <si>
    <t>"""¡Gracias por la información! Te informamos que tenemos presente tu periodo de vacaciones. Asimismo, considera que tu mes base de LCK A320F es abril y según lo establecido en la RAP 63, esta actividad puede ser programada dentro de un período de elegibilidad que comprende 30 días antes, durante y después de tu mes base. Por lo tanto, tu verificación de competencia podrá ser agendada tanto en marzo como en mayo,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</si>
  <si>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ba0f49a1-LATAM-LP</t>
  </si>
  <si>
    <t>18/03/2026 11:28</t>
  </si>
  <si>
    <t>Buenos dias, cuento con el vencimiento de competencia de B767(31/03/2026), si fuera posible porfavor reprogramar el chequeo contando con el mes de prorroga. Saludos cordiales. Maria Gracia Pazos</t>
  </si>
  <si>
    <t>43680c38-LATAM-LP</t>
  </si>
  <si>
    <t>18/03/2026 17:19</t>
  </si>
  <si>
    <t>Buenas tardes Quería consultartes si hay alguna actualización respecto a la reprogramación de mi LCK en B767. Quedo atento a cualquier información o indicación que me puedan brindar. Saludos cordiales, Carlos Vento Orbe BP 6001015</t>
  </si>
  <si>
    <t>"¡Gracias por la información! Te informamos que tu Chequeo de Recalificación B767 fue autorizado para ser ejecutado a cargo de un IPO DGAC. En ese caso, la gestión interna de la autoridad toma un tiempo aproximado de 30 días para poder confirmar la fecha del chequeo, por lo que proyectamos que tu Chequeo de Recalificación B767 sea para fines de abril. Te estaremos enviando la fecha exacta del chequeo a la brevedad posible. Muchas gracias por tu comprensión.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</si>
  <si>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9540a168-LATAM-LP</t>
  </si>
  <si>
    <t>16/03/2026 12:05</t>
  </si>
  <si>
    <t>Buenas tardes, el día 14 de febrero me activaron mi blanco que estaba programado para mi recojo de un pernocte . Me activaron una madrugada llegando a mi casa 10 am y ese mismo día me recogieron a las 23:00 hasta para irme a mi pernocte. Me indican que por esta activación recibo un bono y aparte libre adicional .</t>
  </si>
  <si>
    <t>"¡Gracias por la información! Te pedimos por favor ingresar tu solicitud a través del formulario correcto: "Solicitud Rol para mes subsiguiente Tripulante de Cabina LP 2026" para realizar la evaluación respectiva, el cual se encuentra en el site de LP. Esperamos que la respuesta te haya sido de gran ayuda."</t>
  </si>
  <si>
    <t>a49e1c92-LATAM-LP</t>
  </si>
  <si>
    <t>12/03/2026 18:40</t>
  </si>
  <si>
    <t>Por favor, me ayudarían a cambiar la dirección a mi licencia chilena, ya que figura aún con la dirección anterior. Debe decir Pasaje Francisco Brenner 139 Jesús Maria</t>
  </si>
  <si>
    <t>Estimada, Espero que se encuentre bien. Comentarle que en nuestras bases aparece la siguiente dirección "Avenida Brasil 1458 Dpto 104 Torre B - Pueblo Libre". Es necesario que primero pida actualización a través del formulario de Actualización de datos LP y cuando le confirme el cambio enviar una consulta pidiendo que se actualice su dirección en su Convalidación licencia chilen. Además, tener consideración que cuando acepten el cambio de dirección será su lugar de recojo por parte de movilizaciones</t>
  </si>
  <si>
    <t>5d635718-LATAM-LP</t>
  </si>
  <si>
    <t>16/03/2026 15:12</t>
  </si>
  <si>
    <t>Cambio vuelo - buenos dias , no puedo acceder al link de cambio de vuelos con el fin de aceptar el cambio de vuelos del 25 al 30 de marzo. Su apoyo para que puedan aceptar manualmente el cambio. Muchas gracias</t>
  </si>
  <si>
    <t>Te enviaremos un correo con Copia a Carlos Nunura para que te pueda ayudar con la gestión correspondiente.</t>
  </si>
  <si>
    <t>d1f3f1aa-LATAM-LP</t>
  </si>
  <si>
    <t>13/03/2026 13:18</t>
  </si>
  <si>
    <t>Buen día, Hace algunos días recibí mi línea de retorno, en la cual figuran mis días de lactancia y posteriormente mis vacaciones, una vez finalice mi periodo de postparto. Dentro del correo se indica que cuento con 41 días de vacaciones. Sin embargo, quisiera confirmar si dentro de esos 41 días ya están contempladas las vacaciones que tengo programadas del 1 al 7 de junio, o si esos días no han sido aún contabilizados. Quedo atenta a su confirmación. Muchas gracias.</t>
  </si>
  <si>
    <t>"¡Gracias por tu mensaje! Te comentamos que dentro de tus 41 días de vacaciones estarían incluidos tus vacaciones programadas del 01 al 07-jun, ya que pertenece al primer semestre. Esperamos que la respuesta te haya sido de gran ayuda."</t>
  </si>
  <si>
    <t>f1460df2-LATAM-LP</t>
  </si>
  <si>
    <t>13/03/2026 17:47</t>
  </si>
  <si>
    <t>RO04</t>
  </si>
  <si>
    <t>"¡Gracias por tu mensaje! Hemos revisado nuevamente tu caso y queremos aclararte los siguientes puntos: Sobre la compensación de día libre: Según el convenio colectivo, los vuelos adicionales de enero deben compensarse en el mes subsiguiente (marzo). Por ello, el día libre asignado y gozado el pasado 15 de marzo es el que corresponde técnicamente a dicho mes correcto de compensación. Sobre el empalme: Al solicitar un día libre, es vital considerar la secuencia de tu rol prublicado (febrero) (pernoctes o vuelos programados). Por ejemplo, si hubieses solicitado el 1 de marzo, se debe revisar la secuencia operacional o pernoctes del mes de febrero y evitar un cruce con tu solicitud de libre compensado; a eso nos referimos con evitar el cruce de "empalme" de actividades dentro del formulario. Te ofrecemos una disculpa por cualquier confusión. Estamos trabajando en mejorar nuestro formulario para que estas condiciones sean más claras desde el inicio y evitar incidentes de interpretación en el futuro.</t>
  </si>
  <si>
    <t>77fb7ca4-LATAM-LP</t>
  </si>
  <si>
    <t>13/03/2026 18:09</t>
  </si>
  <si>
    <t>Estimados, ayer realice examenes de timpanometria y audiometria, en las cuales observaron en mi oido derecho un poco de falla. Tengo descanso medico del 12 al 26 de marzo. Y tenia programada asistir con mis pruebas a mi apto medico el dia 18 de marzo. Quedo atenta a sus comentarios</t>
  </si>
  <si>
    <t>"¡Gracias por tu mensaje!. Por favor te pedimos nos comuniques cuando acabe tu descanso médico y si estarás en tratamiento, esto dado que deben pasar al menos 5 días desde la última toma de medicinas. Esperamos que la respuesta te haya sido de gran ayuda."</t>
  </si>
  <si>
    <t>27931229-LATAM-LP</t>
  </si>
  <si>
    <t>15/03/2026 07:33</t>
  </si>
  <si>
    <t>OS10</t>
  </si>
  <si>
    <t>cc73618a-LATAM-LP</t>
  </si>
  <si>
    <t>24/03/2026 13:08</t>
  </si>
  <si>
    <t>TC</t>
  </si>
  <si>
    <t>hola anthony, ya funciona</t>
  </si>
  <si>
    <t>ok</t>
  </si>
  <si>
    <t>7750760a-LATAM-LP</t>
  </si>
  <si>
    <t>14/03/2026 16:40</t>
  </si>
  <si>
    <t>Dias de vacaciones/ una consulta el año pasado cuando me mandaron el correo de pre confirmación de vacaciones para este 2026, me salio que tenia en abril vacaciones del 8 al 15 de abril, pero aquí en el PBS, me sale del 8 al 20, Quisiera saber cual es lo real y el porque en caso se hayan aumentado dias sin solicitarlas, y también por que necesito pedir mis libres del otro mes pero no se la información real de mis fechas de vacaciones, muchas gracias de antemano</t>
  </si>
  <si>
    <t>¡Gracias por tu mensaje! Se te informa que contabas con 5 días de vacaciones pendientes por gozar, adicionales a las ya prepublicadas con vencimiento del 08 al 15 de abril. En ese sentido, tus vacaciones han sido extendidas del 08 al 20 de abril. Esperamos que la respuesta te haya sido de gran ayuda.</t>
  </si>
  <si>
    <t>ec9a86df-LATAM-LP</t>
  </si>
  <si>
    <t>23/03/2026 15:39</t>
  </si>
  <si>
    <t>428a6908-LATAM-LP</t>
  </si>
  <si>
    <t>142b664b-LATAM-LP</t>
  </si>
  <si>
    <t>20/03/2026 16:16</t>
  </si>
  <si>
    <t>Hola! Deseo participar del taller voluntario de seguridad para el día 23 Marzo en el horario de 1 a 5pm</t>
  </si>
  <si>
    <t>f949d220-LATAM-LP</t>
  </si>
  <si>
    <t>19/03/2026 22:17</t>
  </si>
  <si>
    <t>Buenas noches estimados, les escribo debido a que este mes estoy con prórroga en la flota A320. El día de hoy tenía mi linecheck pero lo perdí por descanso médico. Les pido por favor me puedan reprogramar en lo que resta del mes, estaría muy agradecida.</t>
  </si>
  <si>
    <t>76db7f9b-LATAM-LP</t>
  </si>
  <si>
    <t>14/03/2026 15:32</t>
  </si>
  <si>
    <t>befbbc3c-LATAM-LP</t>
  </si>
  <si>
    <t>16/03/2026 08:51</t>
  </si>
  <si>
    <t>Buenos días, espero se encuentren muy bien. El día de mañana tengo mi examen ocupacional pero no cumplo con los requisitos para poder brindarle. Primero por que no llego al margen de los 5 días de termino el periodo y segundo por que estuve con tratamiento médico, no llego a una semana previa sin tomar medicamentos. Quería saber como se procede en este caso para la re programación. Gracias.</t>
  </si>
  <si>
    <t>2490a439-LATAM-LP</t>
  </si>
  <si>
    <t>19/03/2026 18:14</t>
  </si>
  <si>
    <t>6f50927d-LATAM-LP</t>
  </si>
  <si>
    <t>19/03/2026 18:16</t>
  </si>
  <si>
    <t>Quisiera saber cuando esta programado mi chequeo de reentrenamiento y recalificación de Boeing 767. Ya que mi reva fue del 2 al 5 de febrero de este año y apartar de mañana 20 de marzo empiezan mis vacaciones</t>
  </si>
  <si>
    <t>3d4b0e54-LATAM-LP</t>
  </si>
  <si>
    <t>16/03/2026 10:26</t>
  </si>
  <si>
    <t>Buenos Días quería avisar que el día de mañana no pldré asistir al chequeo médico ocupacional porque me encuentro con la menstruación y me van a tener que reprogramar el exmanen ya que veo que dentro de la lista es uno de los requisitos por los cuales no puedo asistir</t>
  </si>
  <si>
    <t>Te comentamos que pudiste haber ido a el Examen ya que este era EMO y no habia impedimento. De igual manera, buscaremos una nueva fecha para la reprogramación del Examen.</t>
  </si>
  <si>
    <t>665b6f25-LATAM-LP</t>
  </si>
  <si>
    <t>16/03/2026 10:42</t>
  </si>
  <si>
    <t>Hola, tengo apto médico programado para este jueves 19, pero estoy presentando síntomas de un tipo de virus como resfrío, tengo la garganta irritada y mucosidad, mi hijo está saliendo de un cuadro similar y creo que yo he tomado su virus. Qué debo hacer? Ya que en los requisitos del documento del examen médico figura que no podemos tomar nada para el resfrío o tener síntomas de alguna enfermedad. Quedo atenta a su gentil respuesta.</t>
  </si>
  <si>
    <t>"¡Gracias por la información! Dado que no cumples los requisitos para llevar el apto médico se comunicará a la clínica que no asistirás. De acuerdo a tu programación se mantiene RTI y los elearning agendados. Te comentamos que tendremos mapeado tu caso, por lo que te estaremos enviando por correo la programación de tu nueva fecha de apto médico. Esperamos que la respuesta te haya sido de gran ayuda."</t>
  </si>
  <si>
    <t>e9b19e3d-LATAM-LP</t>
  </si>
  <si>
    <t>20/03/2026 09:44</t>
  </si>
  <si>
    <t>Comentar que he salido de licencia de maternidad el 20 de marzo del 2025. Acabo de tener reva de Airbus y Boeing 767del 2 al 5 de febrero de este año y mi chequeo de reentrebamiento Airbus lo realicé el día de hoy 19 de marzo con resultados satisfactorios. Mañana 20 de marzo empiezan mis vacaciones y terminan fines de mayo. Sin embargo, aun no me han programado mi chequeo de reentrenamiento de Flota Boeing 767. Mi consulta es para que fecha estaría programado este chequeo? Quisiera por favor sus apoyo 🙏 para que me puedan programar este chequeo antes de me pase el año sin volar esta flota y así dar validez a mi Reva aprobada. Quedo en espera de su comunicación. Agradeciéndole por la amable y pronta atención a mi caso.</t>
  </si>
  <si>
    <t>Estimada Ericka, te comentamos que tenemos mapeado tu caso. Debido a que ha transcurrido más de un año desde tu último vuelo en la flota Boeing 767, el procedimiento requiere que realices un curso al 50% para para volver a habilitarte. Actualmente, nos encontramos gestionando la fecha para programar dicho curso y te notificaremos de inmediato en cuanto la tengamos confirmada. Agradecemos tu paciencia mientras finalizamos esta gestión.</t>
  </si>
  <si>
    <t>92429dd8-LATAM-LP</t>
  </si>
  <si>
    <t>16/03/2026 12:23</t>
  </si>
  <si>
    <t>El día de mañana tenía programado mi apto médico; sin embargo, me detectaron una infección y me han indicado iniciar un tratamiento. Me comuniqué con la clinica Los Andes para hacer la consulta si no habria problema en dar el éxamen asi, pero me informaron que el examen de orina podria salir alterado, por lo que me recomiendan reprogramar el apto médico.</t>
  </si>
  <si>
    <t>c816ddda-LATAM-LP</t>
  </si>
  <si>
    <t>20/03/2026 09:52</t>
  </si>
  <si>
    <t>1b03f415-LATAM-LP</t>
  </si>
  <si>
    <t>16/03/2026 15:38</t>
  </si>
  <si>
    <t>Buenas tardes, Les escribo para informarles que el día 13 de marzo tenía programado mi apto médico en la Clínica Los Andes, al cual no pude asistir debido a que no cumplía con las indicaciones requeridas (presentaba una infección respiratoria bacteriana y el inicio de mi periodo menstrual). Por ello, les agradecería me puedan considerar para la programación del apto médico durante el mes de abril. Asimismo, les solicito tener en cuenta que dicho apto debe realizarse en la Clínica Los Andes, ya que tengo junta médica en esa misma clínica. Muchas gracias por su atención.</t>
  </si>
  <si>
    <t>b89fb71a-LATAM-LP</t>
  </si>
  <si>
    <t>17/03/2026 10:32</t>
  </si>
  <si>
    <t>Buenos días, ayer temprano escribí porque tengo apto médico programado para este jueves, pero desde ayer me he sentido mal de la garganta y con mucosidad. Anoche me vino a ver un médico a domicilio, me ha diagnosticado Faringitis Aguda. Necesito re programar mi apto médico ya que no podré pasarlo por cómo me encuentro. Quedo atenta a su gentil respuesta.</t>
  </si>
  <si>
    <t>ce822812-LATAM-LP</t>
  </si>
  <si>
    <t>17/03/2026 17:19</t>
  </si>
  <si>
    <t>Buenas tardes , mañana tengo programado mi examen médico ocupacional asignado en rol cómo RTI . Desde ayer presentó sólo secreción nasal. No tengo tos , ni oídos tapados, ni dolor de garganta , ni fiebre. No estoy tomando medicación , por lo que mi consulta es si debo asistir a la clínica del trabajador o ustedes me reprograman este examen médico? Quedo atento a su gentil respuesta. Adjunto archivo con recomendaciones de la clínica. Entiendo que el ocupacional no incluye espirometria , solo audiometria.</t>
  </si>
  <si>
    <t>Te solicitamos por favor la confirmación de si llegaste a asistir al examen médico por favor.</t>
  </si>
  <si>
    <t>481c414a-LATAM-LP</t>
  </si>
  <si>
    <t>17/03/2026 21:15</t>
  </si>
  <si>
    <t>57280ebf-LATAM-LP</t>
  </si>
  <si>
    <t>19/03/2026 11:13</t>
  </si>
  <si>
    <t>Buenas tardes, este mes se vence mi habilitación en B767 yo tenía MIA pero me lo quitaron por una observación en mi apto médico, ya avisé a Movimiento diario para que me consideren, por favor todavía me queda una reserva si pudieran ayudarme para no vencerme, muchas gracias.</t>
  </si>
  <si>
    <t>Te comentamos que tenemos presente el próximo vencimiento de tu habilitación en la flota B767. Nos encontramos gestionando con el área correspondiente la posibilidad de reprogramar tu vuelo 767 en lo que resta del mes, aprovechando tu disponibilidad de reserva. Te sugerimos estar atenta a tu rol, ya que verás reflejada la actualización en cuanto se confirme la asignación.</t>
  </si>
  <si>
    <t>b8b71b3a-LATAM-LP</t>
  </si>
  <si>
    <t>21/03/2026 05:32</t>
  </si>
  <si>
    <t>Estimados: El presente mes estoy ejerciendo funciones como High Rank, el mes de mayo tendré rol protegido por renovación de visa, les pido que el mes de abril cuente con un vuelo Boeing 767 para no perder mi habilitación. Muchas gracias de antemano</t>
  </si>
  <si>
    <t>Estimada Marina, Debido a que el itinerario de abril ya se encuentra en proceso, realizaremos el pedido de asignación de tu vuelo una vez que el rol de dicho mes haya sido publicado. En cuando se acepte la asignación podrás verla regularizada en tu Rol</t>
  </si>
  <si>
    <t>dc6d27fa-LATAM-LP</t>
  </si>
  <si>
    <t>24/03/2026 09:21</t>
  </si>
  <si>
    <t>31ebb832-LATAM-LP</t>
  </si>
  <si>
    <t>18/03/2026 17:29</t>
  </si>
  <si>
    <t>Buenas tardes, respecto al examen ocupacional, debido a no cumplir con los requisitos que mencione en una consulta anterior, la misma clínica me indica que recién podría dar el examen del lunes 23 de marzo en adelante. Me pidieron que la empresa indique el día en el que debo acercarme. Quedo atenta. Muchas gracias</t>
  </si>
  <si>
    <t>Estimada TC, te confirmamos que tenemos mapeado tu caso y nos encontramos gestionando una nueva fecha para que puedas recuperar tu examen ocupacional. Estamos revisando la disponibilidad más cercana; de no ser posible dentro de marzo, se te programará para los primeros días de abril. Te avisaremos apenas tengamos la confirmación.</t>
  </si>
  <si>
    <t>3b24f0eb-LATAM-LP</t>
  </si>
  <si>
    <t>21/03/2026 11:19</t>
  </si>
  <si>
    <t>Buenos días estimado, le comento que tengo programado el curso de Hands On B767 y me indicaron el correo que me enviarían unas indicaciones por correo de acuerdo algunos cursos, aún no tengo el correo indicado sin embargo quería saber si aún tengo que esperar esas dichas indicaciones o solo con el correo de invitación basta, ya que es el lunes mi día en el hangar.</t>
  </si>
  <si>
    <t>Gracias por la información! Por favor, te pedimos considerar solo las instrucciones que se enviaron dentro del correo de invitación del curso "Programación Capacitación LP - Hands On B767" Esperamos que la respuesta haya sido de gran ayuda!</t>
  </si>
  <si>
    <t>f98d6ef1-LATAM-LP</t>
  </si>
  <si>
    <t>24/03/2026 09:08</t>
  </si>
  <si>
    <t>Buen dia el.dia de ayer hice formulario para actualozacion de visa de turista! Ya rexigi mi pasaporte y ya lo tengo en mano quisiera saber cuanto demora en axtualizar el sitema ya quw me gustaria hacer un cambio de vuelo. Muchas gracias</t>
  </si>
  <si>
    <t>Gracias por la información! Te recordamos segun el procedimiento de actualización de datos el equipo de Soporte cuenta con un plazo de 4 días hábiles como máximo para poder actualizar tus datos en Iflightneo y a su vez enviarte el correo de confirmación. Esperamos que la respuesta haya sido de gran ayuda!</t>
  </si>
  <si>
    <t>ab24700e-LATAM-LP</t>
  </si>
  <si>
    <t>24/03/2026 13:25</t>
  </si>
  <si>
    <t>Buenas tardes . Este mes tengo proteccion de rol por actualizacion de visa de turista. El dia de ayer ya recoji mi pasaporte y ha llene el formulario con axtualizacion de datos. Qusiera saber cuantos dias demora en axtualizar de dni a pasaporte ya que quisiera hacer un cambio de vuelo en 767. Gracias. Pamela chavez</t>
  </si>
  <si>
    <t>7d43d50f-LATAM-LP</t>
  </si>
  <si>
    <t>24/03/2026 15:02</t>
  </si>
  <si>
    <t>El día 25 de febrero realicé mi chequeo DGAC para habilitación del Boeing 767, el cual fue aprobado. Al día siguiente, entregué mis documentos en Mesa de Partes (primer piso) en la oficina de El Olivar, Miraflores, dentro de un sobre amarillo a nombre de Jeshua Falla. Hasta la fecha no he recibido ningún correo ni notificación para el recojo de mi licencia, por lo que quisiera consultar si podrían ayudarme a verificar el estado de mi trámite o indicarme si hay alguna novedad al respecto. Quedo atenta a su amable respuesta.</t>
  </si>
  <si>
    <t>9851f895-LATAM-LP</t>
  </si>
  <si>
    <t>20/03/2026 01:47</t>
  </si>
  <si>
    <t>Buenos días, Quisiera consultar por la programación de mi recalificación 767. Ya realicé el reentrenamiento en febrero; sin embargo, aún no cuento con una fecha asignada. Considerando que mi licencia provisional vence el 03 de abril, agradecería su apoyo para poder ser programada antes de dicha fecha, ya que es importante para mí mantener mis habilitaciones vigentes y continuar con normalidad en mis funciones. Quedo atenta a sus comentarios y a la programación correspondiente. Saludos cordiales.</t>
  </si>
  <si>
    <t>Te informamos que, tras coordinar y validar tu caso directamente con tu CPL, se ha confirmado que no te corresponde realizar una recalificación en este momento. Puedes tener la tranquilidad de que tu caso ha sido revisado. Quedamos atentos si necesitas alguna aclaración adicional sobre este punto.</t>
  </si>
  <si>
    <t>04b2be5a-LATAM-LP</t>
  </si>
  <si>
    <t>25/03/2026 16:50</t>
  </si>
  <si>
    <t>Buenas tardes. El día 03 de enero realicé mi último vuelo en B767. Durante febrero y Marzo he estado fuera de vuelo por NME. Desde el 25 de marzo ya me encuentro como retorno a rol. Cuando ha salido el rol de abril sigo sin asignaciones. Quedo pendiente y atento para saber si podré realizar algún vuelo sin perder la experiencia reciente en B767</t>
  </si>
  <si>
    <t>2470f20f-LATAM-LP</t>
  </si>
  <si>
    <t>25/03/2026 15:17</t>
  </si>
  <si>
    <t>Junto con saludarlos, me encuentro a la espera de la programación de mi Re Calificación en B-767. Pense que con la salida del rol de abril ya habría fecha programada. Agradezco de antemano su ayuda. Saludos</t>
  </si>
  <si>
    <t>¡Gracias por la información! Te informamos que estamos coordinando la asignación de tu recalificación para el 30 de abril, en base a la disponibilidad de los instructores y la holgura operativa. Asimismo, te estaremos notificando por correo la información de tu asignación. Esperamos que la respuesta te haya sido de gran ayuda.</t>
  </si>
  <si>
    <t>d1e2acd1-LATAM-LP</t>
  </si>
  <si>
    <t>20/03/2026 14:16</t>
  </si>
  <si>
    <t>buenas tardes, el día lunes tengo rti en clinica del trabajador.El día de hoy tengo mi periodo mestrual asi que no podré hacer la prueba de orina. Mi pregunta es si puedo avanzar con los demás examenes.</t>
  </si>
  <si>
    <t>Te agradeceríamos nos confirmes si llegaste a asistir este lunes; de no ser así, procederemos de inmediato con la gestión de una nueva programación para que puedas completar tu Examen sin inconvenientes. Quedamos atentos a tu confirmación.</t>
  </si>
  <si>
    <t>e6805262-LATAM-LP</t>
  </si>
  <si>
    <t>25/03/2026 20:03</t>
  </si>
  <si>
    <t>Line check Airbus</t>
  </si>
  <si>
    <t>"¡Gracias por la información! Te informamos que, dado que tu mes base es abril y según lo establecido en la RAP 63, esta actividad puede ser programada dentro de un período de elegibilidad que comprende 30 días antes, durante y después de tu mes base. Por lo tanto, tu verificación de competencia podrá ser agendada tanto en marzo como en mayo,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</si>
  <si>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6f107197-LATAM-LP</t>
  </si>
  <si>
    <t>20/03/2026 18:50</t>
  </si>
  <si>
    <t>Días en bolsa</t>
  </si>
  <si>
    <t>Te comentamos que cuentas con 10 días en tu bolsa de vacaciones</t>
  </si>
  <si>
    <t>6ea7d956-LATAM-LP</t>
  </si>
  <si>
    <t>25/03/2026 16:53</t>
  </si>
  <si>
    <t>Buenas tardes, me gustaría registrarme para el taller voluntario de seguridad del día 6 de abril ¿cual es el link del formulario?</t>
  </si>
  <si>
    <t>"¡Gracias por la información! Te informamos que la inscripción al Taller Voluntario de Seguridad lo puedes realizar a través de OSSA Esperamos que la respuesta te haya sido de gran ayuda."</t>
  </si>
  <si>
    <t>80d8229b-LATAM-LP</t>
  </si>
  <si>
    <t>23/03/2026 08:51</t>
  </si>
  <si>
    <t>Buenos dias, me llego un correo de ustedes informandome que debo ver el area medica de la empresa por tener descanso medico igual o mayor a 21 dias. Quiero saber como procede eso, el medico viene, yo debo de ir y como se ve el apto medico, por favor es la primera vez que tengo esto y no se el procedimiento, por cierto en el correo dicen que mi descanso es hasta el 3q de Marzo, pero en realidad es hasta el 30 de Marzo en total es 20 dias. Porfavor les agradeceria mucho su respuesta.</t>
  </si>
  <si>
    <t>Gracias por la información! Te comentamos que solo si presentas 21 días de descanso médico seguidos te recomendamos canalizar tu consulta directamente con tu CPL. Esperamos que la respuesta haya sido de gran ayuda!</t>
  </si>
  <si>
    <t>d10cb173-LATAM-LP</t>
  </si>
  <si>
    <t>24/03/2026 08:39</t>
  </si>
  <si>
    <t>Buenos días, deseo consultar cómo podría actualizar la nota de mi examen de Inglés con la finalidad de obtener la bandera de segundo idioma en mi piocha. Recurrí al link que está en Site Lp pero al hacer click en el link respectivo obtengo un mensaje que el documento no se encuentra disponible. Agradezco su orientación.</t>
  </si>
  <si>
    <t>Estimada Ethel: Te comentamos que mediante la herramienta GO FLUENT puedes rendir el examen y luego de ello solicitar la actualización de su nota. Luego de contar con ese procedimiento podrás solicitar tu actualización de Piocha. Esperamos que la respuesta haya sido de gran ayuda!</t>
  </si>
  <si>
    <t>29a538b0-LATAM-LP</t>
  </si>
  <si>
    <t>23/03/2026 14:54</t>
  </si>
  <si>
    <t>87f83fdb-LATAM-LP</t>
  </si>
  <si>
    <t>24/03/2026 12:52</t>
  </si>
  <si>
    <t>Estimados, tengo una conuslta referente al registro de mi licencia por maternidad que debo ingresar por el people manager. Me sale poner fecha de inicio y término, ¿debo ingresarla desde que bajo a tierra o desde que nazca el bebé? Ya que si debo hacerlo desde ahora si tengo la fecha de inicio más no podría poner la fecha de término. Quedo atenta, muchas gracias.</t>
  </si>
  <si>
    <t>Gracias por la información! La licencia de maternidad puede empezar antes o desde el nacimiento del bebé por ello te pedimos revisar tu caso con tu medico tratante. Asimismo, si cuentas con alguna otra duda adicional, por favor, ingresa tu consulta a traves de RH Connect Esperamos que la respuesta haya sido de gran ayuda!</t>
  </si>
  <si>
    <t>af18df20-LATAM-LP</t>
  </si>
  <si>
    <t>26/03/2026 14:32</t>
  </si>
  <si>
    <t>79717717-LATAM-LP</t>
  </si>
  <si>
    <t>27/03/2026 14:47</t>
  </si>
  <si>
    <t>Estimados, estoy con extensión en abril para mi chequeo en línea y viendo lo rol del otro mes no tengo asignado ningún chequeo. Espero puedan revisarlo</t>
  </si>
  <si>
    <t>956bd6bd-LATAM-LP</t>
  </si>
  <si>
    <t>26/03/2026 07:04</t>
  </si>
  <si>
    <t>ae3d1781-LATAM-LP</t>
  </si>
  <si>
    <t>28/03/2026 17:30</t>
  </si>
  <si>
    <t>Buenos dias les escribo para saludarlos y comentarles que no se realizo mi Chequeo de Competencia de flota A320F que estaba programado el 06 de Marzo 2026, debido a que la instructora tuvo que desempeñarse como tripulante reemplazando a un compañero TC. Por tal motivo, les pido por favor me consideren en la programacion de Abril que es el mes de Vencimiento . O por favor soliciten la prorroga para el Mes de Mayo para que me puedan realizar dicha Verificacion de Competencia en la flota A320F y no vencerme. Muchas gracias, espero su respuesta. Saludos</t>
  </si>
  <si>
    <t>"¡Gracias por la información! Te informamos que estamos coordinando la asignación de tu Verificación de la Competencia se va a realizar en mayo, junto con tu prorroga correspondiente. Esperamos que la respuesta te haya sido de gran ayuda."</t>
  </si>
  <si>
    <t>0cd6499d-LATAM-LP</t>
  </si>
  <si>
    <t>30/03/2026 11:55</t>
  </si>
  <si>
    <t>Hola buenos dias , me mandaron un correo para mi próximo linecheck aceptando mi cambio de vuelo para ello, al cual acepto el cambio para que se pueda realizar mi chequeo de competencia , muchas gracias por la ayuda .</t>
  </si>
  <si>
    <t>a85cae48-LATAM-LP</t>
  </si>
  <si>
    <t>31/03/2026 19:10</t>
  </si>
  <si>
    <t>RO99</t>
  </si>
  <si>
    <t>ab5f0b3c-LATAM-LP</t>
  </si>
  <si>
    <t>25/03/2026 08:33</t>
  </si>
  <si>
    <t>4af162a2-LATAM-LP</t>
  </si>
  <si>
    <t>26/03/2026 16:18</t>
  </si>
  <si>
    <t>Estimados, Buenas tardes, les escribe Carolina Pamela Fernández Vela, tripulante de cabina, BP 4274760. Quisiera consultar respecto al estado de mi licencia con habilitación para el B767, ya que he sido programada para vuelos el próximo mes. Actualmente me encuentro chequeada para la flota; sin embargo, aún no he recibido novedades sobre la emisión o actualización de mi licencia. Agradecería mucho si pudieran orientarme sobre el estado del trámite y los pasos a seguir para regularizar esta situación antes de mis próximas programaciones. Quedo atenta a sus comentarios. Muchas gracias de antemano. Saludos cordiales, Carolina Pamela Fernández Vela Tripulante de Cabina BP 4274760</t>
  </si>
  <si>
    <t>7cd3c70e-LATAM-LP</t>
  </si>
  <si>
    <t>01/04/2026 18:10</t>
  </si>
  <si>
    <t>Buenas noches, deseo confirmar si es correcto que no necesito un documento provisional para mi reentrenamiento de Boeing. Porque para airbus sí me aparece que es necesario. Muchas gracias</t>
  </si>
  <si>
    <t>3456681e-LATAM-LP</t>
  </si>
  <si>
    <t>01/04/2026 15:37</t>
  </si>
  <si>
    <t>El 31 marzo fue mi vencimiento de line check en 767 , se me brindó una extensión hasta abril pero tampoco me pusieron vuelo, en ese entonces, cuál sería el procedimiento? , y podría al menos solicitar un cambio de vuelo para volar en 767 como experiencia reciente y al menos no perder la habilitación o eso tampoco podría hacer?</t>
  </si>
  <si>
    <t>Hola ,Cinthia Revisando tu caso, te detallamos la situación de tu habilitación: Experiencia Reciente: Tu experiencia reciente venció el 14 de marzo, periodo en el que te encontrabas de vacaciones. Debido a este vencimiento, legalmente no era posible programarte un vuelo de Line Check (LCK) en abril sin antes realizar un reentrenamiento. Como el rol de abril ya se encuentra publicado, existe complejidad en programar el reentrenamiento y el LCK de manera manual. Por ello para regularizar tu situación y recuperar la habilitación, en la programación de mayo se incluirá tu Reentrenamiento + Recalificación (RECA) de 767. Respecto a tu consulta sobre solicitar un vuelo para no perder la habilitación, en este momento ya no es posible debido a los vencimientos mencionados. Quedamos atentos si tienes alguna duda adicional.</t>
  </si>
  <si>
    <t>ffcaae39-LATAM-LP</t>
  </si>
  <si>
    <t>26/03/2026 10:32</t>
  </si>
  <si>
    <t>Solicito reembolso de pago por levantamiento de observación para Apto Médico de Clinica los Andes. La suma de 588.80 soles a mi cuenta bcp 19104802113018. Cci 00219110480211301850 a nombre de Ericka Vanessa Lopez Garcia</t>
  </si>
  <si>
    <t>¡Gracias por la información! Te comentamos que la solicitud de reembolso lo debes solicitar por SAP CONCUR Esperamos que la respuesta te haya sido de gran ayuda.</t>
  </si>
  <si>
    <t>c0d12fdc-LATAM-LP</t>
  </si>
  <si>
    <t>26/03/2026 16:07</t>
  </si>
  <si>
    <t>Buenas tardes, luego de un descanso médico prolongado pasé por la evaluación de apto médico. Acabo de recibir el nuevo documento, pero debajo de mi foto donde anteriormente decía TC5900 por mi licencia. Ahora dice CDT7192. ¿Es eso correcto?</t>
  </si>
  <si>
    <t>d288fca8-LATAM-LP</t>
  </si>
  <si>
    <t>26/03/2026 16:54</t>
  </si>
  <si>
    <t>AM19</t>
  </si>
  <si>
    <t>f6ed7084-LATAM-LP</t>
  </si>
  <si>
    <t>01/04/2026 12:12</t>
  </si>
  <si>
    <t>Vencimiento licencia chilena</t>
  </si>
  <si>
    <t>1af23e7b-LATAM-LP</t>
  </si>
  <si>
    <t>01/04/2026 22:02</t>
  </si>
  <si>
    <t>Hola, yo me encuentro regresando de maternidad. He llevado mi curso en tierra (REVA) de ambas flotas (A320/B767). Acabo de pasar mi reentrenamiento y recalificación en vuelo en la flota A320,sin embargo, no me han programado reentrenamiento y recalificación en B767. Ya que mi ultimo vuelo en ambas flotas fue en mayo del 2025, podrían programarme antes que cumpla el año (mayo 2026) los vuelos y asi no pasarme el año y tener que hacer un curso. En este momento me encuentro de vacaciones , pero yo no tendria problema que se corten con el fin de la programación de los vuelos. muchas gracias.</t>
  </si>
  <si>
    <t>Hola, Sheyla. Esperamos que te encuentres muy bien. Respecto a tu solicitud, te comentamos que tendrás que elevar esta consulta directamente con tu CPL. Debido a que implica una interrupción de vacaciones, se trata de un tema administrativo sensible; por tal motivo, es necesario que valide el caso y se ponga en contacto con nosotros para proceder en caso te den la autorización. Esperamos haberte ayudado!</t>
  </si>
  <si>
    <t>Hola Paola, esperamos te encuentres bien Te comentamos que tenemos mapeado el vencimiento de tu licencia chilena y estamos gestionando la nueva para poder enviartela tan pronto como sea posible. Esperamos haberte ayudado!</t>
  </si>
  <si>
    <t>56b971d5-LATAM-LP</t>
  </si>
  <si>
    <t>01/04/2026 10:05</t>
  </si>
  <si>
    <t>Estimados buenos días: El motivo de la presente es para verificar la confirmación de la actualización de mi pasaporte. Hice la actualización el día 13/03/26 pero no tuve confirmación alguna dentro de los 4 días hábiles. Quedo atento a su respuesta. Saludos;</t>
  </si>
  <si>
    <t>"¡Gracias por la información! Lamentamos que no se te haya enviado el correo de confirmación y te comentamos que ya se encuentra actualizado tu pasaporte. Esperamos que la respuesta te haya sido de gran ayuda.</t>
  </si>
  <si>
    <t>3be5ff19-LATAM-LP</t>
  </si>
  <si>
    <t>25/03/2026 08:29</t>
  </si>
  <si>
    <t>2064446d-LATAM-LP</t>
  </si>
  <si>
    <t>25/03/2026 10:02</t>
  </si>
  <si>
    <t>Buenos días, ya he recogido mi nuevo aprobación médico, pero aún no me envían la nueva licencia chilena. Mi licencia chilena vence el 31 de marzo.</t>
  </si>
  <si>
    <t>1856099d-LATAM-LP</t>
  </si>
  <si>
    <t>27/03/2026 20:50</t>
  </si>
  <si>
    <t>Por ciclo menstrual tendré que reprogramar mi apto médico programado para el 30mar</t>
  </si>
  <si>
    <t>2acee172-LATAM-LP</t>
  </si>
  <si>
    <t>28/03/2026 16:36</t>
  </si>
  <si>
    <t>5ef0111d-LATAM-LP</t>
  </si>
  <si>
    <t>29/03/2026 00:15</t>
  </si>
  <si>
    <t>6bf8825c-LATAM-LP</t>
  </si>
  <si>
    <t>06/04/2026 15:06</t>
  </si>
  <si>
    <t>Renovación visa crew / vuelo 767</t>
  </si>
  <si>
    <t>Estimado Rodrigo, esperamos te encuentres bien Te solicitamos por favor especificarnos mejor tu consulta para poder revisarla a detalle. Saludos Cordiales!</t>
  </si>
  <si>
    <t>0165bfb6-LATAM-LP</t>
  </si>
  <si>
    <t>06/04/2026 18:40</t>
  </si>
  <si>
    <t>5b52a000-LATAM-LP</t>
  </si>
  <si>
    <t>25/03/2026 12:14</t>
  </si>
  <si>
    <t>a0163765-LATAM-LP</t>
  </si>
  <si>
    <t>30/03/2026 17:35</t>
  </si>
  <si>
    <t>ED07</t>
  </si>
  <si>
    <t>692fa4b6-LATAM-LP</t>
  </si>
  <si>
    <t>06/04/2026 15:42</t>
  </si>
  <si>
    <t>Entre a enviar aqd y no se envía desde el 04 de abril me sale el mensaje de error el cual adjunto.</t>
  </si>
  <si>
    <t>Estimado Andres Gracias por la información, comentarte que ya puedes enviar tu consulta a traves de la aplicación de AQD. Saludos!</t>
  </si>
  <si>
    <t>8d739e31-LATAM-LP</t>
  </si>
  <si>
    <t>06/04/2026 16:11</t>
  </si>
  <si>
    <t>Estimados buenas tardes, el dia de hoy tenia mi Linecheck del 767 sin embargo no pude realizar el vuelo ya que el dia anterior tuve una demora y por Block time maximo de 8hrs lo perdí, porfavor les pido la consideración para que me puedan reprogramar el Lck lo antes posible ya que en Mayo me venzo. Muchas gracias</t>
  </si>
  <si>
    <t>Estimado Luis, Te comentamos que solicitaremos que se pueda reprogramar tu LCK para el mes de Junio con Prorroga. Saludos!</t>
  </si>
  <si>
    <t>c747331d-LATAM-LP</t>
  </si>
  <si>
    <t>30/03/2026 04:16</t>
  </si>
  <si>
    <t>Estimados, buenos días. Espero se encuentren bien. Les saluda Jose Mujica con BP 2983733. Les escribo porque mi licencia chilena vence a fin de mes y el 1 de Abril tengo vuelo de madrugada. Les pido por favor puedan confirmarme si tienen alguna novedad de la licencia. Saludos</t>
  </si>
  <si>
    <t>fa41a2d6-LATAM-LP</t>
  </si>
  <si>
    <t>30/03/2026 16:47</t>
  </si>
  <si>
    <t>4b65a156-LATAM-LP</t>
  </si>
  <si>
    <t>03/04/2026 10:53</t>
  </si>
  <si>
    <t>7535b8d7-LATAM-LP</t>
  </si>
  <si>
    <t>06/04/2026 18:38</t>
  </si>
  <si>
    <t>f0c5bf8b-LATAM-LP</t>
  </si>
  <si>
    <t>28/03/2026 08:20</t>
  </si>
  <si>
    <t>Bien día. Me comunico para informar respecto a mi apto médico observado. Ya tuve cita con el especialista y estoy a la espera del resultado de un examen. En cuanto lo tenga, enviaré la documentación correspondiente a la clínica para que puedan levantarlo. Gracias</t>
  </si>
  <si>
    <t>acecd93d-LATAM-LP</t>
  </si>
  <si>
    <t>Buenas Noches, estoy mandando correo ya que el día 07/04 tengo apto médico sin embargo en el IFHT me figura RTI.</t>
  </si>
  <si>
    <t>ff99c64f-LATAM-LP</t>
  </si>
  <si>
    <t>29/03/2026 01:37</t>
  </si>
  <si>
    <t>34fc6976-LATAM-LP</t>
  </si>
  <si>
    <t>30/03/2026 13:52</t>
  </si>
  <si>
    <t>Cumplo con informar que se me ha programado examen medico ocupacional para el día 27 de abril 2026. Sin embargo ese dia tengo asignado RTI por rol. Quedo atento a los pasos a seguir.</t>
  </si>
  <si>
    <t>"¡Gracias por la información! Te informamos que, dado que tu revalidación se encuentra agendada para este mes y a fin de homologar las fechas, se ha visto necesario agendar tu exámen médico ocupacional y/o apto médico. En Soporte SAB, llevamos el control y seguimiento de todas las licencias y habilitaciones, por lo que no es necesario que te preocupes. Solo te pedimos que nos contactes si faltan menos de 72 horas para el vencimiento y aún no recibes novedades. Esperamos que la respuesta te haya sido de gran ayuda."</t>
  </si>
  <si>
    <t>216d6d01-LATAM-LP</t>
  </si>
  <si>
    <t>28/03/2026 22:58</t>
  </si>
  <si>
    <t>Estoy tratando de dar mi curso sustitutorio de airbus pero trato de entrar a la evaluación y me sale que esta bloqueada.</t>
  </si>
  <si>
    <t>1ec4c4e0-LATAM-LP</t>
  </si>
  <si>
    <t>29/03/2026 23:22</t>
  </si>
  <si>
    <t>Buenas noches, disculpen deseo informar que el curso de emergencias generales, que se encontraba en Academia Latam, fue realizado. Gracias por su cordial ayuda.</t>
  </si>
  <si>
    <t>cf2ff829-LATAM-LP</t>
  </si>
  <si>
    <t>31/03/2026 15:45</t>
  </si>
  <si>
    <t>Buenas tardes, actualmente me encuentro en licencia por maternidad, que se extiende hasta el 22 de junio. Para el periodo 2025-2 Tenía vacaciones en noviembre y diciembre el cual eran 15 días en noviembre y 8 días en diciembre es decir un total de 23 días, pero solicité que las cancelaran para poder solicitarlas al final de mi licencia de maternidad, es decir no las tomé. luego para el periodo 2026-1 solicité no salir los 14 días que me tocaba , Por lo que se sumaron esos días a la bolsa dando un total de 37 días pendientes , en el mismo formato me indicaban que tenía para el (periodo 2026-2) 8 días disponibles es decir un total en la bolsa de 45 días. Me han mandado ahora un correo indicando que tengo solo 34 días acumulados. Quedo atenta si necesitan info adicional.</t>
  </si>
  <si>
    <t>Hola Andrea, esperamos te encuentres bien. Te comentamos que la programación de tus vacaciones pendientes será revisada a detalle y programada dentro de tu linea de retorno. Te notificaremos el desglose final y el cronograma vía correo de soporte antes de que finalice tu periodo postnatal. Para poder procesar esto con la anticipación debida, por favor completa los datos necesarios en el siguiente formulario: https://docs.google.com/forms/d/e/1FAIpQLScrUaGYrsqczM580V-JG7CCr_6s6ET1Du7t0SrQ8qUEXiT4Qw/viewform Esperamos haberte ayudado!</t>
  </si>
  <si>
    <t>d7861de2-LATAM-LP</t>
  </si>
  <si>
    <t>31/03/2026 18:39</t>
  </si>
  <si>
    <t>Estimados quisiera saber dónde figuran mis días adicionales por los años trabajados en la empresa. Tengo 11 años en latam pero me sale que solo tengo 30 días de vacaciones. Donde visualizo los días extras. Gracias.</t>
  </si>
  <si>
    <t>Hola! Gracias por tu consulta. Respecto a tu duda sobre la antigüedad, te confirmamos que tus días adicionales ya se encuentran cargados en el sistema. Para el periodo comprendido entre el 1 de marzo de 2026 y el 28 de febrero de 2027, tu saldo total es de 34 días. Aquí te detallamos tu estado actual: Saldo inicial del periodo: 34 días. Días gozados (marzo): 7 días. Saldo disponible actual: 27 días. Para el segundo semestre de 2026, te corresponde programar 23 días. Si deseas solicitar días adicionales antes de la comunicación oficial, puedes realizarlo a través de la prepublicación; ten en cuenta que dicha solicitud será evaluada según el escalafón y los cupos disponibles. Quedamos atentos a cualquier duda adicional.</t>
  </si>
  <si>
    <t>3b96f6e7-LATAM-LP</t>
  </si>
  <si>
    <t>31/03/2026 18:41</t>
  </si>
  <si>
    <t>Estimados. Quisiera saber dónde visualizo mis días extras de vacaciones acumulados por los años trabajados en la empresa. Tengo 11 años en Latam pero me salen solo 30 días de vacaciones. Me comentan gracias</t>
  </si>
  <si>
    <t>e23749c0-LATAM-LP</t>
  </si>
  <si>
    <t>31/03/2026 10:20</t>
  </si>
  <si>
    <t>1f323d75-LATAM-LP</t>
  </si>
  <si>
    <t>06/04/2026 15:07</t>
  </si>
  <si>
    <t>Buen dia, este lunes 20 de abril tengo programada la cita para renovar mi visa crew pero en paralelo veo que en junio vence mi habilitación 767. Mi consulta es si en mayo tambien tendré el rol bloqueado para ver si pido un vuelo 767 a fin de no vencerme. Michas gracias por el apoyo.</t>
  </si>
  <si>
    <t>Jose</t>
  </si>
  <si>
    <t>d1a39f85-LATAM-LP</t>
  </si>
  <si>
    <t>06/04/2026 12:51</t>
  </si>
  <si>
    <t>Visa denegada</t>
  </si>
  <si>
    <t>Estimada Katherine, te comentamos que se te retirará el rol protegido.</t>
  </si>
  <si>
    <t>8e2e3ded-LATAM-LP</t>
  </si>
  <si>
    <t>06/04/2026 17:04</t>
  </si>
  <si>
    <t>Buenas tardes! Espero se encuentren bien. Me comunico con ustedes para solicitar su apoyo, si fuera posible, con la reprogramación de mi chequeo de reentrenamiento (Boeing 767), idealmente dentro del mes de abril.El motivo de mi solicitud es que, de no poder realizarlo dentro de este mes, tendría que volver a llevar el curso, por lo que agradecería enormemente si pudieran considerar mi caso y brindarme alguna alternativa disponible. Agradezco de antemano su atención y el apoyo que me puedan brindar. Quedo atenta a su respuesta. Muchas gracias.</t>
  </si>
  <si>
    <t>Estimada Olga, te comentamos que debido a la dificultad de reprogramar la actividad con el rol en curso no será posible reprogramar la actividad para el presente mes y le corresponderá volver a llevar el curso.</t>
  </si>
  <si>
    <t>3cb43559-LATAM-LP</t>
  </si>
  <si>
    <t>31/03/2026 14:54</t>
  </si>
  <si>
    <t>AM16</t>
  </si>
  <si>
    <t>"¡Gracias por la información! Te comentamos que la programación de tu apto médico sera el 13 de abril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</si>
  <si>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72673493-LATAM-LP</t>
  </si>
  <si>
    <t>31/03/2026 08:21</t>
  </si>
  <si>
    <t>Buenos días. Mi nombre es Jennifer Coral Martínez. Tuve una observación en mi apto médico en la clínica del trabajador. Me comunico para informarles que el día de hoy ya he enviado toda la documentación requerida. Quedo a la espera de la respuesta de la clínica. Muchas gracias</t>
  </si>
  <si>
    <t>4f35cafc-LATAM-LP</t>
  </si>
  <si>
    <t>07/04/2026 21:43</t>
  </si>
  <si>
    <t>Tengo mi pasaporte conmigo, me sale en el iflight que no tengo pasaporte solicito su ayuda corrigiendo ello</t>
  </si>
  <si>
    <t>c451f921-LATAM-LP</t>
  </si>
  <si>
    <t>31/03/2026 16:26</t>
  </si>
  <si>
    <t>1f9ae58c-LATAM-LP</t>
  </si>
  <si>
    <t>31/03/2026 18:59</t>
  </si>
  <si>
    <t>Estimados, buenas tardes: Les escribo porque, previo a mi vuelo, al revisar la documentación, el capitán me indicó que en su sistema figura mi apto médico como vencido. Sin embargo, al ingresar al detalle, aparecen dos registros: uno vigente (correcto) y otro vencido. La misma situación se presenta en mi iFlight, donde también figuran ambos aptos médicos. Agradecería pudieran verificar esta información y realizar la corrección correspondiente para que solo se visualice el apto médico vigente. Quedo atenta a sus comentarios.</t>
  </si>
  <si>
    <t>"¡Gracias por la información! Te comentamos que ambos campos aparecen debido a la generación de un historial dentro del sistema. Esperamos que la respuesta te haya sido de gran ayuda.</t>
  </si>
  <si>
    <t>ac508a19-LATAM-LP</t>
  </si>
  <si>
    <t>01/04/2026 05:18</t>
  </si>
  <si>
    <t>Días disponibles</t>
  </si>
  <si>
    <t>Estimado Francisco, esperamos te encuentres muy bien Te solicitamos, por favor, ser mas específico en una nueva consulta para poder revisar a detalle tu caso. Muchas gracias!</t>
  </si>
  <si>
    <t>954e254d-LATAM-LP</t>
  </si>
  <si>
    <t>01/04/2026 09:04</t>
  </si>
  <si>
    <t>solicitar cambio de fecha de vacaciones 2026-I: buenos dias tengo pre publicadas vacaciones en fecha 24/05 al 31/05, deseo cambiar la fecha de esos 8 dias para utilizarlos del 11/05 al 18/05. Me encuentro actualmente en el area administrativa. Gracias</t>
  </si>
  <si>
    <t>¡Gracias por la información! Te confirmamos que se ha realizado la modificación de tus vacaciones para el mes de mayo. Según tu solicitud, el periodo ha quedado actualizado de la siguiente manera: Fecha anterior: 24/05 al 31/05 Nueva fecha programada: 11/05 al 18/05 (8 días) Esperamos haberte ayudado!</t>
  </si>
  <si>
    <t>2024838a-LATAM-LP</t>
  </si>
  <si>
    <t>07/04/2026 11:57</t>
  </si>
  <si>
    <t>Buenas tardes, Espero que se encuentren bien. Me comunico para consultar sobre la actualización de datos en mis licencias aeronáuticas. Actualmente cuento con una licencia chilena y una licencia peruana; sin embargo, ambas registran direcciones distintas. Quisiera saber cuál es el procedimiento adecuado para regularizar esta situación y mantener la información actualizada correctamente. Agradeceré mucho su orientación sobre los pasos a seguir. Quedo atento(a) a su respuesta. Saludos cordiales,</t>
  </si>
  <si>
    <t>Estimada, Se estará actualizando su dirección de convalidación licencia chilena según la información que tenemos en nuestras bases</t>
  </si>
  <si>
    <t>46b416f4-LATAM-LP</t>
  </si>
  <si>
    <t>01/04/2026 02:44</t>
  </si>
  <si>
    <t>Estimados buenos dias. Por favor su apoyo reprogramando mi apto médico que vence el 30 de Abril. Tenía fecha programada para el 23 de Marzo, pero por estar con una infección (celulitis) en la mano, y los medicamentos wue estaba tomando, el área de asesoramiento médico indicó no estaba apta para pasar por apto médico. Se notificó a jefatura y a movimiento diario. Por favor su apoyo para saber como se reprograms en estos casos. Atentamente Leslie Felix BP 4229458</t>
  </si>
  <si>
    <t>"¡Gracias por la información! Te comentamos que la programación de tu apto médico se realizará el 20 de abril dado que tu vencimiento es 30 de abril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</si>
  <si>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ac8dd53c-LATAM-LP</t>
  </si>
  <si>
    <t>08/04/2026 08:55</t>
  </si>
  <si>
    <t>Cancelación de visa crew</t>
  </si>
  <si>
    <t>efabb16b-LATAM-LP</t>
  </si>
  <si>
    <t>08/04/2026 17:05</t>
  </si>
  <si>
    <t>4c434f66-LATAM-LP</t>
  </si>
  <si>
    <t>08/04/2026 18:19</t>
  </si>
  <si>
    <t>TR05</t>
  </si>
  <si>
    <t>bb2c898d-LATAM-LP</t>
  </si>
  <si>
    <t>08/04/2026 21:24</t>
  </si>
  <si>
    <t>Buenas noches les escribo debido a que mi pasaporte se vence el 08 de agosto de este año y la única cita disponible era para el día 22 de abril la cual saqué y envíeme el formulario de protección de rol pero fue denegada quiero saber que procedimiento debo de seguir para poder tener mi rol protegido el pasaporte debe de ser entregado el mismo día quería .</t>
  </si>
  <si>
    <t>Estimada Chloe, esperamos te encuentres bien. Te comentamos que tu solicitud fue rechazada pues no se ingreso con 2 meses de anticipación según lo establecido, en este caso deberas canalizar tu caso con tu CPL para que podamos realizar las gestiones respectivas. Saludos Cordiales!</t>
  </si>
  <si>
    <t>5efc3163-LATAM-LP</t>
  </si>
  <si>
    <t>01/04/2026 09:38</t>
  </si>
  <si>
    <t>Mi consulta es saber si los plazos se mantienen para la resolución de los cursos en linea, ya que, mi reva será reprogramada debido a que el instructor asignado es mi hermano.</t>
  </si>
  <si>
    <t>Estimada Almendra, esperamos te encuentres bien Te confirmamos que, debido a la reprogramación, los plazos de los e-learnings se ajustarán. Estos deben ser realizados luego de que se te reprograme la Reva. Esperamos haberte ayudado!</t>
  </si>
  <si>
    <t>7dda4809-LATAM-LP</t>
  </si>
  <si>
    <t>01/04/2026 08:19</t>
  </si>
  <si>
    <t>Me mandaron correo indicando que si tenia en mi rol RTI me comunicara con soporte.</t>
  </si>
  <si>
    <t>Estimada Angela, esperamos te encuentres bien Por favor, te solicitamos indicarnos si cuentas con algun impedimento para realizar la actividad en una nueva consulta. Saludos!</t>
  </si>
  <si>
    <t>29e58be5-LATAM-LP</t>
  </si>
  <si>
    <t>04/04/2026 09:26</t>
  </si>
  <si>
    <t>504d5285-LATAM-LP</t>
  </si>
  <si>
    <t>02/04/2026 17:12</t>
  </si>
  <si>
    <t>Buenas tardes, había ingresado una solicitud para cederle del 24 al 31 de mayo vacaciones a una compañera y sólo tomar del 16 al 23, pero ahora que me llegó el correo de pedido de vacaciones me sale que sólo tengo 14 días para el 2do semestre como si no las estuviera cediendo, yo ahora en mayo sólo me estaría quedando con vacaciones del 16 al 23</t>
  </si>
  <si>
    <t>Hola Sonia, esperamos te encuentres bien Te comentamos que debido a que el intercambio fue ingresado despues del envio actual no se te notifico el nuevo numero de vacaciones. Sin embargo te comentamos que cuentas con 22 días de vacaciones luego de que tu Cesión procediera. Esperamos haberte ayudado!</t>
  </si>
  <si>
    <t>678d6465-LATAM-LP</t>
  </si>
  <si>
    <t>02/04/2026 19:16</t>
  </si>
  <si>
    <t>202d1b2f-LATAM-LP</t>
  </si>
  <si>
    <t>03/04/2026 11:36</t>
  </si>
  <si>
    <t>Buenos días; tengo 20 días de vacaciones a tomar antes del vencimiento (01/09) y 12 después del vencimiento. Mi consulta es; si solo quiero tomar esos 20 días antes del vcto, puedo dejar esos 12 días para juntarlos al siguiente período? Ó necesariamente tengo que tomar todos los días que se me muestran aquí. Mi consulta va porque quisiera tener un acumulado de 30 días de vacaciones seguidas para el siguiente período.</t>
  </si>
  <si>
    <t>Estimada Paula, Te comentamos que lo ideal es que si las tomes segun lo que notificamos pues en el 2do corres el riesgo de no alcanzar cupo disponible y se le asigne dias que no solicitó. Asimismo igual puedes ingresar tu intencion de vacaciones y especificar lo que nos indicas en el apartado de comentarios. Esperamos haberte ayudado!</t>
  </si>
  <si>
    <t>55b78064-LATAM-LP</t>
  </si>
  <si>
    <t>03/04/2026 12:08</t>
  </si>
  <si>
    <t>Mi vencimiento de vacaciones es el 1 de noviembre. El tema es que mi esposa siempre sale de vacaciones en noviembre (no puede cambiar de fecha) quería saber si hay alguna posibilidad de pedir los 23 días que tengo para noviembre ya que es el mismo mes de mi vencimiento. Espero me puedan ayudar. Slds.</t>
  </si>
  <si>
    <t>Te comentamos que es posible usar tus días pendientes antes del 1 de noviembre. Asimismo, puedes solicitar algún bloque luego del 1ro de noviembre especificando en el apartado de comentarios que quieres tomar algunos días de vacaciones que te corresponden en el semestre 2027-1 para poder gozarlas en noviembre.</t>
  </si>
  <si>
    <t>2693865e-LATAM-LP</t>
  </si>
  <si>
    <t>03/04/2026 15:08</t>
  </si>
  <si>
    <t>120a6f46-LATAM-LP</t>
  </si>
  <si>
    <t>03/04/2026 15:09</t>
  </si>
  <si>
    <t>Buenas tardes , quisiera saber si es posible, este semestre me aparece que tengo 24 dias a tomar (mi fecha de vencimiento es el 1 de mayo) es decir, me quedaria 1 semana para tomar el siguiente semestre + 5 dias adicionales por acumulación de antiguedad. Por eso, este semestre que viene solo quiero salir 21 Dias y guardar esos 3 dias adicionales que me quedan para poder tener 2 semanas el siguiente semestre, es posible eso? Se los agradeceria mucho. No son por vencimiento.</t>
  </si>
  <si>
    <t>Estimada Thalía, te comentamos que si es posible, para ello tendrás que solicitar 3 bloques de vacaciones de 7 días y especificar en el apartado de comentarios que quieres reservar esos 3 días de vacaciones para el siguiente semestre.</t>
  </si>
  <si>
    <t>e1cd625b-LATAM-LP</t>
  </si>
  <si>
    <t>03/04/2026 21:33</t>
  </si>
  <si>
    <t>79dd7f9e-LATAM-LP</t>
  </si>
  <si>
    <t>04/04/2026 10:40</t>
  </si>
  <si>
    <t>Buenos dias, me llego el formulario de vacaciones el cual ya fue llenado, mi consulta es si me podrian confirmar que en la bolsa esten incluidos 23 dias de vacaciones pendientes del año pasado. Yo soy movimiento interno y RRHH me indico que tenia que salir hasts enero de 2027 si no me las pagarian, por eso he solicitado las dos ultimas semanas de diciembre, pido porfavir consideren mi caso. Adjunto la bolsa que me figura en people manager y el correo ( en el correo indica qie hasga noviembre 2026 tengo que salir 30 dias, que vendrian a ser los dias generados como tripulante)( no me especifica nada de mis otros 23 dias) solocito su apoyo e orientacion.</t>
  </si>
  <si>
    <t>Estimada Abigail Te comentamos que si se harán validas los días pendientes de tu otra aréa. Sin embargo, la solicitud de los 2 ultimos meses de diciembre es muy solicitada asi que debido a tu reciente ingreso es poco probable que se te otorguen dichas fechas. Por tanto te recomendamos solicitar otras fechas para poder proceder con la solicitud. esperamos haberte ayudado.</t>
  </si>
  <si>
    <t>e57958cb-LATAM-LP</t>
  </si>
  <si>
    <t>02/04/2026 08:04</t>
  </si>
  <si>
    <t>RO10</t>
  </si>
  <si>
    <t>0cae8acd-LATAM-LP</t>
  </si>
  <si>
    <t>09/04/2026 12:25</t>
  </si>
  <si>
    <t>ER06</t>
  </si>
  <si>
    <t>f733c43d-LATAM-LP</t>
  </si>
  <si>
    <t>03/04/2026 21:28</t>
  </si>
  <si>
    <t>142fa418-LATAM-LP</t>
  </si>
  <si>
    <t>03/04/2026 08:42</t>
  </si>
  <si>
    <t>Cumplo con informar que se me ha programado examen medico ocupacional para el día 29 de abril 2026. Sin embargo ese dia tengo asignado RTI por rol.</t>
  </si>
  <si>
    <t>Estimada Daniela, esperamos te encuentres bien Te comentamos que lo tenemos mapeado y gestionaremos una reprogramación del EMO para las próximas fechas Esperamos haberte ayudado!</t>
  </si>
  <si>
    <t>f12abde2-LATAM-LP</t>
  </si>
  <si>
    <t>04/04/2026 20:30</t>
  </si>
  <si>
    <t>46794b0f-LATAM-LP</t>
  </si>
  <si>
    <t>05/04/2026 10:45</t>
  </si>
  <si>
    <t>Retiro del codigo ME fecha 06/04</t>
  </si>
  <si>
    <t>b45e2e51-LATAM-LP</t>
  </si>
  <si>
    <t>05/04/2026 14:29</t>
  </si>
  <si>
    <t>8df9703b-LATAM-LP</t>
  </si>
  <si>
    <t>05/04/2026 22:04</t>
  </si>
  <si>
    <t>Buenas noches Estimados. Les saluda Ximena Gutierrez TC LP (BP 4660541). El dia Lunes 06/04/2026 tengo programado mi EXÁMEN OCUPACIONAL pero no podré asistir ya que no cumplo con una de las condiciones mencionadas para poder rendir dichos exámenes. Solicito por favor su ayuda para poder reprogramar este examen ocupacional o en todo caso indicarme si hay algún otro procedimiento que deba seguir aparte de informarlo a traves de este formulario. Gracias, quedo atenta a su respuesta.</t>
  </si>
  <si>
    <t>Estimada Te comentamos que buscaremos la reprogramación del Apto para las próximas fechas y te estaremos notificando con la invitación Esperamos haberte ayudado!</t>
  </si>
  <si>
    <t>c41d1e2d-LATAM-LP</t>
  </si>
  <si>
    <t>06/04/2026 08:56</t>
  </si>
  <si>
    <t>Buenos dias, el día de hoy me bajo mi periodo y el día de mañana tengo apto medico. Soy irregular. Y dentro de los requisitos esta que no debemos estar con él.</t>
  </si>
  <si>
    <t>38f76bbb-LATAM-LP</t>
  </si>
  <si>
    <t>10/04/2026 15:05</t>
  </si>
  <si>
    <t>Este 20 de abril es mi cita en la embajada para la renovacion de Visa Crew. Mi consulta es si en Mayo ya podré solicitar vuelo 767 ya que en junio me estaria venciendo en licencia 767. Gracias</t>
  </si>
  <si>
    <t>790f9a80-LATAM-LP</t>
  </si>
  <si>
    <t>10/04/2026 23:13</t>
  </si>
  <si>
    <t>El 6 de abril asistí a mi entrevista en la embajada para la solicitud de visa tipo crew; sin embargo, esta fue rechazada. Por tal motivo, solicito el levantamiento de todas las protecciones de rol asociadas.</t>
  </si>
  <si>
    <t>Estimada Fernanda Te comentamos que tenemos mapeada la información y se te levantarán las restricciones Saludos Cordiales</t>
  </si>
  <si>
    <t>a9eb1766-LATAM-LP</t>
  </si>
  <si>
    <t>13/04/2026 16:47</t>
  </si>
  <si>
    <t>bcadbdd9-LATAM-LP</t>
  </si>
  <si>
    <t>13/04/2026 14:28</t>
  </si>
  <si>
    <t>Curso voluntario seguridad</t>
  </si>
  <si>
    <t>Estimada Pilar Gracias por tu consulta. Te solicitamos, por favor, enviar una nueva consulta mas especifica para poder revisarla a detalle. muchas gracias.</t>
  </si>
  <si>
    <t>1c080755-LATAM-LP</t>
  </si>
  <si>
    <t>12/04/2026 14:09</t>
  </si>
  <si>
    <t>Chequeo DGAC B-767 pendiente</t>
  </si>
  <si>
    <t>Estimada Karen Te comentamos que se te asignará antes de tu fecha de vencimiento (MAYO) Saludos!</t>
  </si>
  <si>
    <t>ef082f61-LATAM-LP</t>
  </si>
  <si>
    <t>06/04/2026 16:23</t>
  </si>
  <si>
    <t>Buenas tardes, les escribió por que tengo apto médico el día 9 de abril y lastimosamente la fecha de mi periodo se ha adelantado, estado hoy (06 de Abril) en mi segundo día. Quisiera saber la solución que podría tener, sin afectar mi rol ya establecido.</t>
  </si>
  <si>
    <t>ca0ba49d-LATAM-LP</t>
  </si>
  <si>
    <t>13/04/2026 14:56</t>
  </si>
  <si>
    <t>Hola, qué tal. Quisiera por favor hacer la consulta que, hace un mes he subid mis documentos de la visa crew para que me coloquen mi Chequeo inicial de Boeing 767. Sin embargo, revisando el PBS no me figura ningún chequeo programado para el próximo mes. Quedo atenta por favor a la programación de mi chequeo que sería lo único que tengo pendiente, muchísimas gracias.</t>
  </si>
  <si>
    <t>En relación con tu consulta sobre la programación de tu chequeo, hemos verificado en el sistema que la fecha de actualización de tu Visa Crew fue el 29 de marzo. Debido a que el proceso de cierre de roles y programaciones para el mes de abril ya se encontraba avanzado para esa fecha, no fue posible incluirte en este periodo. Sin embargo, queremos que te quedes tranquila: el equipo de programación ya tiene mapeado tu caso. Se te asignarán los chequeos respectivos de manera oportuna antes de la fecha de vencimiento de tu curso de tierra (al cumplirse el año). Te sugerimos estar atenta a las próximas publicaciones del PBS para visualizar tus fechas asignadas. Muchas gracias por tu compromiso y quedamos a tu disposición para cualquier duda adicional.</t>
  </si>
  <si>
    <t>22514b84-LATAM-LP</t>
  </si>
  <si>
    <t>13/04/2026 20:14</t>
  </si>
  <si>
    <t>Buenas noches el dia de hoy se cancelo mi linecheck que ya cuenta con prorroga hasta el 30/04 mi pregunta es si se podra reprogramar para no perder la habilitacion, muchas gracias</t>
  </si>
  <si>
    <t>3abbfd21-LATAM-LP</t>
  </si>
  <si>
    <t>12/04/2026 21:29</t>
  </si>
  <si>
    <t>Estimados buenas tardes, para comentarles que mi ultimo vuelo en 767 fue el 28 de febrero, estoy realizando el pedido abierto para la ruta Jfk en el pbs para no vencerme en el equipo, por favor considerarlo para que me lo puedan dar en el mes de Mayo, muchas gracias</t>
  </si>
  <si>
    <t>d105d5cd-LATAM-LP</t>
  </si>
  <si>
    <t>06/04/2026 21:18</t>
  </si>
  <si>
    <t>Enviaron correo para pedidos de vacaciones 2026-02 y veo que no tengo días disponibles. Deseo que revisen ésto ya que el año pasado me quedaron debiendo un mes completo de vacaciones y al hacer la observación y seguimiento del caso, vieron como solución botarme un mes completo de vacaciones en Junio sin consultarme (es un mes en que no aprovecho a hacer nada, perjudicándome) Por lo mismo, es raro que no tenga fechas disponibles. Pido revisen bien el caso y, si en verdad no tengo fechas disponibles, que redistribuyan el mes de Junio. Seria ideal que se comuniquen conmigo para coordinar, el año pasado nadie lo hizo. Gracias! Slds.</t>
  </si>
  <si>
    <t>Estimada Jimena Te comentamos que te hemos programado 30 dias en junio y si quisieras vacaciones en el transcurso del 2do semestre antes de finalizar tu periodo de vacaciones 2025-26 puedes buscar compañeros a los que les puedas ceder vacaciones. Tu nuevo periodo de vacaciones inicia el 5 de nov a partir de esa fecha se te aperturara una nueva meta de 39 dias de vacaciones. Esperamos haberte ayudado!</t>
  </si>
  <si>
    <t>99c9e072-LATAM-LP</t>
  </si>
  <si>
    <t>07/04/2026 04:37</t>
  </si>
  <si>
    <t>En el mes de febrero tuve asignada por rol la reva anual debido a un accidete vehicular saliendo del examen medico no pude darlo solo hice el examen medico, los resultados ya me llegaeon y ya me asignaron reva en este mes de abril 4 dias, mi consulta es si se me asignara nuevamente pasar el examen medico debido a los dias programados segun rol. Quedo atenta.</t>
  </si>
  <si>
    <t>Estimada Vanessa Te comentamos que estas siendo asignada solo a RTI y no tienes examen médico. Lo visualizaras cuando te enviemos la programación. Saludos Cordiales!</t>
  </si>
  <si>
    <t>b306e2f3-LATAM-LP</t>
  </si>
  <si>
    <t>07/04/2026 09:30</t>
  </si>
  <si>
    <t>20f4dee8-LATAM-LP</t>
  </si>
  <si>
    <t>11/04/2026 21:58</t>
  </si>
  <si>
    <t>Buenas noches, espero se encuentren bien. Les escribo para comentarles que este mes perdí el line check en la flota A320FAM y es mi mes de vencimiento, agradeceré gestionen la prórroga para el mes de mayo y lo programen en el rol por favor. Gracias desde ya por su apoyo, saludos.</t>
  </si>
  <si>
    <t>¡Gracias por la información! Te informamos que, dado que tu mes base es Mayo y según lo establecido en la RAP 63, esta actividad puede ser programada dentro de un período de elegibilidad que comprende 30 días antes, durante y después de tu mes base. Por lo tanto, tu curso de LCK a320 podrá ser agendada tanto en mayo como en junio,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</si>
  <si>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345f6911-LATAM-LP</t>
  </si>
  <si>
    <t>07/04/2026 13:55</t>
  </si>
  <si>
    <t>Buenas tardes; desearía que me aclaren una duda. Tengo la intención de solicitar vacaciones la última semana de octubre y las dos primeras de noviembre. Sin embargo veo en el Mail que enviaron el 31 de marzo acerca de los días disponibles y me he dado con la sorpresa que colocan que tengo sólo 11 días después de mi fecha de vencimiento (11/10/2026) si mi fecha de ingreso fue el 11 de octubre, después de esta fecha no se me reinician los días disponibles ?</t>
  </si>
  <si>
    <t>Estimada Maria Te comentamos que efectivamente se te reinician los días de vacaciones despues de tu fecha de aniversario; sin embargo, los 11 días notificados son los acumulados para el 2do semestre del presente año esos 11 son parte de tu meta total de vacaciones 2026-2027. De igual manera podrías solicitar adelantar algunos días del siguiente semestre 2027 y especificarlo en el apartado de comentarios en el formulario de pre publicación. Saludos Cordiales!</t>
  </si>
  <si>
    <t>65d061c3-LATAM-LP</t>
  </si>
  <si>
    <t>07/04/2026 18:02</t>
  </si>
  <si>
    <t>Por medio de la presente para notificar que el día de mañana 08/04 del presente tengo RTI en Apto Médico , pero no cumplo con una de las condiciones para realizar el Apto Médico ( 1er día de menstruación) motivo por el cual solicito se me retire el código ME y se me asigne reserva restringida.</t>
  </si>
  <si>
    <t>489e5f35-LATAM-LP</t>
  </si>
  <si>
    <t>07/04/2026 21:25</t>
  </si>
  <si>
    <t>Buenas noches. Estaba haciendo mi examen de Equipos (sustitutorio) en el One De Vicente y sin querer presioné un botón que no debí y el sistema me botó del exámen. Quise entrar nuevamente y me salia desaprobado con 4 preguntas respondidas. Ni siquiera es que contesté las 10 y 6 resultaron erróneas, me quedé en la pregunta 4 y no pude avanzar más. Me tienen que ayudar porque no me dejo el sistema terminar el exámen. Gracias.</t>
  </si>
  <si>
    <t>Estimada Cecilia Te comentamos que deberás generar tu ticket en RH Connect y enviar la evidencia para que el examen pueda ser reiniciado. Saludos Cordiales!</t>
  </si>
  <si>
    <t>07b9bec9-LATAM-LP</t>
  </si>
  <si>
    <t>13/04/2026 08:34</t>
  </si>
  <si>
    <t>Buenos días, hoy tenia línea check pero fue cancelado ya que me cambiaron de avión al Boeing 767. Por favor podrían reprogramarme el line check en Boeing 787 nuevamente ya que mi vencimiento es en el mes de mayo. Quedo atenta gracias</t>
  </si>
  <si>
    <t>¡Gracias por la información! Te informamos que, dado que tu mes base es Abril y según lo establecido en la RAP 63, esta actividad puede ser programada dentro de un período de elegibilidad que comprende 30 días antes, durante y después de tu mes base. Por lo tanto, tu curso de LCK B767 podrá ser agendado tanto en mayo como en junio,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</si>
  <si>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89772e9a-LATAM-LP</t>
  </si>
  <si>
    <t>14/04/2026 06:01</t>
  </si>
  <si>
    <t>Buenos dias, el 8 del presente mes debido a descanso médico por lo que me gustaria dar aviso para que me reprogramen el linecheck. Muchas gracias de antemano. Saludos.</t>
  </si>
  <si>
    <t>"¡Gracias por la información! Te informamos que, dado que tu mes base en la flota A320F es mayo y según lo establecido en la RAP 63, esta actividad puede ser programada dentro de un período de elegibilidad que comprende 30 días antes, durante y después de tu mes base. Por lo tanto, tu verificación de competencia podrá ser agendada tanto en abril como en junio,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</si>
  <si>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6b9151b3-LATAM-LP</t>
  </si>
  <si>
    <t>08/04/2026 13:46</t>
  </si>
  <si>
    <t>Buenas Tardes, quería realizar una consulta. Actualmente me encuentro en estado de gestación y deseo realizar mi pedido de vacaciones por el segundo semestre del año, solo quisiera antes saber si existe la posibilidad de juntar estos quince días que tengo con mi período de postparto/lactancia y cómo podría solicitarlo. Agradezco su ayuda. Ethel</t>
  </si>
  <si>
    <t>Estimada Ethel Te comentamos que se tomará en cuenta su solicitud y tus vacaciones se porgramarán en tu linea de retorno, posterior al nacimiento de tu bebé. Esperamos haberte ayudado!</t>
  </si>
  <si>
    <t>af9a19ec-LATAM-LP</t>
  </si>
  <si>
    <t>08/04/2026 15:01</t>
  </si>
  <si>
    <t>El día 13 de abril, tenía programado ME en rol. Sin embargo, se ha realizado un cambio de asignacion de parte de la empresa (movimiento diario o soporte) a reserva. Quisiera saber si este cambio afecta la entrega de mi licencia chilena (la que vence a finales de este mes, ya recibi el nuevo apto medico que vence en 3 años). Quedo atenta a su respuesta.</t>
  </si>
  <si>
    <t>506192fd-LATAM-LP</t>
  </si>
  <si>
    <t>08/04/2026 15:26</t>
  </si>
  <si>
    <t>Estimados, junto con saludarlos para reforzar que mi Lineck de Airbus y Reva vence el 31 de mayo, entiendo que lo pueden tener mapeado, envio el refuerzo para que se pueda gestionar la programación con antelación.</t>
  </si>
  <si>
    <t>Estimada Ana Te comentamos que se tiene mapeado pero de igual manera te agradecemos la pregunta y valoramos tu responsabilidad. Asimismo, ten en cuenta que en caso no se pueda programar para el presente mes se puede solicitar una prorroga para que puedas realizar la actividad en el mes siguiente a tu vencimiento sin problema. Saludos Cordiales!</t>
  </si>
  <si>
    <t>9cfd766d-LATAM-LP</t>
  </si>
  <si>
    <t>08/04/2026 15:47</t>
  </si>
  <si>
    <t>Buenas tardes. Subsane mi observación de la evaluación médica Ocupacional tras una Interconsulta con la especialidad requerida. Ya subí las boletas a Sap Concur y las envíe; quisiera saber si tengo que realizar algún otro procedimiento. Muchas gracias por la ayuda.</t>
  </si>
  <si>
    <t>Estimados Juan Luis Gracias por la informacion te recordamos que dentro del site LP se encuentra el procedimiento para realizar reembolsos en sap concur. Saludos Cordiales!</t>
  </si>
  <si>
    <t>f33e3da4-LATAM-LP</t>
  </si>
  <si>
    <t>08/04/2026 16:44</t>
  </si>
  <si>
    <t>No cumplo con las condiciones del apto medico ya que me ha venido mi periodo.</t>
  </si>
  <si>
    <t>Estimada, esperamos te encuentres bien Te comentamos que tenemos mapeada la perdida de actividad y se buscará una próxima fecha para poder gestionara la reprogramación. Esperamos haberte ayudado!</t>
  </si>
  <si>
    <t>87e206c8-LATAM-LP</t>
  </si>
  <si>
    <t>14/04/2026 09:03</t>
  </si>
  <si>
    <t>"¡Gracias por la información! Te informamos que, dado que tu mes base en la flota B767 es abril y según lo establecido en la RAP 63, esta actividad puede ser programada dentro de un período de elegibilidad que comprende 30 días antes, durante y después de tu mes base. Por lo tanto, tu verificación de competencia podrá ser agendada tanto en marzo como en mayo,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</si>
  <si>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7256796a-LATAM-LP</t>
  </si>
  <si>
    <t>14/04/2026 10:30</t>
  </si>
  <si>
    <t>El día 13/04 se tenía programado el LCK de la flota A320, sin embargo por temas del vuelo anterior el instructor no pudo subir al vuelo del chequeo. Dejo constancia de que no se puedo realizar el LCK programado</t>
  </si>
  <si>
    <t>feee59d3-LATAM-LP</t>
  </si>
  <si>
    <t>08/04/2026 17:23</t>
  </si>
  <si>
    <t>El año pasado realice apto medico el mes setiembre. Tuve que realizar dispensa por oftalmológica . El médico aeronáutico me indicó que este ano pasaría a apto solo oftalmológica, sin embargo en menos de un ano (7meses) he tenido que pasar nuevamente un apto medico completo. Porfavor indicarme el motivo o si fue un error.</t>
  </si>
  <si>
    <t>77f82fed-LATAM-LP</t>
  </si>
  <si>
    <t>08/04/2026 17:58</t>
  </si>
  <si>
    <t>Estimada Melodi Por favor, te solicitamos ser mas especifica con la consulta que deseas realizar para poder revisarla a detalle. Saludos Cordiales!</t>
  </si>
  <si>
    <t>27796ac8-LATAM-LP</t>
  </si>
  <si>
    <t>14/04/2026 10:46</t>
  </si>
  <si>
    <t>Muy buenos dias, un placer saludarlos, disculpen la molestia, habra la posibilidad que me puedan apoyar asignandome el vuelo a Montegobay para el dia de mi cumpleaños que es el 4 de mayo , les agradeceria muchisimo su apoyo. Muchisimas gracias de antemano.</t>
  </si>
  <si>
    <t>¡Gracias por la información! Te comentamos que la solicitud de vuelos lo puedes realizar a través de la ventana de PBS Esperamos que la respuesta te haya sido de gran ayuda.</t>
  </si>
  <si>
    <t>2f187339-LATAM-LP</t>
  </si>
  <si>
    <t>08/04/2026 20:11</t>
  </si>
  <si>
    <t>Reprogramación sobre apto médico debido a periodo menstrual durante los dias del Apto médico el dia 9 de abril</t>
  </si>
  <si>
    <t>d9928721-LATAM-LP</t>
  </si>
  <si>
    <t>08/04/2026 21:22</t>
  </si>
  <si>
    <t>Buenas noches, me acaban de aprobar una cesión de vacaciones por lo que ahora tendría 22 días en lugar de 14, eso ya va a figurar actualizado cuando entre a solicitar las vacaciones?</t>
  </si>
  <si>
    <t>Estimada Adriana Te confirmamos que efectivamente ahora cuentas con 22 días de vacaciones Saludos Cordiales</t>
  </si>
  <si>
    <t>c345a4ee-LATAM-LP</t>
  </si>
  <si>
    <t>14/04/2026 11:29</t>
  </si>
  <si>
    <t>Estimados buenas tardes, yo solicité día libre en el formulario de subsiguiente mes proque el día 10 marzo me adicionaron un vuelo, detllando en el formulación que solicitaba en el subsiguiente mes el día 10 de mayo, el día de ayer ingresé a Pbs y efectivamente me habían dado el día solicitado por el vuelo adicional en marzo, hoy día ingresé nuevamente a hacer mis pedidos correspondientes y me doy cuenta que ya me habían quitado ese día libre ( 10 mayo ) por favor quedo atento a la respuesta ya que me corresponde el día solicitado extra.</t>
  </si>
  <si>
    <t>¡Gracias por la información! Te comentamos que la ventana de PBS quedan reflejadas el 90% de las preasignaciones que serán finalmente programadas por rol. El día libre compensado se encuentra solicitado para el 10 de mayo Esperamos que la respuesta te haya sido de gran ayuda.</t>
  </si>
  <si>
    <t>65d6f779-LATAM-LP</t>
  </si>
  <si>
    <t>14/04/2026 13:12</t>
  </si>
  <si>
    <t>Me programaron chequeo de Boeing 767 este mes 13/04/26, sin embargo el siguiente mes no me programaron el chequeo DGAC, por favor solicito que me programen el chequeo para el mes de mayo</t>
  </si>
  <si>
    <t>"¡Gracias por la información! Te comentamos que la asignación de tus chequeo DGAC se te va a programar en los siguientes meses en base a la holgura operativa, antes de tu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gestionarlo. Esperamos que la respuesta te haya sido de gran ayuda."</t>
  </si>
  <si>
    <t>0c628874-LATAM-LP</t>
  </si>
  <si>
    <t>09/04/2026 14:46</t>
  </si>
  <si>
    <t>Cometí un error al llenar el formulario para hacer la solicitud de vacaciones (no leí la parte en la que para poder pedir dos semanas juntas se pedían en la misma prioridad). Queria saber si lo podia volver a llenar, gracias!</t>
  </si>
  <si>
    <t>Estimada Cayetana Te comentamos que si es posible que llenes una segunda vez el form y se considerara la ultima solicitud de vacaciones ingresada Esperamos haberte ayudado!</t>
  </si>
  <si>
    <t>ea1933af-LATAM-LP</t>
  </si>
  <si>
    <t>09/04/2026 15:29</t>
  </si>
  <si>
    <t>vacaciones 2026-II: soy personal administrativo actualmente. Debo pedir vacaciones con el formulario "Solicitud de Vacaciones Pre publicadas SAB LP 2026-02". Otra consulta para mi caso hay un minimo de dias que se deben pedir por bloque (ej 7 u 8 dias)? o puedo ir pidiendo por ej 2, 4 o 5 dias?</t>
  </si>
  <si>
    <t>e0edfa71-LATAM-LP</t>
  </si>
  <si>
    <t>09/04/2026 19:02</t>
  </si>
  <si>
    <t>Buen día, Para el año 2026 yo acumulo 44 días de vacaciones. En febrero 2026 tomé 7 días En junio 2026 tomaré 15 días Restarías 22 días hasta el vencimiento en febrero 2027 Sin embargo, en el formulario de la pre-publicación solo me han asignado 20 días. Yo quiero pedir los 22 días que me restan en un bloque de 2 semanas juntas en agosto y otra en diciembre . Pero no me es posible porque no todos los días han sido considerados en el segundo semestre 2026. Agradecería me pudieran orientar de cómo tendría que solicitar mis vacaciones si las quiero tener en dos bloques de 15 y 7 días en diferentes meses.</t>
  </si>
  <si>
    <t>Estimada Diana Te comentamos que efectivamente, te corresponden 22 días de cara al segundo semestre. Se ha calculado su saldo disponible proporcional que debería gozar, pero aún así puede solicitar más de días de vacaciones a lo disponible. Justo como lo indica el punto 3 del preguntas y respuestas frecuentes de vacaciones puedes pedirlos siempre y cuando estes dentro de tu nuevo periodo y cuentes con días disponibles; sin embargo, tendrás que especificar que deseas gozar esa estructura de 15 y 7 días en el apartado de comentarios del formulario de la pre publicación. esperamos haberte ayudado!</t>
  </si>
  <si>
    <t>9aff7ffe-LATAM-LP</t>
  </si>
  <si>
    <t>10/04/2026 12:02</t>
  </si>
  <si>
    <t>"Estimada Jimena Te comentamos que te hemos programado 30 dias en junio y si quisieras vacaciones en el transcurso del 2do semestre antes de finalizar tu periodo de vacaciones 2025-26 puedes buscar compañeros a los que les puedas ceder vacaciones. Tu nuevo periodo de vacaciones inicia el 5 de nov a partir de esa fecha se te aperturara una nueva meta de 39 dias de vacaciones. Esperamos haberte ayudado!" / Tengo entendido que este período (Mes completo Junio 2026) son vacaciones vencidas de un período anterior, incluso la respuesta en su momento fue que me debía salir un mes completo antes de Diciembre 2025 pero nunca lo hicieron, no entiendo porqué me pusieron vacaciones en Junio si es que yo no las solicité, entiendo fue por este periodo vencido. Ahora que necesito salir de vacaciones en el semestre 2026-2 dicen que no tengo días disponible, cuando supuestamente debería tener días disponibles ya que desde 5 Nov del 2025 sólo estoy saliendo 2 semanas (1-7abril y 1-7mayo) Recordemos que lo de Junio es por un periodo anterior vencido. Por favor, revisen bien esto y saquemos bien la cuenta de las vacaciones que he tomado desde años antes, por motivos personales debo distribuir mis vacaciones durante el año, agradecería alguien se comunique conmigo directamente para ver ésto, o en todo caso me den el contacto y correo de persona encargada.</t>
  </si>
  <si>
    <t>Estimada Jimena Se ha revisado a detalle tu caso, comentarte que tendrías un saldo disponible de 17 días de vacaciones y los debes disfrutar antes del 05-nov (F. Aniversario). Tener en cuenta que tienes vacaciones pre publicadas de la siguiente manera: - abril: 7 días - mayo: 7 días - junio: 30 días Por lo tanto, te quedarían pendientes por gozar 17 días de vacaciones antes de tu fecha de aniversario según la base de RR.HH, te pedimos por favor ingresar tu intensión de vacaciones a través del formulario de vacaciones pre publicadas 2026-02 y reforzar dentro de los comentarios los bloques que deseas salir de vacaciones. Si en caso deseas cancelar tus vacaciones de junio, el flujo correcto es cederlo a otro compañero para aumentar tu bolsa de vacaciones para el segundo semestre y lo puedes ingresar a traves del formulario de vacaciones SAB hasta el 30 abr Saludos Cordiales!</t>
  </si>
  <si>
    <t>d0e3123e-LATAM-LP</t>
  </si>
  <si>
    <t>10/04/2026 14:31</t>
  </si>
  <si>
    <t>Hola,en el correo q me mandaron figura q debo asistir al examen medico ocupacional el 22 y en el ptro correo q me acab de llegar sale mi programacion para acercarme a la clínica el 20 ,a qué fecha hago caso</t>
  </si>
  <si>
    <t>Estimada Alicia Te comentamos que debes tomar en cuenta unicamente el ultimo correo. Saludos Cordiales!</t>
  </si>
  <si>
    <t>5f3f88bb-LATAM-LP</t>
  </si>
  <si>
    <t>15/04/2026 10:34</t>
  </si>
  <si>
    <t>Buenos días el día 06 de Marzo tenía mi línea check de Airbus familia y por una contingencia con cambio de avión y otros, no se pudo dar y se canceló. Escribo para UE me tenga en cuenta en el siguiente mes y evitar vencerme. Muchas gracias.</t>
  </si>
  <si>
    <t>"¡Gracias por la información! Te comentamos que en Soporte SAB, llevamos el control y seguimiento de todas las licencias y habilitaciones, por lo que no es necesario que te preocupes. Solo te pedimos que nos contactes si faltan menos de 72 horas para el vencimiento y aún no recibes novedades. Asimismo, recuerda que, dado que tu mes base es mayoy según lo establecido en la RAP 63, esta actividad puede ser programada dentro de un período de elegibilidad que comprende 30 días antes, durante y después de tu mes base. Por lo tanto, tu verificación de competencia podrá ser agendada tanto en abril como en junio, junto con la prórroga correspondiente. Si tienes alguna otra consulta, estamos aquí para ayudarte. Si tu actividad no fue agendada durante el mes base, aún puedes ser programado durante el mes de prórroga, sin que esto implique la pérdida de tu chequeo. Esperamos que la respuesta te haya sido de gran ayuda.</t>
  </si>
  <si>
    <t>93a5fe5e-LATAM-LP</t>
  </si>
  <si>
    <t>10/04/2026 16:39</t>
  </si>
  <si>
    <t>Buenas tardes , yo quisiera salir un mes completo sea enero o febrero del 2027 , tengo 0 días a salir antes de mi fecha de vencimiento que es el 2 de febrero del 2027 y después de esa fecha tengo 30 días , por favor quisiera asegurarme que me darán el mes completo en enero o febrero del próximo año, y saber si en todo cqso lo que queda de segundo semestre me pueden asegurar que no saldré , para no quedarme sin días para el próximo año</t>
  </si>
  <si>
    <t>Estimada Jenny Informarte que tienes 30 días disponibles para gozarlo durante el segundo semestre, dentro del formulario de la pre publicación hay la opción de que no deseas salir de vacaciones durante el segundo semestre, este flujo nos permite mapear tu solicitud ya que dependemos de los cupos disponibles para el segundo semestre y parafraseas el punto 8 del pdf. Saludos Cordiales!</t>
  </si>
  <si>
    <t>4f26b1b0-LATAM-LP</t>
  </si>
  <si>
    <t>10/04/2026 20:27</t>
  </si>
  <si>
    <t>Buenas noches, Espero que se encuentren bien. Me comunico con ustedes para corroborar la información relacionada con la dirección que figura en mis licencias. Quisiera confirmar que la dirección correcta es la que aparece en mi licencia chilena, y no la que figura en la licencia peruana. Quedo atento(a) a cualquier confirmación. Muchas gracias. Saludos cordiales</t>
  </si>
  <si>
    <t>Estimada Carolina Te comentamos que el procedimiento para realizar tu cambio de dirección en licencia peruana se encuentra en el site LP. (actualización de domicilio DGAC) Saludos Coridales!</t>
  </si>
  <si>
    <t>cddc440e-LATAM-LP</t>
  </si>
  <si>
    <t>15/04/2026 20:48</t>
  </si>
  <si>
    <t>Buenas noches, el motivo de mensaje es para consultar el por qué me quitaron el día 10/04 mi LCK y para cuándo estaría siendo reprogramada. De ante mano, les agradezco y quedo atenta a su pronta respuesta.</t>
  </si>
  <si>
    <t>¡Gracias por la información! Te informamos que, dado que tu mes base es mayo y según lo establecido en la RAP 63, esta actividad puede ser programada dentro de un período de elegibilidad que comprende 30 días antes, durante y después de tu mes base. Por lo tanto, tu verificación de competencia podrá ser agendada tanto en abril como en junio,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</si>
  <si>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d4b76f8f-LATAM-LP</t>
  </si>
  <si>
    <t>10/04/2026 23:45</t>
  </si>
  <si>
    <t>Por favor, necesito saber si tengo días disponibles para pedir vacaciones para el semestre 2026-2. También quiero que me faciliten el Historial de todas mis Vacaciones ya tomadas, así mismo el correo de la persona encargada para comunicarme directamente. Gracias!</t>
  </si>
  <si>
    <t>05facd6a-LATAM-LP</t>
  </si>
  <si>
    <t>11/04/2026 09:53</t>
  </si>
  <si>
    <t>Buenas Tardes Estimados, espero que se encuentren bien quisiera hacer una consulta, soporte envio el correo para solicitar vacaciones correspondientes al segundo semestre y veo que en mi bolsa del total de vacaciones figura 29 dias no regreso a mi bolsa los 7 dias (16 al 22 de abril), que cedi a una compañera, mis vacaciones de este año deberia sumar en total 38 dias quisiera que por favor me expliquen como quedarian mis vacaciones.</t>
  </si>
  <si>
    <t>Estimada Rocio Dado que cediste tus vacaciones de abril, a partir del 15 de abril cuentas con una bolsa de vacaciones de 39 días de vacaciones en total. Esperamos haberte ayudado!</t>
  </si>
  <si>
    <t>e280cf36-LATAM-LP</t>
  </si>
  <si>
    <t>11/04/2026 13:18</t>
  </si>
  <si>
    <t>99163521-LATAM-LP</t>
  </si>
  <si>
    <t>11/04/2026 13:24</t>
  </si>
  <si>
    <t>El 31 me enviaron un Mail indicándome los días de vacaciones acumulados antes y después de mi fecha de ingreso (10/11/2010) los cuales eran 11 en ambos casos y mi consulta era, acaso no se me reinician los días pasada mi fecha de ingreso? Me respondieron mediante el formulario sin embargo no entiendo nada de lo que me escriben, les pido que por favor sean más explícitos. Mi intención es salir 1 semana la última de octubre (que ya vi que tengo que salir 11 días) y dos semanas la primera quincena de noviembre. En ese caso cuantos días me quedan por tomar en el 2027 y cómo podría solicitar este pedido en el link de vacaciones. Tengo que realizar un pedido especial para obtener estas vacaciones ? Y si así fuese el caso desearía la explicación del porqué. Muchas gracias.</t>
  </si>
  <si>
    <t>Estimada Maria Te informamos que, tras revisar detalladamente tu caso y tu historial con fecha de aniversario el 10 de noviembre, queremos darte total tranquilidad sobre tu disponibilidad de días. 1. Claridad sobre tu saldo total: Tu meta anual es de 42 días de vacaciones. Los 11 días que recibiste por notificación corresponden únicamente a lo que acumulas entre tu aniversario y el 31 de diciembre de este año (Semestre 2026-2). Por lo tanto, tras tomar los días que planeas, aún te quedará un saldo de 31 días para disfrutar hasta tu próximo aniversario en 2027. 2. Sobre tu solicitud de octubre y noviembre: Hemos verificado tus fechas y el periodo calza perfectamente con tus días disponibles: Si solicitas 22 días iniciando el lunes 26 de octubre, tu descanso se extenderá hasta el lunes 16 de noviembre inclusive. No es necesario realizar un pedido de días del "próximo semestre" como algo extraordinario, ya que estos días ya te pertenecen y están notificados en tu acumulado anual. Esperamos haberte ayudado!</t>
  </si>
  <si>
    <t>54554bc0-LATAM-LP</t>
  </si>
  <si>
    <t>16/04/2026 09:39</t>
  </si>
  <si>
    <t>REPROGRAMACION CHEQUEO BOEING767 DGAC</t>
  </si>
  <si>
    <t>¡Gracias por la información! Te comentamos que la asignación de tus chequeos se te va a programar en los siguientes meses en base a la holgura operativa, antes de tu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gestionarlo. Esperamos que la respuesta te haya sido de gran ayuda.</t>
  </si>
  <si>
    <t>6ba06ae0-LATAM-LP</t>
  </si>
  <si>
    <t>11/04/2026 14:00</t>
  </si>
  <si>
    <t>Vacaciones dp de la FV</t>
  </si>
  <si>
    <t>e5936639-LATAM-LP</t>
  </si>
  <si>
    <t>11/04/2026 14:03</t>
  </si>
  <si>
    <t>11 Dias a salir despues de la FV(1/10). Las fechas importantes para este semestre son del 6-9 Noviembre para un evento deportivo. Ya que abarcan 2 semanas diferentes, se considere solicitar de 4 dias de mi bolsa de 44 dias. Y asi poder salir del 1 al 15 de Noviembre. Quedo atenta, gracias! 🙏</t>
  </si>
  <si>
    <t>Estimada Annie Te comentamos que si es posible que puedas ingresar tu solicitud de las vacaciones que nos indicas. Los días indicados en el correo son los que acumulas para el semestre 2026- 2; sin embargo, como cuentas con días disponibles para el próximo semestre es posible que solicites que se te otorguen para este semestre indicandolo en el apartado de comentarios en el formulario de pre publicación. Esperamos haberte ayudado!</t>
  </si>
  <si>
    <t>f1b75ec5-LATAM-LP</t>
  </si>
  <si>
    <t>16/04/2026 11:42</t>
  </si>
  <si>
    <t>Buenos dias ni.puedo ingresar solicitud uniforme de emergencia via Apple armariolatam</t>
  </si>
  <si>
    <t>¡Gracias por la información! Por favor nos compartes el mensaje de error que te aparece en el portal. Esperamos que la respuesta te haya sido de gran ayuda.</t>
  </si>
  <si>
    <t>a7907e27-LATAM-LP</t>
  </si>
  <si>
    <t>12/04/2026 11:36</t>
  </si>
  <si>
    <t>749eec5b-LATAM-LP</t>
  </si>
  <si>
    <t>16/04/2026 16:23</t>
  </si>
  <si>
    <t>Tenía agendado mi lck para el día 08/04, sin embargo presente mi descanso médico unos días antes por una amigdalitis aguda; según el pbs no me lo han reprogramado para el mes de mayo, debo esperar a que la programen o debo hacer algo más?</t>
  </si>
  <si>
    <t>¡Gracias por la información! Te informamos que, dado que tu mes base es mayo y según lo establecido en la RAP 63, esta actividad puede ser programada dentro de un período de elegibilidad que comprende 30 días antes, durante y después de tu mes base. Por lo tanto, tu verificación de competencia podrá ser agendada tanto en abril como en mayo,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</si>
  <si>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e67dc104-LATAM-LP</t>
  </si>
  <si>
    <t>12/04/2026 23:08</t>
  </si>
  <si>
    <t>Estimados, buenas noches. Quisiera consultar con respecto a mis vacaciones del primer periodo del año. Completé mi solicitud estando aún en licencia de maternidad, sin embargo al momento no he recibido confirmación alguna. Tengo 20 días para tomar antes del 01/06/2026 (fecha de vencimiento). Una de mis opciones era salir en mayo (04 de mayo - 23 mayo). Solicito su ayuda con urgencia, muchas gracias.</t>
  </si>
  <si>
    <t>Estimada Ana Te comentamos que tienes 10 días para salir de vacaciones. Asimismo, hemos validado que no ingreso su pedido de vacaciones en el formulario por lo que no procederia tu solicitud ya que la programación de mayo esta cerrada. Finalemente ten en cuenta que aún podrías ingresar tu solicitud para el mes de junio pues nos encontramos a tiempo. Esperamos haberte ayudado!</t>
  </si>
  <si>
    <t>5f94ea01-LATAM-LP</t>
  </si>
  <si>
    <t>18/04/2026 12:46</t>
  </si>
  <si>
    <t>8f960f02-LATAM-LP</t>
  </si>
  <si>
    <t>13/04/2026 04:48</t>
  </si>
  <si>
    <t>Realice una solicitud de días adicionales (1-3may) en diciembre del año pasado pero no he recibido aún confirmación o en su defecto una negación de lo pedido por lo que quisiera saber si se dará esta solicitud para tenerlo en consideración para mis pedidos de Mayo por PBS.</t>
  </si>
  <si>
    <t>82c143c7-LATAM-LP</t>
  </si>
  <si>
    <t>20/04/2026 07:47</t>
  </si>
  <si>
    <t>Examen medico ocupacional: buen día no puedo hacer el examen medico ocupacional programado para hoy 20 abril por tener el periodo ya que me vino el periodo. Se puede reprogramar para la siguiente semana? Gracias</t>
  </si>
  <si>
    <t>7cfc0764-LATAM-LP</t>
  </si>
  <si>
    <t>18/04/2026 11:23</t>
  </si>
  <si>
    <t>3418f090-LATAM-LP</t>
  </si>
  <si>
    <t>19/04/2026 09:26</t>
  </si>
  <si>
    <t>GX04</t>
  </si>
  <si>
    <t>8510de51-LATAM-LP</t>
  </si>
  <si>
    <t>13/04/2026 15:18</t>
  </si>
  <si>
    <t>Deseo saber si las vacaciones que tengo en mayo (16 al 23) son por vencimiento o tengo la opción de cederlas? Y extra a eso, si hay posibilidad de tener una o dos semanas de vacaciones extras para el mes de junio? Muchas gracias de antemano</t>
  </si>
  <si>
    <t>Estimado Carlos De acuerdo a los solicitado por tu CPL Maria Paula Cespedes se coordino con roles cancelar tus vacaciones del mes de mayo 16 al 23. Esperamos haberte ayudado!</t>
  </si>
  <si>
    <t>3b507412-LATAM-LP</t>
  </si>
  <si>
    <t>20/04/2026 04:01</t>
  </si>
  <si>
    <t>Buenos días estimado, los contacte la semana pasada por que perdí mi líne check en el avión Boeing 787, yo venzo en esta flota el mes de marzo. Les copio lo que me respondieron ya que me hablan del Boeing 767 y yo no tengo problema con ese avión en cuanto a line check. Tb les sugiero en caso sea posible el lunes 27 abril activar mi reserva de mañana para subirme al vuelo lim-SCL LA2697 donde hay programación de line check para algunos compañeros. Muchas gracias</t>
  </si>
  <si>
    <t>¡Gracias por la información! Te informamos que, dado que tu mes base en la flota B787 es mayo y según lo establecido en la RAP 63, esta actividad puede ser programada dentro de un período de elegibilidad que comprende 30 días antes, durante y después de tu mes base. Por lo tanto, tu verificación de competencia podrá ser agendada tanto en abril como en junio,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</si>
  <si>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2fc47288-LATAM-LP</t>
  </si>
  <si>
    <t>13/04/2026 17:30</t>
  </si>
  <si>
    <t>Hola! No me ha llegado el correo de solicitud de vacaciones del periodo 2026-2. El año pasado tuve descanso médico prolongado y solo salí 10 días de vacaciones en noviembre. Y en el periodo 2026-1 me han dado 33 días, pero solo he tomado 30. Quisiera saber que pasan con el resto de mis vacaciones. Gracias.</t>
  </si>
  <si>
    <t>Estimada Maria comentarte que el 16 de abril se te envió el correo de las vacaciones pre publicadas 2026-2. Esperamos haberte ayudado!</t>
  </si>
  <si>
    <t>66a6167a-LATAM-LP</t>
  </si>
  <si>
    <t>13/04/2026 20:56</t>
  </si>
  <si>
    <t>79c0b945-LATAM-LP</t>
  </si>
  <si>
    <t>20/04/2026 11:27</t>
  </si>
  <si>
    <t>65a9eeac-LATAM-LP</t>
  </si>
  <si>
    <t>13/04/2026 22:41</t>
  </si>
  <si>
    <t>0d25c88e-LATAM-LP</t>
  </si>
  <si>
    <t>26/04/2026 19:44</t>
  </si>
  <si>
    <t>Buenas noches. Aun no me recupero mi salud por lo que apoyaré a sala de Tripulantes atravez de teletrabajo. Necesito pasar el EMO? Muchas gracias</t>
  </si>
  <si>
    <t>a5c285d2-LATAM-LP</t>
  </si>
  <si>
    <t>27/04/2026 10:49</t>
  </si>
  <si>
    <t>Hola. Estoy tratando de inscribirme al taller de seguridad pero ossa parece no esta permitiendome inscribir ya que no sale el formulario. Gracias</t>
  </si>
  <si>
    <t>67e4394f-LATAM-LP</t>
  </si>
  <si>
    <t>27/04/2026 11:37</t>
  </si>
  <si>
    <t>703a4a61-LATAM-LP</t>
  </si>
  <si>
    <t>23/04/2026 08:28</t>
  </si>
  <si>
    <t>Enviaron antes de las elecciones un comunicado con un link para poder ingresar información y que se nos pueda reembolsar el pago de la multa, el plazo es hasta el 30 y el problema es que aún no habilitan en la plataforma oficial la posibilidad de verificar la multa y pagarla, habrá extensión del plazo? Porque sino nos quedaremos sin opción.</t>
  </si>
  <si>
    <t>Estimado Francisco, esperamos que hayas tenido un excelente día. Muchas gracias por la información brindada. Te comentamos que, debido a los inconvenientes con la plataforma oficial que mencionas, nuestro equipo ya se encuentra evaluando la extensión del plazo para una nueva fecha. Estaremos notificando cualquier actualización y los pasos a seguir a través del correo electrónico institucional. Esperamos haberte ayudado.</t>
  </si>
  <si>
    <t>6781120f-LATAM-LP</t>
  </si>
  <si>
    <t>24/04/2026 13:35</t>
  </si>
  <si>
    <t>Ingresar gex</t>
  </si>
  <si>
    <t>GX01</t>
  </si>
  <si>
    <t>Estimada Elizabeth, esperamos que te encuentres bien. Te informamos que el canal correcto para registrar tus GEX es a través del aplicativo OSSA. Una vez dentro de la plataforma, deberás dirigirte al apartado de "GEX" y seleccionar el símbolo "+"; es ahí donde podrás ingresar tu evidencia correctamente. Esperamos haberte ayudado.</t>
  </si>
  <si>
    <t>62ef4bbb-LATAM-LP</t>
  </si>
  <si>
    <t>23/04/2026 14:44</t>
  </si>
  <si>
    <t>Buenas tardes, tengo una consulta con mi Protección de rol, ya que me adelantaron mi cita de visa a último momento y ese listo día llene el formulario, mi cita es el 15 de mayo y para que cuente los dos meses, debi haberlo mandado como máximo el 31 de abril, sin embargo, como fue en la noche del 31, en lo que me enteré y pude llenar el formulario ya eran las 2 am y por calendario ya era 1 de abril, me pase por dos horas, me preocupa que no se me considere ya que aun no recibo respuesta de esa solicitud, me gustaría solicitar apoyo para que si se me proteja el rol para no estar en falta con la empresa, gracias de antemano, saludos.</t>
  </si>
  <si>
    <t>Estimada Camila, Gracias por compartir los detalles de tu situación. Entendemos que el adelanto de tu cita de visa generó un contratiempo con los plazos establecidos. Debido a que la solicitud se registró fuera del tiempo límite, deberás gestionar este caso directamente con tu CPL para que evalúe y nos de la aprobación correspondiente. Esperamos haberte ayudado!</t>
  </si>
  <si>
    <t>95145f33-LATAM-LP</t>
  </si>
  <si>
    <t>15/04/2026 10:23</t>
  </si>
  <si>
    <t>Segun el PBS me estan programando reva en mayo cuando yo ya tuve reva este año enero. Eso es correcto o es un error? Gracias.</t>
  </si>
  <si>
    <t>"¡Gracias por la información! Te informamos que tu curso de revalidación de seguridad se encuentra asignado debido a que tu mes base en la flota B767 es mayo. En Soporte SAB, llevamos el control y seguimiento de todas las licencias y habilitaciones, por lo que no es necesario que te preocupes. Solo te pedimos que nos contactes si faltan menos de 72 horas para el vencimiento y aún no recibes novedades. Esperamos que la respuesta te haya sido de gran ayuda."</t>
  </si>
  <si>
    <t>f5f13f2b-LATAM-LP</t>
  </si>
  <si>
    <t>24/04/2026 17:47</t>
  </si>
  <si>
    <t>Hola, Giancarlos: Te comentamos que el pasado 5 de marzo se te envió por correo la información indicando que mantenías la protección por rol. No obstante, te confirmamos que actualmente tu estado ya se encuentra actualizado en el sistema IFN. Debido a esto, el equipo de Roles tendrá en cuenta tu documentación actualizada en caso de que se requiera alguna activación de vuelo de ahora en adelante. Asimismo, para el mes de junio, considera que la programación del rol se realizará contemplando que ya no cuentas con protección por documentación, por lo que tus rutas podrían variar. Esperamos haberte ayudado.</t>
  </si>
  <si>
    <t>c3a9ef64-LATAM-LP</t>
  </si>
  <si>
    <t>15/04/2026 12:39</t>
  </si>
  <si>
    <t>Examen de emergencias virtual se colgo y desaparecio a mitad de dicha evaluacion.</t>
  </si>
  <si>
    <t>330dbccc-LATAM-LP</t>
  </si>
  <si>
    <t>15/04/2026 15:00</t>
  </si>
  <si>
    <t>Buenas tardes, notificar que mi licencia chilena esta cerca de su vencimiento el 30/06/2026 yo tuve apto medico en el mes de diciembre del 2025 por favor solicito a quien corresponda la actualización de dicha licencia ,muchas gracias.</t>
  </si>
  <si>
    <t>"¡Gracias por la información! Te comentamos que en Soporte SAB, llevamos el control y seguimiento de todas las licencias y habilitaciones, por lo que no es necesario que te preocupes. Solo te pedimos que nos contactes si faltan menos de 72 horas para el vencimiento y aún no recibes novedades. Te comentamos que la gestión de tu licencia chilena se realizará antes de la fecha de vencimiento. Esperamos que la respuesta te haya sido de gran ayuda.</t>
  </si>
  <si>
    <t>8e5eb576-LATAM-LP</t>
  </si>
  <si>
    <t>25/04/2026 16:03</t>
  </si>
  <si>
    <t>Solicite protección de rol para entrevista por Visa Crew, cuento con el pasaporte pero aún me figura CREW WITHOUT PASSPORT en el iflight, espero se pueda actualizar, muchas gracias</t>
  </si>
  <si>
    <t>Hola, José: Esperamos que hayas tenido un excelente día. Muchas gracias por comunicarte con nosotros. Para poder ayudarte con la actualización en iFlight y retirar la etiqueta de "Crew Without Passport", te agradeceríamos que realices el registro de tu nuevo documento a través del formulario de actualización de datos que se encuentra disponible en el SITE LP. Una vez que completes este paso, el equipo correspondiente podrá validar la información y reflejar el cambio en tu perfil de tripulante. Esperamos haberte ayudado.</t>
  </si>
  <si>
    <t>f1491c18-LATAM-LP</t>
  </si>
  <si>
    <t>27/03/2026 20:54</t>
  </si>
  <si>
    <t>Buenas noches, el día 26 tenia mi linecheck del airbus pero por DM lo perdí, se que me vencería el 31 de este mes , o es que hay opción de una prorroga? , Me avisaran el día que será mi nuevo chequeo? Muchas gracias por la ayuda.</t>
  </si>
  <si>
    <t>2ba1d418-LATAM-LP</t>
  </si>
  <si>
    <t>25/04/2026 14:25</t>
  </si>
  <si>
    <t>Perdí mi lck el día 13/04, el instructor Javier Zapata no llegó a presentarse debido a una contingencia en su vuelo anterior.</t>
  </si>
  <si>
    <t>Hola, Valery: Esperamos que hayas tenido un excelente día. Lamentamos los inconvenientes presentados con la programación del pasado 13 de abril debido a la contingencia del instructor. Al respecto, te informamos que ya se solicitó la prórroga correspondiente, por lo que tu evaluación se encuentra plenamente mapeada para ser realizada durante el próximo mes. Ten por seguro que el equipo de programación lo tiene considerado para asegurar que tu proceso se complete sin contratiempos. Esperamos haberte ayudado.</t>
  </si>
  <si>
    <t>951a8546-LATAM-LP</t>
  </si>
  <si>
    <t>16/04/2026 12:28</t>
  </si>
  <si>
    <t>Hola, el mes pasado me programaron Apto Médico, el cual no pude pasar por presentar un proceso viral. Este mes de Abril no me re programaron el Apto Médico. Mi apto vence en Junio, espero puedan ayudarme a programar el Apto Médico para Mayo, muchas gracias.</t>
  </si>
  <si>
    <t>¡Gracias por la información! Te comentamos que tu apto médico se encuentra programado para mayo.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</si>
  <si>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ee4b0af6-LATAM-LP</t>
  </si>
  <si>
    <t>16/04/2026 12:27</t>
  </si>
  <si>
    <t>22497933-LATAM-LP</t>
  </si>
  <si>
    <t>16/04/2026 12:30</t>
  </si>
  <si>
    <t>5600aece-LATAM-LP</t>
  </si>
  <si>
    <t>16/04/2026 13:15</t>
  </si>
  <si>
    <t>Buenas tardes, yo ya llené el formulario de vacaciones y me volvió a llegar el correo de nuevo y cuando abro el formulario es como si no hubiera llenado nada. Tienen el registro que mandé del segundo semestre o debo llenarlo otra vez?</t>
  </si>
  <si>
    <t>Estimado Jorge Hemos validado que si has ingresado tu formulario de pre publicación. Asimismo, el correo que te llegó es un refuerzo para la tripulación que aún no ha ingresado su intención de vacaciones. Esperamos haberte ayudado</t>
  </si>
  <si>
    <t>5848aeed-LATAM-LP</t>
  </si>
  <si>
    <t>16/04/2026 13:20</t>
  </si>
  <si>
    <t>Hola buenas tardes, me enviaron nuevamente el correo para pedir vacaciones para el siguiente semestre pero yo ya lo llene. Quiero saber por favor si tienen mi formulario por favor lo envie los primeros días de abril.</t>
  </si>
  <si>
    <t>Estimada Erika Hemos validado que si has ingresado tu formulario de pre publicación. Asimismo, el correo que te llego es un refuerzo para la tripulaciónn que aún no ha ingresado su intención de vacaciones. Esperamos haberte ayudado</t>
  </si>
  <si>
    <t>09941cef-LATAM-LP</t>
  </si>
  <si>
    <t>16/04/2026 15:54</t>
  </si>
  <si>
    <t>Buenas tardes nuevamente les escribo para que me expliquen mejor el tema de mis vacaciones. Yo deseo tomar dos semanas, la última semana de octubre y las dos primeras de nov. si mi periodo de vacas se renueva después del 11 de octubre porque tendría que pedir vacaciones adicionales acaso no son días que de echo me corresponden? Quisiera que me indiquen también cuantos días extras voy acumulando de vacaciones por mi antigüedad? Haciendo cuentas tendría que pedir 14 días “adicionales” de vacaciones? Por favor ayúdenme con este tema porque de verdad no estoy logrando entenderlos.</t>
  </si>
  <si>
    <t>9b417e7f-LATAM-LP</t>
  </si>
  <si>
    <t>16/04/2026 16:59</t>
  </si>
  <si>
    <t>Buenas tardes yo acabo de pasar apto médico en marzo y ahora nuevamente tengo que pasarlo el 14 de.mayo porque cumplo 40 años, quería saber si es todo completo nuevamente? Es decir sangre también? Y quería que por favor me lo programen en clínica Los Andes ya que siempre lo paso ahí porque tengo una dispensa, muchas gracias</t>
  </si>
  <si>
    <t>Estimada Sonia Te comentamos que efectivamente tendrás que pasarlo nuevamente debido a que aún le faltan pruebas esperamos haberla ayudado!</t>
  </si>
  <si>
    <t>4425e7b6-LATAM-LP</t>
  </si>
  <si>
    <t>25/04/2026 16:13</t>
  </si>
  <si>
    <t>Buenas tardes, el día de ayer debió ser mi LCK en el vuelo LA2055 Lim-AQP. este fue cancelado horas antes de la salida del vuelo. Quisiera saber que día sería la reprogramacion de este ya que mi vencimiento es el 31 de mayo de este año</t>
  </si>
  <si>
    <t>Hola, Adriana: Esperamos que hayas tenido un excelente día. Lamentamos la cancelación de tu vuelo el día de ayer y comprendemos tu preocupación por el vencimiento de tu LCK. Al respecto, te comentamos que estamos gestionando tu reprogramación para el mes de mayo En caso de que no fuera posible por falta de cupos en la malla, no te preocupes: solicitaremos una prórroga para el mes de junio. Esto te permitirá seguir operando con total normalidad durante ese periodo, en el cual se te asignará definitivamente tu LCK A320F. Esperamos haberte ayudado. Saludos,</t>
  </si>
  <si>
    <t>f920ddef-LATAM-LP</t>
  </si>
  <si>
    <t>16/04/2026 19:12</t>
  </si>
  <si>
    <t>Buenas noches ayer envié un correo indicando que estoy en tratamiento con antibióticos y tengo programado apto médico mañana en la mañana , rti y todavía no obtengo respuesta , quisiera saber si lo van a reporgramar o igual tengo que asistir</t>
  </si>
  <si>
    <t>"¡Gracias por la información! Esperamos tu pronta recuperación. Es importante tener en cuenta que dado que tu apto médico vence en junio, este debe ser programado con anticipación para realizar los trámites de la emisión del nuevo apto y la licencia chilena.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</si>
  <si>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71821fef-LATAM-LP</t>
  </si>
  <si>
    <t>17/04/2026 11:56</t>
  </si>
  <si>
    <t>Buenos dias, me encuentro en periodo de natalidad desde octubre 2025, segun lo conversado con mi CPL, no deseo tomar vacaciones hasta despues del nacimiento de mi hijo, asi como se cancelaron mis vacaciones confirmadas del 8 al 15 diciembre 2025 para tener el acumulado agradeceria porfavor no se me otorguen dia hasta despues del nacimiento donde se suele juntar todos loa dias pendientes mas el periodo de lactancia. Muchas gracias</t>
  </si>
  <si>
    <t>Estimada Georgette Te comentamos que se tomará en consideración tu solicitud de no tener vacaciones para que estas puedan ser consideradas dentro de tu linea de retorno. saludos Cordiales</t>
  </si>
  <si>
    <t>5d077f62-LATAM-LP</t>
  </si>
  <si>
    <t>17/04/2026 17:51</t>
  </si>
  <si>
    <t>Buenas, hoy me llegó un correo de reforzamiento sobre el pedido de vacaciones, sin embargo, el 01 de Abril ya registré mi intención de vacaciones. Podrian indicarme si tengo q volver a ingresarlo o si está registrado? Gracias</t>
  </si>
  <si>
    <t>Estimada Angie Hemos validado que sí has ingresado correctamente tu formulario de prepublicación. El correo que recibiste es un recordatorio general dirigido a los miembros de la tripulación que aún no han registrado su intención de vacaciones. Por lo tanto, no es necesario que realices un nuevo registro. Esperamos haberte ayudado</t>
  </si>
  <si>
    <t>bc0773c8-LATAM-LP</t>
  </si>
  <si>
    <t>17/04/2026 16:12</t>
  </si>
  <si>
    <t>Hola muy buenos días, cómo están? Espero que todo bien. Quería consultarles por el depósito de Edenred de este mes, ya que el mes pasado tuve una demora por mantenimiento de 4 horas que no veo reflejado en el pago de este mes</t>
  </si>
  <si>
    <t>Estimado Agustín, Te solicitamos, por favor, ingresa una nueva consulta indicándonos el número de vuelo y la fecha de la demora mencionada. De esta manera, podremos revisar tu caso a detalle y verificar lo sucedido con tu depósito de Edenred. Quedamos atentos a tu respuesta. Saludos cordiales.</t>
  </si>
  <si>
    <t>7a96a2da-LATAM-LP</t>
  </si>
  <si>
    <t>17/04/2026 18:46</t>
  </si>
  <si>
    <t>Queria consultar si mi licencia del B 767 ya se encuentra para recoger ya que mi chequeo fue hace 1 mes con 13 dias</t>
  </si>
  <si>
    <t>Estimada Danitza, Esperamos que te encuentres bien. Te informamos que tu licencia para el B 767 aún se encuentra en gestión; sin embargo, estamos trabajando para que esté lista durante la presente semana. Una vez la tengamos disponible para recojo, te lo comunicaremos de inmediato. Saludos cordiales.</t>
  </si>
  <si>
    <t>16041b6d-LATAM-LP</t>
  </si>
  <si>
    <t>17/04/2026 17:30</t>
  </si>
  <si>
    <t>Buenas tardes, hace unos días me confirmaron que el lunes 20/4 tendría mi reva y aun no tengo los cursos en Academia Latam.</t>
  </si>
  <si>
    <t>ee66fbbc-LATAM-LP</t>
  </si>
  <si>
    <t>26/04/2026 20:36</t>
  </si>
  <si>
    <t>Deseo realizar una consulta respecto a la posibilidad de acceder a una licencia sin goce de haber durante el presente año. En el mes de abril realicé una solicitud para una licencia mensual, la cual no pudo ser aprobada debido a la reducción de cupos disponibles. En ese sentido, quisiera saber si existe la posibilidad de acceder a este tipo de licencia en otro periodo del año en el que la carga operacional sea menor. De manera tentativa, estaría considerando el mes de octubre como opción principal, o en su defecto, cualquier otro periodo que la compañía considere viable según disponibilidad. El motivo de la solicitud responde a asuntos personales y gestiones administrativas que requieren de mi presencia y dedicación continua por un periodo prolongado, y que no me es posible atender adecuadamente dentro de mis días libres habituales. Agradecería se me pueda orientar sobre las opciones disponibles o los procedimientos a seguir para poder ser considerada en una futura asignación de licencia sin goce de haber.</t>
  </si>
  <si>
    <t>Hola, Mileny: Esperamos que hayas tenido un excelente día. Muchas gracias por compartirnos tu situación y tu interés en planificar tus gestiones personales. Respecto a tu consulta, te comentamos que nosotros, como equipo de soporte, gestionamos las licencias de carácter mensual únicamente cuando se habilita una convocatoria oficial, la cual se notifica oportunamente a través de tu correo corporativo según la disponibilidad de cupos. Debido a que tu requerimiento responde a motivos personales específicos y podrías considerar otros periodos, te sugerimos coordinar este tema directamente con tu CPL. Tu jefe directo es la persona indicada para evaluar la viabilidad de tu solicitud y orientarte sobre los plazos que mejor se ajusten tanto a tus necesidades como a la operación. Esperamos haberte ayudado.</t>
  </si>
  <si>
    <t>ace236f1-LATAM-LP</t>
  </si>
  <si>
    <t>26/04/2026 21:14</t>
  </si>
  <si>
    <t>Como me encuentro de vacaciones, no podré participar del taller voluntario de seguridad del lunes 27 de Abril 1er turno.</t>
  </si>
  <si>
    <t>Hola, Piero: Esperamos que hayas tenido un excelente día. Muchas gracias por informarnos sobre tu situación. No te preocupes, al encontrarte en tu periodo de vacaciones, tu inasistencia al taller voluntario de seguridad del lunes 27 de abril queda debidamente justificada. Te deseamos que sigas disfrutando de tus días de descanso. Esperamos haberte ayudado.</t>
  </si>
  <si>
    <t>bf665d5c-LATAM-LP</t>
  </si>
  <si>
    <t>27/04/2026 20:33</t>
  </si>
  <si>
    <t>Quisiera habilitacion del B767 para mayo ya que me encuentro vencido</t>
  </si>
  <si>
    <t>Hola, Rodrigo: Esperamos que hayas tenido un excelente día. Muchas gracias por comunicarte con nosotros. Te confirmamos que ya contamos con tu información mapeada en nuestro sistema. Al respecto, te informamos que realizaremos la solicitud al equipo de Roles para que se te asigne un reentrenamiento en la flota B767 a la brevedad posible. Estamos trabajando para que puedas contar con tu habilitación activa lo antes posible y así retomar tus funciones con normalidad. Esperamos haberte ayudado.</t>
  </si>
  <si>
    <t>bb15d999-LATAM-LP</t>
  </si>
  <si>
    <t>28/04/2026 19:55</t>
  </si>
  <si>
    <t>482042fe-LATAM-LP</t>
  </si>
  <si>
    <t>28/04/2026 16:23</t>
  </si>
  <si>
    <t>Buenas tardes les escribo debido a una consulta sobre mi pasaporte envíe el formulario con mi nuevo pasaporte el día 22 de abril y debido a que tengo un pernocte Córdova el día 30 al 1 quería asegurarme de que la información de mi nuevo pasaporte había sido recibida les agradezco de antemano .</t>
  </si>
  <si>
    <t>5110dce7-LATAM-LP</t>
  </si>
  <si>
    <t>28/04/2026 20:00</t>
  </si>
  <si>
    <t>Hola mande mi Bp en un segundo formulario pero me aprecio por error algo de reentrenamiento en vuelo que es un error . Mi única consulta es que el 25 de mayo yo tengo RTI y me ha llegado un Mail para un examen médico ocupacional ese mismo día . Me indican por favor cómo proceder gracias . Soy Ana Cristina Miró Quesada con BP 1141318</t>
  </si>
  <si>
    <t>f8b87e58-LATAM-LP</t>
  </si>
  <si>
    <t>18/04/2026 07:42</t>
  </si>
  <si>
    <t>Buenos dias estimados. Queria informarles que recibi el dia viernes 17 por correo la confirmacion de mi apto medico y EMO. Pero tengo que informar que tengo ddscanso medico hasta el viernes 24 y hacerme el examen de timpanlmetria y audiometria tal cual me habian solicitado previamente</t>
  </si>
  <si>
    <t>¡Gracias por la información! Te comentamos que no tenemos la información ingresada en IFN. Te pedimos por favor que lo regularices con el equipo de Movimiento Diario. Esperamos que la respuesta te haya sido de gran ayuda.</t>
  </si>
  <si>
    <t>3451c99c-LATAM-LP</t>
  </si>
  <si>
    <t>20/04/2026 04:24</t>
  </si>
  <si>
    <t>Tengo apto médico programado hoy pero me vino mi periodo por primera vez luego de dar a luz. Según el correo que recibí aviso por este medio que no cumplo con los requisitos que piden para el apto por mi periodo y debido a que tengo rti por rol.</t>
  </si>
  <si>
    <t>Estimada Camila Hemos recibido tu notificación. Procederemos con la reactivación de tu revalidación y la reprogramación tanto del apto médico como del curso respectivo. En caso de presentarse alguna novedad sobre tu condición, por favor notifícalo a través de la invitación del apto médico con copia a Virginia.sullca@latam.com. Esperamos haberte ayudado</t>
  </si>
  <si>
    <t>bbaac92b-LATAM-LP</t>
  </si>
  <si>
    <t>20/04/2026 13:43</t>
  </si>
  <si>
    <t>Buenas tardes: Tengo una duda sobre el depósito de mi tarjeta de alimentos, el mes de Marzo volé una cantidad considerable de horas en NB como High Rank y el día 14 de marzo tuve una demora de 1 horas de mantenimiento, que no se reflejó en la aplicación iflight , podrían detallarme para tener claro si la cantidad de la recarga es correcta o quizás deben regularizarme, gracias de antemano</t>
  </si>
  <si>
    <t>¡Hola, Agustín! Muchas gracias por escribirnos y por el detalle que nos compartes. Entendemos perfectamente tu consulta sobre el depósito de tu tarjeta de alimentos y queremos ayudarte a que la información te quede muy clara. Respecto a tus horas NB, el monto de 295.67 soles que recibiste corresponde a un total de 83.38 horas voladas como High Rank. Si necesitas revisar algún punto específico de este cálculo, puedes escribirle sin problema a osmar.neves@latam.com, quien te ayudará con el detalle. Sobre la demora del 14 de marzo, revisamos el reporte oficial (OTP) y se registraron 50 minutos por mantenimiento, lo que equivale a un pago de 30.96 soles. Lamentamos si esto generó alguna confusión con lo que visualizabas en la aplicación. Esperamos haberte ayudado.</t>
  </si>
  <si>
    <t>e8ef68b2-LATAM-LP</t>
  </si>
  <si>
    <t>20/04/2026 14:45</t>
  </si>
  <si>
    <t>aece559a-LATAM-LP</t>
  </si>
  <si>
    <t>20/04/2026 14:52</t>
  </si>
  <si>
    <t>Hola, Este mes recibí un pago incompleto por parte de Edenred, ya que tuve en marzo una demora de 4 horas por mantenimiento, saliendo de Madrid, lo cual debe ser reflejado en el pago de Edenred. Adicional a eso no me han pagado tampoco las horas que volé en Airbus , ya que sólo está reflejado el pago del 20% del sueldo básico, espero su respuesta gracias</t>
  </si>
  <si>
    <t>Estimado Agustin Te comentamos que el pago de demoras se regularizará en el siguiente pago. Sobre las Horas NB, si se consideraron 43.01 soles y en caso quiera consultar a mayor detalle lo puede derivar directamente con Osmar.neves@latam.com saludos cordiales!</t>
  </si>
  <si>
    <t>74fe9792-LATAM-LP</t>
  </si>
  <si>
    <t>20/04/2026 17:05</t>
  </si>
  <si>
    <t>Buenas tardes, por favor pido información acerca de la reprogración de mi apto médico el cual debio ser el 09 de abril y por tema de periodo menstrual no pude asistir. Por favor les pido información de cuando sera programada</t>
  </si>
  <si>
    <t>Estimada, Agradecemos tu comunicación. Ya contábamos con dicha información en nuestros registros; sin embargo, valoramos que nos mantengas al tanto de tu descanso médico y de los exámenes pendientes. Quedamos atentos a tu evolución para la programación de tus pendientes. Saludos!</t>
  </si>
  <si>
    <t>ea125862-LATAM-LP</t>
  </si>
  <si>
    <t>20/04/2026 16:57</t>
  </si>
  <si>
    <t>Buenas tardes, hoy me mandaron un correo indicandome que debo pedir vacaciones hasta el 1 de mayo y que tengo 30 dias de vacaciones. En enero me indicaron que tenia 11 dias de vacaciones que podia pedir adicional, lo pedi en mayo y me las negaron, entiendo que deberian de sumarse a los 30 dias que tengo, por ende serian 41 dias de vacaciones que tengo por pedir, por favor su apoyo para poder tener clara la informacion. Muchas gracias</t>
  </si>
  <si>
    <t>Estimada, Te confirmamos que, tras la actualización de tus días pendientes de tu área anterior (16 días) sumados a tu periodo actual en SAB (30 días), cuentas con un total de 46 días disponibles. Estos días puedes solicitarlos de manera fraccionada, respetando los bloques permitidos de 7 u 8 días, hasta completar tu saldo total. Al realizar tus registros, te pedimos por favor especificar en el apartado de comentarios que estás incluyendo los 16 días pendientes de tu área anterior para asegurar su correcta validación. Esperamos haberte podido ayudar!</t>
  </si>
  <si>
    <t>f6f94245-LATAM-LP</t>
  </si>
  <si>
    <t>20/04/2026 17:09</t>
  </si>
  <si>
    <t>Buenas Tardes, quería consulta con respecto a mis vacaciones. Tenía programado para el primer trimestre vacaciones del 1 al 15 de junio, luego me cedieron Vacaciones del 9 al 15 de marzo. Ahora me acaba de llegar la pre prublicacion de mis vacaciones y solo me han confirmado del 01 al 07 de junio (1 semana) Para el mes</t>
  </si>
  <si>
    <t>Estimada, Te informamos que, por el momento, solo se ha confirmado en la prepublicación la primera semana de tus vacaciones de junio. La segunda semana se confirma siempre con aproximadamente 22 días de anticipación a la fecha de inicio. Por lo tanto, la confirmación oficial de tu segunda semana de junio se estaría realizando durante la quincena de mayo. Esperamos haberte ayudado!</t>
  </si>
  <si>
    <t>e075598e-LATAM-LP</t>
  </si>
  <si>
    <t>20/04/2026 17:16</t>
  </si>
  <si>
    <t>Veo que para el segundo trimestre solo tengo 8 dias por pedie, quisiera saber si para agosto que cumplo el año deberia tener 30 dias de vacaciones porque solo me han dado en junio 1 semana y para el segundo trimestre 8 dias. A la espera de su respuesta, muchas gracias.</t>
  </si>
  <si>
    <t>Estimada Te informamos que el cálculo de tus vacaciones se basa en tu fecha de inicio de vuelo (16 de octubre). Los 8 días que visualizas corresponden al acumulado proporcional desde esa fecha hasta el 31 de diciembre; sin embargo, no representan la totalidad de tu periodo anual. Tus 30 días de derecho se dividen entre el próximo semestre y parte del periodo 2027-2. Si deseas solicitar más de los 8 días reflejados, puedes hacerlo especificando en el apartado de comentarios la cantidad total requerida para su evaluación. Esperamos haberte ayudado!</t>
  </si>
  <si>
    <t>4a1f5ae7-LATAM-LP</t>
  </si>
  <si>
    <t>20/04/2026 20:27</t>
  </si>
  <si>
    <t>Estoy mestruando desde ayer. Quisiera reprogramar el apto para otro dia.</t>
  </si>
  <si>
    <t>Estimada Leslie Hemos recibido tu notificación. Procederemos con la reprogramación de tu apto médico; sin embargo, te informamos que debido a la disponibilidad de la agenda, la nueva cita se asignará a partir del próximo mes. Te estaremos enviando los detalles de la nueva fecha en cuanto queden confirmados. Esperamos haberte ayudado!</t>
  </si>
  <si>
    <t>b3fac1b2-LATAM-LP</t>
  </si>
  <si>
    <t>21/04/2026 03:15</t>
  </si>
  <si>
    <t>No podré asistir a mi examen medico ocupacional debido a problemas de salud ( gripe y fiebre)</t>
  </si>
  <si>
    <t>770c985c-LATAM-LP</t>
  </si>
  <si>
    <t>21/04/2026 09:52</t>
  </si>
  <si>
    <t>Mi reva empezaba el día de hoy, pero me encuentro con Dm hasta el día Jueves 23 , que debo de hacer ?ya envié mi Dm, pero para poder reprogramarlo como podría hacer ?</t>
  </si>
  <si>
    <t>¡Hola! Esperamos que te encuentres mejor. Muchas gracias por avisarnos. No te preocupes, ya estamos al tanto de tu situación. Respecto a tu REVA, quédate tranquila que trataremos de gestionar la reprogramación para las próximas fechas disponibles, priorizando que puedas completar tu proceso sin inconvenientes una vez que te recuperes. Te estaremos informando apenas tengamos la nueva fecha confirmada. Esperamos haberte ayudado.</t>
  </si>
  <si>
    <t>41b99f89-LATAM-LP</t>
  </si>
  <si>
    <t>22/04/2026 07:57</t>
  </si>
  <si>
    <t>Tengo vacaciones pepublicadas del 8-15 y 16-22 de JUNIO. pero quiero cederlas para salir en el 2do periodo AGOSTO/SETIEMBRE y juntarlas con las que tengo autorizadas para esas fechas. Puedo hacerlo? Mi pregunta es si yo las vedo , estas regresan a mi bolsa y ustedes me las consideran parael sgte periodo?</t>
  </si>
  <si>
    <t>Estimada Ursula, esperamos que hayas tenido un excelente día. Con respecto a tu consulta, te informamos que tienes plazo hasta el día 30 para presentar tu solicitud de cesión de vacaciones. En caso de que la solicitud sea aprobada, los días se reincorporarían a tu saldo disponible para que puedas solicitarlos y gozarlos en el periodo de agosto/septiembre. Esperamos haberte ayudado.</t>
  </si>
  <si>
    <t>706ab3c9-LATAM-LP</t>
  </si>
  <si>
    <t>22/04/2026 12:42</t>
  </si>
  <si>
    <t>Día adicional para tc más de 5 años</t>
  </si>
  <si>
    <t>7cc6ed6f-LATAM-LP</t>
  </si>
  <si>
    <t>22/04/2026 12:46</t>
  </si>
  <si>
    <t>Buenas tardes, me indicaron por correo que mandé el formulario para que programen el dia adicional de vacaciones, ya que en la programación de la segunda mitad de año solo me indicaron 22 días, pero tengo un dia mas por antiguedad.</t>
  </si>
  <si>
    <t>Estimada Silvana, esperamos que hayas tenido un excelente día. Te informamos que cuentas con un derecho total de 32 días de vacaciones generados a partir del 1 de febrero. De este total, ya gozaste de 8 días en el mes de abril, por lo que tu saldo restante es de 24 días. Confirmamos que, en la proporción de vacaciones enviada para el segundo semestre, sí se ha considerado el día adicional por antigüedad. Esperamos haberte ayudado.</t>
  </si>
  <si>
    <t>bee56ba1-LATAM-LP</t>
  </si>
  <si>
    <t>23/04/2026 02:10</t>
  </si>
  <si>
    <t>93db5608-LATAM-LP</t>
  </si>
  <si>
    <t>23/04/2026 08:18</t>
  </si>
  <si>
    <t>P: Hace unos meses hice un pedido de 1 semana adicional de vacaciones en la primera semana de junio continuando las 2 semanas que tengo en mayo, porque mi idea es hacer un viaje largo familiar pero no he recibido ninguna respuesta y me urge planificarme. Podrían ayudarme?</t>
  </si>
  <si>
    <t>Estimado Francisco, esperamos que hayas tenido un excelente día. Confirmamos que hemos recibido tu solicitud y verificamos que sí cuentas con saldo de vacaciones disponible. No obstante, te comentamos que la aprobación final está sujeta a la habilitación de cupos por parte del área correspondiente. Por este motivo, te estaremos confirmando la respuesta definitiva a tu pedido a mediados de mayo. Esperamos haberte ayudado.</t>
  </si>
  <si>
    <t>c4a2ce17-LATAM-LP</t>
  </si>
  <si>
    <t>28/04/2026 19:49</t>
  </si>
  <si>
    <t>Hoy martes 27 de abril he recibido un Mail en donde me avisan que me han programado el Examen Médico Ocupacional para el Lunes 25 de Abril, pero quiero avisarles que ese día tengo asignado por rol : RTI, me indican cómo debo hacer ? Muchas Gracias Ana Cristina Miró Quesada García</t>
  </si>
  <si>
    <t>Hola, Ana: Esperamos que hayas tenido un excelente día. Muchas gracias por tu consulta. Al respecto, te confirmamos que la programación de tu Examen Médico Ocupacional (EMO) para el día 25/05 forma parte de las actividades consideradas dentro de tu programación de RTI. Por lo tanto, puedes proceder con tu examen médico según lo planificado, ya que ambos registros son compatibles en tu rol. Esperamos haberte ayudado.</t>
  </si>
  <si>
    <t>ceb31023-LATAM-LP</t>
  </si>
  <si>
    <t>23/04/2026 14:00</t>
  </si>
  <si>
    <t>Estimados buenas tardes, mi bebe nació el 27 de marzo del 2026 y tengo licencia de 98 días hasta el 2 de julio , quisiera saber como es el proceso para retorno a linea y también consultar sobre mi periodo de lactancia y vacaciones pendientes que tengo ya que quisiera solicitar una semana más y juntarla con mi licencia y así poder organizarme con mi bebe en casa .</t>
  </si>
  <si>
    <t>Estimada Melany, esperamos que hayas tenido un excelente día. Muchas gracias por la información y felicitaciones por el nacimiento de tu bebé. Te comentamos que el día de hoy te enviamos un correo electrónico en el que puedes registrar formalmente el nacimiento y el periodo de tu licencia pre y postnatal. Con esta información, podremos gestionar con anticipación tu retorno a línea, incluyendo la programación de tu periodo de lactancia, tus vacaciones pendientes y las capacitaciones de actualización necesarias para tu regreso. Esperamos haberte ayudado.</t>
  </si>
  <si>
    <t>e8bceaf0-LATAM-LP</t>
  </si>
  <si>
    <t>03/05/2026 12:07</t>
  </si>
  <si>
    <t>El día 24 de abril tenia programado mi linecheck de airbus pero el instructor no se presentó al vuelo, por favor su apoyo para la reprogramacion.</t>
  </si>
  <si>
    <t>Hola, Cristina: Esperamos que hayas tenido un excelente día. Muchas gracias por comunicarte con nosotros y reportar lo sucedido con tu evaluación del 24 de abril. Queremos darte tranquilidad: ya contamos con el reporte del inconveniente con el instructor y tu caso está siendo gestionado. Al respecto, te confirmamos que tu Line Check podrá realizarse durante el mes de mayo y, de ser necesario, solicitaremos una prórroga para el mes de junio. No debes preocuparte por tu vigencia, ya que estamos trabajando en la nueva asignación. Los detalles de tu nueva programación serán notificados a través del correo. Esperamos haberte ayudado.</t>
  </si>
  <si>
    <t>ce947e82-LATAM-LP</t>
  </si>
  <si>
    <t>23/04/2026 15:41</t>
  </si>
  <si>
    <t>68e4cd1b-LATAM-LP</t>
  </si>
  <si>
    <t>23/04/2026 16:07</t>
  </si>
  <si>
    <t>2c3f1acb-LATAM-LP</t>
  </si>
  <si>
    <t>23/04/2026 20:19</t>
  </si>
  <si>
    <t>Estimados, Para el periodo 2026-1 me dieron 33 días de vacaciones, de las cuales he tomado 29 días: del 8 al 21 de febrero y del 1 al 15 de mayo. Me gustaría saber si los 4 días que quedaron pendientes pasan al periodo 2026-2 com días extra a los 17 días de vacaciones que tengo por vencimiento. Gracias</t>
  </si>
  <si>
    <t>Estimada Maria, esperamos que hayas tenido un excelente día. Muchas gracias por tu consulta. Te confirmamos que los 4 días restantes de tu primer periodo se integrarán automáticamente a uno de los bloques solicitados para el segundo semestre, probablemente en el último de ellos, para asegurar que goces de tu saldo completo. Esperamos haberte ayudado.</t>
  </si>
  <si>
    <t>f1141c33-LATAM-LP</t>
  </si>
  <si>
    <t>24/04/2026 07:27</t>
  </si>
  <si>
    <t>Estimados Buenos dias , queria consultar sobre los dias que tengo disponibles antws de vencimiento. En el correo que me envian sale quw no tengo dias disponibles antws de mi vencimiento lo cual tendria un error, ya que en el.periodo setiembre 2025 al 2026 solo estaria saliendo 39 dias, me quedarian 6 dias pendientes para poder pedir. Por favor si pueden chequear ya que el correo que me.envian dice 0 dias. Muchas gracias</t>
  </si>
  <si>
    <t>Hola, Gladys: Hemos revisado tu caso y, efectivamente, cuentas con 6 días pendientes antes de tu vencimiento. Te informamos que estos días se empalmarán con tus vacaciones prepublicadas, las cuales corresponden del 8 al 15 de junio. Por lo tanto, tus días pendientes se programarán a continuación de dicho periodo (a partir del 16 de junio) Por esta razón, el sistema te arrojaba 0 días disponibles, ya que se están considerando para completar tu descanso de forma consecutiva ya que los bloques minimos solicitados son de 7 u 8 días Esperamos haberte ayudado.</t>
  </si>
  <si>
    <t>430b28ba-LATAM-LP</t>
  </si>
  <si>
    <t>24/04/2026 09:55</t>
  </si>
  <si>
    <t>Hola buenos días. Si tengo 18 días de vacaciones puedo solo tomar una semana de vacaciones este semestre y guardarme los otros días para el siguiente semestre. No incumplo ningún vencimiento. Muchas gracias</t>
  </si>
  <si>
    <t>Hola Juan Luis Gracias por consultarnos. Te comentamos que, debido a que tu fecha de aniversario de vacaciones es el 1 de junio, no incumplirías con ningún vencimiento al fraccionar tu periodo. Por lo tanto, puedes solicitar únicamente una semana para este semestre. Sin embargo, es muy importante que al realizar la solicitud especifiques en el apartado de comentarios que tu intención es gozar los días restantes durante el próximo semestre. Esperamos haberte ayudado!</t>
  </si>
  <si>
    <t>9fc3482a-LATAM-LP</t>
  </si>
  <si>
    <t>24/04/2026 11:45</t>
  </si>
  <si>
    <t>Buenos dìas estimados , les saluda Carla Ràzuri tripulante de cabina , me encuentro gestando me ha llegado un correo sobre la pre publicaciòn de vacaciones donde tengo 19 dìas con fecha de vencimiento 01/03/2026 , leyendo el q&amp;a en el punto 7 entiendo que como estoy en mi periodo de natalidad no debo pedir vacaciones , podrìan sacarme de duda por favor , entiendo que esos dias los podrè pedir luego de dar a luz? . muchas gracias de antemano por su respuesta.</t>
  </si>
  <si>
    <t>Hola, Carla: ¡Felicitaciones por esta etapa! Es correcto lo que mencionas. Debido a tu periodo de gestación y posterior maternidad, no es necesario que programes tus vacaciones en este momento. Tal como indica el Q&amp;A, podrás gozar de esos 19 días luego del nacimiento de tu bebé, uniéndolos a tu línea de retorno. Esto te permitirá contar con más tiempo continuo para el cuidado de tu recién nacido. Por nuestra parte, realizaremos la gestión con el encargado de vacaciones para que tu caso sea tomado en cuenta y no se considere como un vencimiento pendiente. Esperamos haberte ayudado.</t>
  </si>
  <si>
    <t>9f738b95-LATAM-LP</t>
  </si>
  <si>
    <t>28/04/2026 06:13</t>
  </si>
  <si>
    <t>Reprogramación linecheck airbus</t>
  </si>
  <si>
    <t>Hola, Fernando: Esperamos que hayas tenido un excelente día. Muchas gracias por tu comunicación. Respecto a tu consulta sobre la reprogramación de tu Line Check A320, te informamos que tu vigencia actual vence en el mes de mayo. No obstante, en caso de que no se logre concretar la evaluación en este periodo, contamos con la posibilidad de gestionar una prórroga para el mes de junio. Estamos trabajando en tu asignación y los detalles de tu nueva fecha serán notificados a través del correo. Esperamos haberte ayudado.</t>
  </si>
  <si>
    <t>79f4837e-LATAM-LP</t>
  </si>
  <si>
    <t>01/05/2026 16:42</t>
  </si>
  <si>
    <t>Buenas tardes, quisiera saber la razón o motivo del porqué se me ha quitado varios de mis vuelos por un motivo "médico" bajo el codigo NME, no se me ha informado nada al respecto y mi duda crece al saber que en mi Apto Médico todo esta bien, quisiera saber quien dio la orden de esto. Agradecería una respuesta y explicación.</t>
  </si>
  <si>
    <t>ac63d13b-LATAM-LP</t>
  </si>
  <si>
    <t>28/04/2026 05:51</t>
  </si>
  <si>
    <t>54572a57-LATAM-LP</t>
  </si>
  <si>
    <t>29/04/2026 14:27</t>
  </si>
  <si>
    <t>Buenas tardes, me encuentro de periodo post natal hasta el 20 de junio. Quiero saber que cursos me corresponde a mi retorno soy tri habilitada y en que mes seria gracias.</t>
  </si>
  <si>
    <t>Hola, Paola: Esperamos que hayas tenido un excelente día. Muchas gracias por comunicarte con nosotros. Respecto a tu consulta, te informamos que ya estamos planificando las actividades y cursos necesarios para tu reincorporación como tripulante habilitada. Para poder estructurar tu cronograma con exactitud, te pedimos por favor que nos confirmes la fecha de nacimiento de tu bebé. Con este dato, podremos armar tu línea de retorno con el tiempo debido. Estimamos que el avance detallado de tu programación para el regreso a línea estará listo a mediados del mes de mayo, y los detalles serán notificados a través del correo. Esperamos haberte ayudado.</t>
  </si>
  <si>
    <t>b825ca3e-LATAM-LP</t>
  </si>
  <si>
    <t>29/04/2026 17:09</t>
  </si>
  <si>
    <t>Buenas tardes, en el 2025 tuve mi chequeo de competencia en el 767 el 21 de mayo y este año no me han puesto por rol ningun vuelo en ese avion en este mes, escribo para solicitar mi chequeo en el mes de prorroga que seria en junio, muchas gracias por su ayuda.</t>
  </si>
  <si>
    <t>Hola, Vivian: Esperamos que hayas tenido un excelente día. Muchas gracias por comunicarte con nosotros para coordinar tu entrenamiento. Respecto a tu consulta, te informamos que, de acuerdo con nuestros registros, tu mes base es junio. Por este motivo, tu programación se realizará durante dicho mes. En caso de que por necesidades operacionales no fuera posible concretarlo en esa fecha, gestionaremos oportunamente una prórroga para el mes de julio, asegurando así que puedas operar con total normalidad. Ten la seguridad de que estamos monitoreando tu vencimiento. Los detalles de tu citación serán notificados a través del correo. Esperamos haberte ayudado.</t>
  </si>
  <si>
    <t>fee75a0c-LATAM-LP</t>
  </si>
  <si>
    <t>28/04/2026 12:09</t>
  </si>
  <si>
    <t>Tct</t>
  </si>
  <si>
    <t>Quería comentar mi caso, ya que solicité el dia 8 de mayo como día libre, por que tengo cita en la embajada para tramitar mi visa crew, lo solicité con 2 meses de anticipación como piden para protección del rol, el 9 de marzo. He revisado mi rol y veo que el 8 de mayo (día de mi cita) figura como BLANCO, y el 9 tengo programado un vuelo a VVI en la madrugada (aprox. 1:45 a.m.). Por lo que quisiera consultar si es posible revisar o ajustar esa programación. Quedo atenta a tus comentarios.</t>
  </si>
  <si>
    <t>Hola, Nicole: Esperamos que hayas tenido un excelente día. Muchas gracias por comunicarte con nosotros y por habernos enviado tu solicitud con la anticipación debida. Respecto a tu consulta, te informamos que hemos revisado detalladamente tu programación con el equipo de Movimiento Diario. Al respecto, nos indican que la secuencia actual es legal y cumple con los parámetros establecidos. En caso de que tengas alguna duda adicional sobre este caso o requieras mayor asistencia con la operatividad de tu rol, te solicitamos por favor derivar tu consulta directamente al equipo de Movimiento Diario (movimiento.trip@lan.com). Saludos Cordiales</t>
  </si>
  <si>
    <t>2c064459-LATAM-LP</t>
  </si>
  <si>
    <t>30/04/2026 14:43</t>
  </si>
  <si>
    <t>Buenas tardes, este es el segundo mes que no tengo vuelo en la flota 767, ya que tengo cita en la embajada el 7 de mayo y en el mes de junio tengo entendido que tampoco me programarán vuelo en esa flota así actualice la información. Por favor les pido su apoyo para considerarme en alguna activación para un SCL en 767, ya que tengo reservas el 19 y 20 de mayo o si puede considerarse quitarme algún día de vuelo nacionales para cubrir alguna de esas frecuencias y así evitar vencerme. Agradezco mucho su apoyo.</t>
  </si>
  <si>
    <t>Hola, Irma: Esperamos que hayas tenido un excelente día. Muchas gracias por comunicarte con nosotros y por detallarnos tu situación respecto a tu experiencia reciente en la flota B767. Al respecto, te informamos que existe la posibilidad de gestionar tu solicitud. Si cuentas con tu documentación actualizada para el mes de junio, podríamos proceder con una programación de manera manual para asegurar tu activación en dicha flota y así evitar el vencimiento el 19 de Jun. Te recomendamos regularizar cualquier información pendiente a la brevedad para poder apoyarte con esta gestión. Saludos,</t>
  </si>
  <si>
    <t>8fd3e4ba-LATAM-LP</t>
  </si>
  <si>
    <t>25/04/2026 20:59</t>
  </si>
  <si>
    <t>f252695f-LATAM-LP</t>
  </si>
  <si>
    <t>30/04/2026 12:32</t>
  </si>
  <si>
    <t>9b04a485-LATAM-LP</t>
  </si>
  <si>
    <t>01/05/2026 14:24</t>
  </si>
  <si>
    <t>cd1b00da-LATAM-LP</t>
  </si>
  <si>
    <t>26/04/2026 20:40</t>
  </si>
  <si>
    <t>Deseo realizar una consulta respecto a la asignación de mi periodo vacacional en relación con mi día libre por cumpleaños. Mi cumpleaños es el 21 de septiembre y, según convenio, corresponde el otorgamiento de un día libre adicional (22 de septiembre). Asimismo, para el periodo julio–diciembre 2026 cuento con un total de 17 días de vacaciones, debido al día adicional acumulado por antigüedad. De manera habitual, selecciono una semana de vacaciones en el mes de septiembre. En este caso, el bloque correspondiente sería del 23 al 30 de septiembre. Sin embargo, entiendo que, al contar con un día adicional, el sistema podría ajustar el inicio del periodo vacacional hacia atrás, iniciándolo el 22 de septiembre, lo cual coincidiría con mi día libre por cumpleaños y generaría la pérdida efectiva de dicho beneficio. En ese sentido, quisiera consultar si existe la posibilidad de que el día libre por cumpleaños pueda ser considerado el 20 de septiembre, manteniéndose el 21 como fecha de cumpleaños, y permitiendo que el periodo vacacional se inicie a partir del 22 de septiembre, sin afectar el beneficio correspondiente. Agradecería se me pueda indicar si existe alguna alternativa o procedimiento para gestionar este caso de manera que no se vea perjudicado el día libre por cumpleaños en la programación de vacaciones.</t>
  </si>
  <si>
    <t>Hola, Mileny: Esperamos que hayas tenido un excelente día. Muchas gracias por el detalle de tu consulta; valoramos mucho tu proactividad al planificar tus descansos. Al respecto, te informamos que, al iniciar tu nuevo periodo vacacional el 1 de julio, para el mes de septiembre ya estarás bajo un nuevo ciclo de programación. Bajo este esquema, no correspondería que tus vacaciones se ajusten hacia atrás afectando tu día libre por cumpleaños. Incluso si por disponibilidad de cupos fuera necesario realizar un ajuste, lo habitual es que el empalme se realice hacia adelante, por lo que no habría riesgo de interferencia con tu beneficio del 21 y 22 de septiembre. No obstante, para brindarte mayor tranquilidad, te sugerimos especificar esta misma observación en el apartado de comentarios de tu formulario de pre-publicación. Al indicar expresamente que no deseas que el periodo vacacional se empalme con tu día de cumpleaños, el equipo de programación podrá identificar y considerar tu caso desde el primer momento. Esperamos haberte ayudado con esta información.</t>
  </si>
  <si>
    <t>26a65ee8-LATAM-LP</t>
  </si>
  <si>
    <t>01/05/2026 16:40</t>
  </si>
  <si>
    <t>Buenas tardes, me solicitaron actualizar mi nuevo pasaporte debido a que figura CREW WITHOUT PASSPORT UNITL year 2999, sin embargo mi pasaporte no cambió, sigue siendo el mismo, solicité la protección por entrevista en la embajada la cual fue negada, por ende no hubo ningún cambio, de igual manera debo seguir con la actualización?</t>
  </si>
  <si>
    <t>Hola, Jose: Esperamos que hayas tenido un excelente día. Muchas gracias por comunicarte con nosotros para aclarar esta situación. Respecto a tu consulta, te informamos que sí es necesario que realices una nueva actualización cargando tu pasaporte actual (aunque sea el mismo documento que ya tenemos registrado). La razón de este requerimiento es que, tras el proceso con la embajada, el sistema genera una alerta de "Crew without passport" que debemos retirar. El envío de tu documento nos servirá como la confirmación necesaria para limpiar dicha alerta y regularizar tu perfil en nuestros registros. Agradecemos de antemano tu apoyo con esta gestión. Saludos,</t>
  </si>
  <si>
    <t>f5b7d6b8-LATAM-LP</t>
  </si>
  <si>
    <t>27/04/2026 07:26</t>
  </si>
  <si>
    <t>El día de hoy tenia asignado mi apto medico, pero me encuentro con mi periodo menstrual, y en las indicaciones no se puede realizar el examen, de igual manera, mi apto medico, lo pase en diciembre, estando válido aún</t>
  </si>
  <si>
    <t>Estimada Rocío, esperamos que hayas tenido un excelente día. Te informamos que hemos validado tu información y confirmamos que tu apto médico aún se encuentra vigente. Por tal motivo, se te asignará una nueva cita un mes antes de su vencimiento. FV: 31/12/26 Esperamos haberte ayudado.</t>
  </si>
  <si>
    <t>2f6d24a5-LATAM-LP</t>
  </si>
  <si>
    <t>01/05/2026 13:43</t>
  </si>
  <si>
    <t>Estimados ya habiendo actualizado mis datos de ma visa crew solicito la programación de la experiencia reciente en vuelo LP para volver a habilitarme en el equipo B767. Quedo atenta a sus comentarios. Saludos</t>
  </si>
  <si>
    <t>Hola, Gabriela: Esperamos que hayas tenido un excelente día. Muchas gracias por comunicarte con nosotros y confirmarnos la actualización de tu visa. Respecto a tu solicitud para retomar la experiencia reciente en la flota B767, te informamos lo siguiente: Debido a que el rol del presente mes ya se encuentra en curso, no nos es posible programar tus chequeos de manera inmediata. No obstante, tu caso ya ha sido tomado en cuenta para la planificación del próximo mes. Es importante considerar que, dado el tiempo transcurrido, para el siguiente mes ya no correspondería una prórroga, sino que se solicitará la programación de Reentrenamiento + Recalificación (REENT + RECA) para asegurar tu correcta habilitación en el equipo. Te estaremos notificando en cuanto estas actividades se vean reflejadas en tu nueva programación. Saludos,</t>
  </si>
  <si>
    <t>1d098bcf-LATAM-LP</t>
  </si>
  <si>
    <t>27/04/2026 10:55</t>
  </si>
  <si>
    <t>Buenos dias estimados compañeros. El año pasado,segundo semestre,no tomé mis vacaciones por dm por at. Como quedan los dias pendientes ? Ahora estoy apoyando en sala de Tripulantes como teletrabajo. Muchas gracias</t>
  </si>
  <si>
    <t>Hola, Lana: Esperamos que hayas tenido un excelente día. Muchas gracias por tu consulta. Respecto a tu situación vacacional, te informamos que hemos revisado tu caso detalladamente junto con el equipo de Recursos Humanos. Debido a los periodos de Descanso Médico Prolongado (DMP) presentados durante el ciclo anterior, no se logró alcanzar el mínimo de días laborados que exige la normativa para generar el derecho a vacaciones del periodo 25-26. Sin embargo, de acuerdo a lo coordinado con tu CPL, para este primer semestre se te han programado 9 días de vacaciones por vencimiento. Asimismo, te comentamos que a partir del 1 de julio se aperturará tu nueva meta de vacaciones, la cual podrás solicitar oportunamente a través del formulario de pre-publicación. Esperamos haberte ayudado a aclarar este panorama.</t>
  </si>
  <si>
    <t>a801f936-LATAM-LP</t>
  </si>
  <si>
    <t>05/05/2026 11:27</t>
  </si>
  <si>
    <t>Buenos tardes. Quisiera saber por qué me aparece este mensaje cuando intento ingresar al formulario de reposición de emergencia. Me enviaron el link por correo corporativo, pero no logro ingresar. Quedo atenta a la respuesta. Gracias.</t>
  </si>
  <si>
    <t>Hola, Maytee: Esperamos que te encuentres muy bien. Muchas gracias por reportarnos este inconveniente con el acceso. Comprendemos que es importante para ti poder ingresar al formulario de manera correcta. Para solucionar el error que visualizas, te compartimos el enlace actualizado y correcto para realizar la gestión de Reposición de Emergencia: Enlace de acceso: https://armlt.appslatam.com/#/login Por favor, intenta ingresar nuevamente con tus credenciales habituales. Si el inconveniente persiste, no dudes en volver a contactarnos para brindarte mayor soporte. Saludos,</t>
  </si>
  <si>
    <t>500d42b8-LATAM-LP</t>
  </si>
  <si>
    <t>05/05/2026 11:33</t>
  </si>
  <si>
    <t>Proximo a vencer experiencia reciente en B767, el 8/2/26 fue mi ultimo vuelo en la flota.</t>
  </si>
  <si>
    <t>36555f5e-LATAM-LP</t>
  </si>
  <si>
    <t>05/05/2026 10:30</t>
  </si>
  <si>
    <t>Buenos dias, la presente consulta es para saber si se consideró mi protección de rol para el mes de junio por trámite de visa turista. Mandé la solicitud el 30 de abril, pero no recibí correo de confirmación del mismo. Quedo atento. Saludos.</t>
  </si>
  <si>
    <t>Hola, Diego: Esperamos que tengas un excelente día. Muchas gracias por comunicarte con nosotros. Respecto a tu consulta sobre la protección de rol para el mes de junio por tu trámite de visa de turista, te brindamos la información solicitada. Te confirmamos que tu solicitud enviada el 30 de abril fue recibida correctamente y ha sido considerada para la planificación del rol de junio. Por este motivo, puedes tener la tranquilidad de que la protección ya se encuentra registrada en nuestros sistemas. Quedamos a tu disposición para cualquier consulta adicional y te deseamos éxito en tu trámite. Saludos,</t>
  </si>
  <si>
    <t>08eab578-LATAM-LP</t>
  </si>
  <si>
    <t>28/04/2026 08:40</t>
  </si>
  <si>
    <t>Buenos dias, me han puesto vacaciones la primera semana de mayo y yo me encuentro en natalidad, desearia me quiten esas vacaciones para poder tomarlas al final de mi periodo de maternidad</t>
  </si>
  <si>
    <t>Hola, Daniella: Esperamos que hayas tenido un excelente día. Muchas gracias por comunicarte con nosotros. Comprendemos tu solicitud respecto a la coincidencia de tus vacaciones con tu periodo de natalidad. Al respecto, te informamos que ya hemos solicitado al área correspondiente realizar el ajuste para que puedas tomar la totalidad de tus vacaciones al finalizar tu periodo de maternidad, junto con tu línea de retorno. esperamos haberte ayudado</t>
  </si>
  <si>
    <t>e2175601-LATAM-LP</t>
  </si>
  <si>
    <t>06/05/2026 10:41</t>
  </si>
  <si>
    <t>Buenos días, el día 24/04/2026 tenía mi lck, lamentablemente me lo retiraron y me encuentro a la espera de la re programación. Sin embargo, he revisado mi rol y no cuento con muchos vuelos DOM, y a partir del día 27/05/2026 tengo libres legales y, posteriormente, durante todo el mes de Junio estaré de vacaciones. Solicito su apoyo para gestionar este tema a la brevedad posible, considerando que mi mes base es Mayo. Quedo atenta a su respuesta. Gracias, buen día.</t>
  </si>
  <si>
    <t>eb79c538-LATAM-LP</t>
  </si>
  <si>
    <t>06/05/2026 10:46</t>
  </si>
  <si>
    <t>Tengo programado vuelos de RET B767 el día 20/05/26 y RET A320F el día 11/05/26 ya que mi RTI tiene vencimiento 31/05/2026 pero no me han programado vuelo RET B787 este mes siendo también su vencimiento RTI 31/05/26, en todo caso por favor podrían hacerlo en Junio con Dispensa DGAC? lo mismo para mi REVA teórico práctica que también tenía vencimiento Mayo 2026, por favor quedo a espera de cualquier información, muchas gracias. Saludos Cordiales, Eduardo Garavello(TCS) BP: 1713541 DNI: 10772035</t>
  </si>
  <si>
    <t>Hola, Eduardo: Esperamos que te encuentres muy bien. Muchas gracias por comunicarte con nosotros para detallar el estado de tus entrenamientos. Respecto a tu consulta sobre la flota B787 y tu REVA, te brindamos la siguiente información tras revisar tu programación: Te confirmamos que en la programación de junio ya se encuentran programados tu Reentrenamiento B787 y tu Chequeo (LCK) 787. Entendemos tu preocupación debido a que tu mes base es mayo; sin embargo, la programación ya ha sido coordinada para el próximo mes para asegurar el cumplimiento de tus requisitos técnicos y de seguridad. Te sugerimos estar atento a la publicación oficial de tu rol de junio para visualizar los detalles. Quedamos a tu disposición para cualquier aclaración adicional. Saludos,</t>
  </si>
  <si>
    <t>Hola, Yharif: Esperamos que tengas un excelente día. Muchas gracias por comunicarte con nosotros y detallar tu situación. Respecto a la reprogramación de tu chequeo (LCK), te informamos lo siguiente: Tenemos plenamente identificada la pérdida de actividad del pasado 24 de abril. Considerando que tu mes base es mayo y que tienes programado tu periodo de vacaciones para el mes de junio, ya estamos gestionando una solicitud de prórroga para el mes de junio. Esta gestión nos permitirá programar tu LCK de manera que se mantenga tu habilitación vigente, considerando tus días libres y tu periodo de descanso. Te notificaremos en cuanto la nueva fecha quede confirmada en tu rol. Saludos,</t>
  </si>
  <si>
    <t>5500bdf8-LATAM-LP</t>
  </si>
  <si>
    <t>06/05/2026 13:06</t>
  </si>
  <si>
    <t>Buenas tardes, debido a problemas de mantenimiento no pude realizar mi linecheck A320 el 6 de Abril, y estoy en el mes de vencimiento (Mayo) y no me reprogramaron. Cumplo con informar y solicito se me programe en el mes Junio por favor. Gracias y saludos.</t>
  </si>
  <si>
    <t>Hola, Pedro: Esperamos que tengas un excelente día. Muchas gracias por comunicarte con nosotros y por informarnos proactivamente sobre tu situación. Respecto a la reprogramación de tu Line Check (LCK) A320, te brindamos la siguiente información: Tenemos debidamente registrada la pérdida de actividad del pasado 6 de abril debido a los inconvenientes de mantenimiento mencionados. Al encontrarte actualmente en tu mes base (mayo), estamos gestionando una solicitud de prórroga ante la autoridad correspondiente para el mes de junio. Esta gestión permitirá que tu LCK sea programado durante el próximo mes sin afectar la vigencia de tu habilitación. Te recomendamos estar atento a la publicación de tu próximo rol para visualizar la nueva fecha asignada. Saludos,</t>
  </si>
  <si>
    <t>837dccc1-LATAM-LP</t>
  </si>
  <si>
    <t>06/05/2026 19:00</t>
  </si>
  <si>
    <t>18402fb2-LATAM-LP</t>
  </si>
  <si>
    <t>07/05/2026 18:37</t>
  </si>
  <si>
    <t>Buenas noches, detallo la siguiente información a cerca de mi curso/transición boeing 767. Tuve el curso en Agosto, chequeo latam en noviembre y chequeo dgac en febrero 2026, el cual fue insatisfactorio. Quisiera saber cuál es el proceso a seguir para una nueva programación de chequeo DGAC . Cabe mencionar que no cuento con ningun curso o evaluación pendiente en airbus ya que he terminado todas las evaluaciones que me corresponden anualmente. Agradezco de antemano por su tiempo y respuesta.</t>
  </si>
  <si>
    <t>Hola, Sandra: Esperamos que tengas un excelente día. Muchas gracias por comunicarte con nosotros y detallar los antecedentes de tu transición a la flota Boeing 767. En relación con tu consulta sobre los pasos a seguir tras el resultado del chequeo DGAC en febrero, te informamos que, de acuerdo con nuestra política interna de capacitación y estándares de habilitación, para proceder con una nueva programación de chequeo es necesario realizar nuevamente el curso de tierra de B767. Este proceso asegura que cuentes con todos los conocimientos técnicos reforzados antes de una nueva evaluación ante la autoridad. Quedamos a tu disposición para cualquier duda sobre este proceso. Saludos,</t>
  </si>
  <si>
    <t>34a8fb2f-LATAM-LP</t>
  </si>
  <si>
    <t>28/04/2026 14:26</t>
  </si>
  <si>
    <t>Estimados, buenos días; Me dirijo a ustedes con el debido respeto para solicitar, de ser posible, el adelanto de la programación de mi apto médico, con la finalidad de evitar verme perjudicada en mis funciones y continuidad laboral, considerando que mi actual apto médico vence en el mes de julio. Agradecería mucho puedan evaluar mi solicitud y brindarme el apoyo correspondiente para realizar este trámite con la anticipación necesaria. Quedo atenta a su amable respuesta.</t>
  </si>
  <si>
    <t>Hola, Grescia: Esperamos que hayas tenido un excelente día. Muchas gracias por tu mensaje y por tu interés en mantener al día tu documentación. Respecto a tu solicitud, te comentamos que las programaciones de los aptos médicos se realizan siguiendo un cronograma estandarizado para asegurar su máxima vigencia. Por este motivo, las citas se agendan habitualmente un mes previo al vencimiento o durante la primera quincena del mes en que vence el documento. Debido a esta normativa, por el momento no es posible realizar la programación con una anticipación mayor. Ten la seguridad de que el equipo lo tiene mapeado para asignarte tu espacio oportunamente y así evitar cualquier inconveniente con tu continuidad laboral en julio. Esperamos haberte ayudado.</t>
  </si>
  <si>
    <t>07b92f5e-LATAM-LP</t>
  </si>
  <si>
    <t>28/04/2026 13:40</t>
  </si>
  <si>
    <t>Buenas tardes! Estoy en el tramite de mi No Apto por gestación. En el correo enviado me piden llene el formulario que envio en la foto pero me figura que ya no se aceptan más repsuestas. Espero su ayuda, muchas gracias</t>
  </si>
  <si>
    <t>Hola, Kiara: Esperamos que hayas tenido un excelente día. Muchas gracias por comunicarte con nosotros y por informarnos sobre el inconveniente con el enlace. Te ofrecemos una sincera disculpa por haberte enviado un formulario que ya no se encontraba habilitado. Para que puedas continuar con tu trámite de No Apto por gestación sin más demora, te compartimos aquí el enlace al formulario vigente: "https://forms.gle/kacTrtP44NjMTvzj8" Estaremos atentos a que puedas completarlo con éxito. Si presentas cualquier otra dificultad, no dudes en escribirnos nuevamente.</t>
  </si>
  <si>
    <t>ff6bca69-LATAM-LP</t>
  </si>
  <si>
    <t>28/04/2026 14:30</t>
  </si>
  <si>
    <t>70249896-LATAM-LP</t>
  </si>
  <si>
    <t>28/04/2026 14:37</t>
  </si>
  <si>
    <t>Buenas tardes me han programado el apto médico para el 14 de mayo porque cumplo 40 años, yo lo acabo de pasar en Marzo, quiero saber si tengo que pasar nuevamente por todas las áreas? Y segundo, yo tengo una dispensa en la clínica Los Andes por eso siempre lo paso ahí porque ya tienen todo mi historial, pero me han programado en la clínica del trabajador. Les agradecería me cambien de clínica a Los Andes, gracias</t>
  </si>
  <si>
    <t>Hola, Sonia: Esperamos que hayas tenido un excelente día. Muchas gracias por informarnos sobre tu situación. Atendiendo a tu solicitud, hemos realizado las gestiones necesarias para ajustar tu programación: Cambio de fecha y lugar: Tu cita ha sido reprogramada para el día 15 de mayo y se llevará a cabo en la Clínica Los Andes, tal como nos solicitaste por tu historial médico. Exámenes pendientes: Tras realizar la consulta con el médico aeronáutico, te confirmamos que es necesario completar 2 exámenes adicionales que quedaron pendientes de tu evaluación de marzo. Te agradecemos por tu disposición para completar este proceso y asegurar la vigencia de tu apto. Esperamos haberte ayudado.</t>
  </si>
  <si>
    <t>9bf2492f-LATAM-LP</t>
  </si>
  <si>
    <t>28/04/2026 14:40</t>
  </si>
  <si>
    <t>ba0ec670-LATAM-LP</t>
  </si>
  <si>
    <t>08/05/2026 15:40</t>
  </si>
  <si>
    <t>Buenas tardes. El presente es para avisar que mi lck de la flota airbus vence este 31 de mayo para que me tengan en consideración. Saludos.</t>
  </si>
  <si>
    <t>Hola, Daniel: Esperamos que tengas un excelente día. Muchas gracias por comunicarte con nosotros y por el recordatorio sobre el vencimiento de tu habilitación de la flota Airbus el próximo 31 de mayo. Al respecto, te informamos que tenemos debidamente registrada la pérdida de tu actividad (LCK) debido al periodo de descanso médico (SICK). Para asegurar la vigencia de tu licencia, ya nos encontramos gestionando una solicitud de prórroga para el mes de junio, mes en el que se te asignará tu LCK A320. Te sugerimos estar atento a la publicación de tu próximo rol para visualizar la fecha de tu programación. Saludos,</t>
  </si>
  <si>
    <t>6efa6cce-LATAM-LP</t>
  </si>
  <si>
    <t>28/04/2026 13:58</t>
  </si>
  <si>
    <t>Reprogramar examen ocupacional ya que estoy con sangrado menstrual</t>
  </si>
  <si>
    <t>Hola, Lady: Esperamos que hayas tenido un excelente día. Muchas gracias por comunicarte con nosotros e informarnos sobre tu situación. No te preocupes, comprendemos perfectamente el inconveniente. Al respecto, te confirmamos que hemos procedido con la reprogramación de tu examen médico ocupacional para el mes de junio. Próximamente estarás recibiendo los detalles de la nueva fecha y hora a través del correo. Esperamos haberte ayudado.</t>
  </si>
  <si>
    <t>7336f1b0-LATAM-LP</t>
  </si>
  <si>
    <t>29/04/2026 15:42</t>
  </si>
  <si>
    <t>8e4d6703-LATAM-LP</t>
  </si>
  <si>
    <t>29/04/2026 11:45</t>
  </si>
  <si>
    <t>Buenos dias , una consulta estoy en periodo post natal que termina el 22 de junio. Cuento con 42 dias de vacaciones pero solo quisiera usar 1 mes antes de mi retorno a linea y los demas dias poder salir en el segundo semestre en octubre y diciembre.(esas vacaciones las he solicitado por el formulario de 2ndo semestre) sera factible? Gracias</t>
  </si>
  <si>
    <t>Hola, Paola: Esperamos que hayas tenido un excelente día. Muchas gracias por comunicarte con nosotros. Hemos recibido tu solicitud para fraccionar tus 42 días de vacaciones, utilizando un mes previo a tu retorno a línea y reservando el saldo restante para el segundo semestre (octubre y diciembre). Al respecto, te informamos que tu pedido será tomado en consideración y evaluado de acuerdo con la planificación del área. Es importante mencionar que ya contamos con el registro de tu solicitud enviada a través del formulario del segundo semestre. Cualquier actualización sobre la aprobación de estas fechas será notificada a través del correo. Esperamos haberte ayudado.</t>
  </si>
  <si>
    <t>85924a14-LATAM-LP</t>
  </si>
  <si>
    <t>29/04/2026 18:20</t>
  </si>
  <si>
    <t>Quisiera saber si las vacaciones que estaban programadas para el mes de mayo (8-16) han sido retiradas por solicitud de mi CPL, ya que ahora estoy con licencia por maternidad y quisiera usar las vacaciones de este año en el postparto</t>
  </si>
  <si>
    <t>Hola, Stacy: Esperamos que hayas tenido un excelente día. Muchas gracias por comunicarte con nosotros para validar tu programación. Al respecto, te confirmamos que las vacaciones que tenías programadas del 8 al 16 de mayo han sido retiradas exitosamente de tu rol, atendiendo a la solicitud de tu CPL. Esperamos haberte ayudado. Saludos,</t>
  </si>
  <si>
    <t>a6b4f085-LATAM-LP</t>
  </si>
  <si>
    <t>08/05/2026 20:23</t>
  </si>
  <si>
    <t>Dentro de 3 dias se actualiza mi nueva Visa Crew en el sistema por lo que solicito su apoyo para que me puedan activar algún vuelo 767 ya que si en junio no tengo vuelo 767 me voy a vencer. He visto que este mes tengo reserva el dia 28, 29 y 30, quizas en esos dias podrian activar cualquier vuelo 767. Kuchhas. Gracias por el apoyo.</t>
  </si>
  <si>
    <t>Hola, Rodrigo: Esperamos que tengas un excelente día. Muchas gracias por comunicarte con nosotros y por informarnos sobre la actualización de tu Visa Crew. Respecto a tu solicitud para mantener la vigencia en la flota B767, te brindamos la siguiente información: Te confirmamos que ya nos encontramos gestionando con el área de Recovery la asignación de tu vuelo de Experiencia Reciente, tomando en cuenta tus días de reserva (28, 29 y 30) y la actualización de tus documentos. No te preocupes, ya que estamos al tanto de tus vencimientos. Es importante recordarte que este no es un examen o evaluación, sino únicamente un vuelo de Experiencia Reciente que te permitirá mantenerte vigente en la flota B767. Saludos,</t>
  </si>
  <si>
    <t>1d5a4a03-LATAM-LP</t>
  </si>
  <si>
    <t>09/05/2026 11:49</t>
  </si>
  <si>
    <t>Hola buen día, tenía programado mi linecheck de airbus para el 24 de abril pero tuve descanso médico. Quisiera que me ayuden con la reprogramación, por favor.</t>
  </si>
  <si>
    <t>Hola, Gaby: Esperamos que te encuentres muy bien. Muchas gracias por comunicarte con nosotros. Hemos tomado conocimiento de que no pudiste realizar tu Line Check (LCK) de Airbus el pasado 24 de abril debido a tu periodo de descanso médico. Al respecto, te informamos que ya estamos gestionando una solicitud de prórroga para el mes de junio. Esto te permitirá seguir operando con normalidad y asegurar que tu chequeo sea programado durante el próximo mes para mantener tu habilitación vigente. Saludos!</t>
  </si>
  <si>
    <t>c5a032ea-LATAM-LP</t>
  </si>
  <si>
    <t>10/05/2026 04:01</t>
  </si>
  <si>
    <t>GX02</t>
  </si>
  <si>
    <t>0dc34c99-LATAM-LP</t>
  </si>
  <si>
    <t>29/04/2026 09:48</t>
  </si>
  <si>
    <t>Buenos días, me llego un correo indicándome que el día de mañana 30/04 tengo mi chequeo en vuelo y que necesito una provisional. Aun no la he recibido. gracias.</t>
  </si>
  <si>
    <t>b79d40ad-LATAM-LP</t>
  </si>
  <si>
    <t>29/04/2026 11:31</t>
  </si>
  <si>
    <t>Buenos días " un favor enorme , cuando tendré mi reprogramacion de practica ? Sigo atenta. Les pido sea lo más pronto posible. Muchas gracias.</t>
  </si>
  <si>
    <t>b70d5b5e-LATAM-LP</t>
  </si>
  <si>
    <t>29/04/2026 22:30</t>
  </si>
  <si>
    <t>Buenas escribí el 25 de abril , pidiendo mi reprogramacion para mi practica en el CAE del curso Reva, el cual fue insatisfactorio. Y me respondieron otra cosa errónea. Me gustaría saber cuando será mi REVA , la practica calificada . Estoy esperando por favor que sea pronto . Gracias .</t>
  </si>
  <si>
    <t>1c5b170f-LATAM-LP</t>
  </si>
  <si>
    <t>30/04/2026 07:04</t>
  </si>
  <si>
    <t>Necesito salir 20 días de vacaciones en el semestre 2027-1 eso significa que en este semestre 2026-2 debo marcar “no deseo salir de vacaciones” o simplemente debo salir los días que se me indican y el próximo semestre solicitar días adicionales?</t>
  </si>
  <si>
    <t>Hola, Jenifer: Esperamos que hayas tenido un excelente día. Muchas gracias por tu consulta. Respecto a tu duda sobre el semestre 2026-2, te informamos que es necesario que realices tu solicitud de vacaciones en este periodo. Esto se debe a que tus días tienen como fecha de vencimiento el 1 de febrero. Si no realizas la solicitud, el sistema procederá a asignarlas de manera automática por vencimiento. Al pedirlas activamente, aseguras que el equipo pueda considerar tu solicitud y preferencias dentro de la planificación. Esperamos que esta información te sea de mucha utilidad para tu programación. Saludos,</t>
  </si>
  <si>
    <t>6e3a487b-LATAM-LP</t>
  </si>
  <si>
    <t>30/04/2026 06:53</t>
  </si>
  <si>
    <t>Estimados buenos diaa, hace unos dias mande formulario consultsndo por 6 dias pendientes que me deben antes de mi fecha de vencimkento, me respondierln ayer que esos 6 dias me los pondrian en empalme con mis vacaciones de junio, yo.no deseo esos 6 dias en junio yo las estoy solicitamdo para.julio , todos los años pido los mismos bloques. Por favor no colocarmelas para.junio porque no las he solicitadl para.esa.fecha, si me ayidan poniendomelas para julio ( mi menor hija tiene vacaciones ) y el dia qjw falta para completar la semana me lo pueden agarrar de los bloques del 2026. Muchas gracias !</t>
  </si>
  <si>
    <t>Hola, Gladys: Esperamos que hayas tenido un excelente día. Muchas gracias por comunicarte con nosotros y por detallarnos tu solicitud respecto a los días pendientes y los bloques para el próximo semestre. Al respecto, te informamos que se mantendrán únicamente las fechas pre-publicadas del 8 al 15 de junio. El saldo de días restantes será tomado en consideración e incluido en la pre-publicación del periodo 2026-2, tal como lo has solicitado para coordinar con el periodo vacacional de tu menor hija. Esperamos haberte ayudado con esta gestión.</t>
  </si>
  <si>
    <t>1cbfa943-LATAM-LP</t>
  </si>
  <si>
    <t>30/04/2026 11:40</t>
  </si>
  <si>
    <t>Buenos días, Entiendo que este tipo de solicitudes puede tomar tiempo; sin embargo, quisiera consultar cómo va el caso relacionado con el retiro de las vacaciones programadas a partir de este 1 de mayo, ya que mañana es feriado ( 1 de mayo ) y me gustaría tener claridad sobre si estas serán efectivas o retiradas, considerando que inician mañana. Este es el número de caso asignado: NAT/LP – ID 08eab578-LATAM-LP Quedo atenta a su respuesta y agradezco de antemano el apoyo brindado. Muchas gracias.</t>
  </si>
  <si>
    <t>0f1ff30e-LATAM-LP</t>
  </si>
  <si>
    <t>30/04/2026 10:06</t>
  </si>
  <si>
    <t>Buenas tardes, me podrían indicar cuántos días tengo de vacaciones antes de febrero 2027, es decir cuánto me queda para este segundo semestre. Mi bp 2713960. Gracias</t>
  </si>
  <si>
    <t>Hola, Claudia: Esperamos que hayas tenido un excelente día. Muchas gracias por comunicarte con nosotros. En atención a tu consulta sobre tu saldo de vacaciones para este segundo semestre y antes de tu vencimiento en febrero de 2027, te brindamos la siguiente información: Actualmente, cuentas con un saldo de 27 días disponibles hasta tu fecha de vencimiento. Es importante precisar que, de este total, 25 días corresponden al cálculo proporcional generado hasta el 31 de dic del 2026. Esperamos que esta información te sea de utilidad para la planificación de tus descansos. Saludos,</t>
  </si>
  <si>
    <t>c8a9ec78-LATAM-LP</t>
  </si>
  <si>
    <t>30/04/2026 13:13</t>
  </si>
  <si>
    <t>Estimados, con respecto a la consulta código 2c3f1acb-LATAM-LP, sobre 4 días restantes de vacaciones del periodo 2026-1, me gustaría saber si es posible dividir estos 4 días en 2 días extras en julio y 2 días extra en septiembre. He solicitado vacaciones del 8 al 15 de julio y del 23 al 30 de septiembre, y me gustaría poder contar con el 16 y 17 de julio y el 21 y 22 de septiembre. Estaría muy agradecida si pudiera procederse de esa manera. Muchas gracia.</t>
  </si>
  <si>
    <t>Hola, Maria: Esperamos que hayas tenido un excelente día. Muchas gracias por tu comunicación y por el detalle de las fechas que solicitas. Respecto a tu consulta sobre los 4 días restantes del periodo 2026-1, es importante recordar que la pre-publicación se asigna regularmente en bloques de 7 u 8 días. Para poder gozar de esos días extra en julio y septiembre, como mencionas en tu solicitud, deberás registrarlos a través del formulario de pedido adicional de vacaciones. Este formulario se encontrará disponible y se aperturará a fines del mes de mayo. Te recomendamos estar atenta a dicha fecha para que puedas ingresar tu requerimiento y el equipo lo tome en consideración. Saludos,</t>
  </si>
  <si>
    <t>8f5e9d49-LATAM-LP</t>
  </si>
  <si>
    <t>30/04/2026 21:31</t>
  </si>
  <si>
    <t>338dbdc4-LATAM-LP</t>
  </si>
  <si>
    <t>10/05/2026 06:45</t>
  </si>
  <si>
    <t>Estimados buenos días, este mes tengo rol protegido porque tuve entrevista en la embajada americana para renovar mi visa de turista. Ya tengo mi pasaporte de vuelta y tambien ya complete el formulario de actualización de datos para la visa de turista. Mi consulta es sobre esta pestaña que me aparece en el iFlight indicando que mi pasaporte ha vencido el 04may (día de la entrevista).</t>
  </si>
  <si>
    <t>Hola, Edward: Esperamos que tengas un excelente día. Muchas gracias por comunicarte con nosotros y por informarnos sobre la culminación de tu trámite de renovación de visa. Respecto a la alerta que visualizas en iFlight, te informamos que con fecha 11 de mayo se procedió a actualizar la información de tu Visa de Turista en nuestro sistema. Asimismo, se ha vuelto a colocar la fecha de vencimiento correcta de tu pasaporte, por lo que la inconsistencia que visualizabas ha quedado resuelta. Te sugerimos verificar nuevamente tu plataforma en las próximas horas para confirmar que la alerta haya desaparecido. Si tienes alguna duda adicional no dudes en escribirnos una nueva consulta Saludos,</t>
  </si>
  <si>
    <t>a48cc522-LATAM-LP</t>
  </si>
  <si>
    <t>11/05/2026 10:17</t>
  </si>
  <si>
    <t>MADRID. Por favor, hasta fin de mayo solo.he tenido 2 vuelos a Madrid. Por favor, solicito se me pueda asignar este vuelo un poco mas frecuentemente. Agradezco de antemano me.puedan ayudar en los proximos meses tener el.vuelo a Madrid.</t>
  </si>
  <si>
    <t>Hola, Karin: Esperamos que tengas un excelente día. Muchas gracias por comunicarte con nosotros y compartirnos tu interés en operar la ruta a Madrid (MAD) con mayor frecuencia. Al respecto, te informamos que la asignación de vuelos y destinos se gestiona de acuerdo con la programación de roles. Para que tus preferencias sean tomadas en cuenta en los próximos meses, te sugerimos realizar la solicitud de los vuelos requeridos a través de la herramienta PBS durante los periodos de licitación correspondientes. Quedamos a tu disposición para cualquier duda administrativa adicional. Saludos,</t>
  </si>
  <si>
    <t>a16cc69d-LATAM-LP</t>
  </si>
  <si>
    <t>30/04/2026 16:20</t>
  </si>
  <si>
    <t>Buenas tardes compañeros. Esta es ya la tercera vez que escribo y tengo cerca de 10 días buscando respuesta a mi pregunta. Sin embargo, nadie me ha ayudado al momento. Tengo un pago de eden red y incompleto, ya que en el mes de marzo tuve una demora de 4:00 saliendo de Madrid, por mantenimiento, lo que significa un pago en eden red en el mes de abril, el cual no recibí, Me indicaron que cualquier consulta adicional la podría tener con Osmar Neves, sin embargo él me ha detallado el pago total que también está incompleto ya que recibí solo 452 soles que vienen a ser el 20% de mi sueldo faltarían los 43 soles que me indicaron que volé en la flota narrow body, me gustaría saber cuándo recibiré los 200 soles aproximados que tengo por la demora de 4:00 saliendo de Madrid. El día 7 de marzo y por qué el 20% de mi sueldo es 407 en lugar de 452 como me lo comentaron en el correo, por favor agradezco la respuesta. Ya que llevo varios días buscando una solución a mi problema y a pesar de haber enviado correo a. Los. Involucrados y las personas que podrían ayudarme no recibo ninguna respuesta.</t>
  </si>
  <si>
    <t>2d7a3854-LATAM-LP</t>
  </si>
  <si>
    <t>02/05/2026 12:16</t>
  </si>
  <si>
    <t>Buen día, mando esta consulta ya que revisando mi correo personal de Gmail note que tenia un correo de solicitud de vacaciones para el periodo 2026-02. No se como fue que paso y que el sistema me lo permitió pero parece que llene el formulario con la cuenta personal abierta. Quería saber si al haber puesto mis datos (BP y nombres) de manera correcta en el formulario la solicitud para las fechas pedidas aun sera aceptada por favor. Adjunto un screen de la solicitud realizada y quedo atenta a su ayuda, muchas gracias de antemano.</t>
  </si>
  <si>
    <t>Hola, Andrea: Esperamos que hayas tenido un excelente día. Muchas gracias por comunicarte con nosotros y por adjuntar la captura de pantalla de tu solicitud. Queremos darte tranquilidad respecto a tu consulta: efectivamente, hemos verificado que tu solicitud ingresó a través de tu cuenta personal de Gmail. Sin embargo, hemos logrado localizar el registro con tus datos correctamente y te confirmamos que será tomada en consideración, ya que fue ingresada dentro de los plazos establecidos. No es necesario que realices un nuevo envío, tu pedido ya se encuentra en nuestro sistema para la planificación del periodo 2026-02. Saludos,</t>
  </si>
  <si>
    <t>40b7f389-LATAM-LP</t>
  </si>
  <si>
    <t>11/05/2026 14:06</t>
  </si>
  <si>
    <t>Buen día chicos, como me indicaron ya envie el formulario con la actualización de mi Visa Crew, espero puedan apoyarme como me indicaron programandome un vuelo en 767 para no vencerme. Les agradezco de antemano la gestión!</t>
  </si>
  <si>
    <t>Hola: Esperamos que tengas un excelente día. Muchas gracias por comunicarte con nosotros y confirmar el envío del formulario con la actualización de tu Visa Crew. Te informamos que, al contar ya con tus documentos actualizados en nuestro sistema, procederemos a solicitar al área de Roles/Planificación la asignación de un vuelo de experiencia reciente en la flota B767. Esta gestión se realizará con la prioridad necesaria para asegurar que se cumpla antes de tu fecha de vencimiento. Saludos,</t>
  </si>
  <si>
    <t>c183cc59-LATAM-LP</t>
  </si>
  <si>
    <t>11/05/2026 18:30</t>
  </si>
  <si>
    <t>Hola, Cheryl: Esperamos que te encuentres muy bien y deseamos tu pronta recuperación. Muchas gracias por comunicarte con nosotros y por informarnos sobre tu situación médica actual. Respecto a tu consulta sobre el Line Check (LCK) B767 programado para el 14 de mayo, te informamos lo siguiente: Programación en Junio: Realizaremos la solicitud para que tu chequeo sea reprogramado durante el mes de junio, considerando tu retorno a vuelo el día 23 de mayo. Opción de Prórroga: En caso de que, por motivos de planificación, no sea posible asignarlo en junio, gestionaremos una prórroga para el mes de julio. Esta medida te permitirá seguir operando con total normalidad durante ese mes, asegurando que tu LCK se realice con seguridad en dicho periodo. Estaremos monitoreando tu caso para que tu habilitación se mantenga vigente. Saludos,</t>
  </si>
  <si>
    <t>df203ecf-LATAM-LP</t>
  </si>
  <si>
    <t>11/05/2026 20:10</t>
  </si>
  <si>
    <t>Hola, los saluda Sen Morioka BP 4686008, el 6/5 estando en pleno pernocte me llegó el curso LATAM/ES/@-Programa de Liderazgo para ser ejectuado en la misma fecha 6/5. Lo inicié en una fecha posterior (7/5) y al querer terminarlo al día siguiente (8/5) ya no figuraba en Academia LATAM.</t>
  </si>
  <si>
    <t>Hola, Sen: Esperamos que tengas un excelente día. Muchas gracias por comunicarte con nosotros y por reportar el inconveniente con el curso "Programa de Liderazgo". Al tratarse de una incidencia técnica dentro de la plataforma de aprendizaje, te informamos que es necesario generar un ticket de soporte con el equipo de la Academia. Ellos son el área encargada de verificar la vigencia de los cursos y reactivarlos en caso de que hayan desaparecido de tu perfil antes de completarlos. Puedes realizar tu requerimiento a través del portal de soporte de la Academia para que puedan ayudarte a la brevedad. Saludos</t>
  </si>
  <si>
    <t>417a4898-LATAM-LP</t>
  </si>
  <si>
    <t>12/05/2026 18:33</t>
  </si>
  <si>
    <t>Buenas tardes. Recibí el correo acerca de la prórroga de Junio, solo quería dar como información que saldré de vacaciones desde el 1 de junio al 30 del mismo mes.</t>
  </si>
  <si>
    <t>51474d62-LATAM-LP</t>
  </si>
  <si>
    <t>12/05/2026 03:06</t>
  </si>
  <si>
    <t>Buenos días. Les saluda María Gracia Soria BP 6014223. Les escribo ya que el 06/05 tenía programado mi LCK, pero por descanso médico me retiraron la asignación. Mi mes de vencimiento es junio por lo quisiera saber si me tendrán en cuenta para este mes por favor. Muchas gracias por la atención.</t>
  </si>
  <si>
    <t>Hola, María Gracia: Esperamos que te encuentres muy bien y que hayas tenido una buena recuperación. Muchas gracias por comunicarte con nosotros y por informarnos sobre tu situación. Respecto a tu consulta sobre el Line Check (LCK) A320, te informamos lo siguiente: Debido al descanso médico que tuviste, se procederá con la gestión correspondiente para tu caso. Como tu mes base de vencimiento es junio, solicitaremos una prórroga para el mes de julio. Esta medida te permitirá seguir operando con total normalidad durante julio, mes en el cual se te programará tu LCK A320. Saludos,</t>
  </si>
  <si>
    <t>916aa45c-LATAM-LP</t>
  </si>
  <si>
    <t>30/04/2026 12:58</t>
  </si>
  <si>
    <t>Buenas tardes, les escribe María José Mendoza Belaunde con BP 6014365, tengo programado el Exámen Médico Ocupacional en la clínica Del Trabajador para la fecha 06/05/2026, en las indicaciones mencionan que no se deben tomar medicamentos la semana previa, por lo que quisiera notificar que actualmente me encuentro tomando medicamentos (adjunto recetas médicas y descansos médicos presentados). Quedo atenta ante cualquier cambio o indicación, muchas gracias de antemano.</t>
  </si>
  <si>
    <t>Hola, María José: Esperamos que hayas tenido un excelente día. Muchas gracias por tu comunicación y por enviarnos el sustento de tu tratamiento médico. Al respecto, te informamos que, tratándose de un Examen Médico Ocupacional (EMO), puedes asistir a tu cita programada para el 06/05/2026 sin inconvenientes. Como medida adicional, te sugerimos llevar contigo toda la documentación física que nos has compartido (recetas y descansos médicos) el día de tu evaluación. De esta manera, podrás informar al personal de la clínica sobre los medicamentos que estás tomando para que lo consideren en tu ficha médica. Esperamos haberte ayudado.</t>
  </si>
  <si>
    <t>1e40adcc-LATAM-LP</t>
  </si>
  <si>
    <t>01/05/2026 10:03</t>
  </si>
  <si>
    <t>Buenos días el 30 de Marzo yo pase apto médico en la clinica del trabajador. Me observaron dicho apto ya que tenía la hemoglobina baja. Ellos me mandaron está información mas una hoja que debía llenar el doctor hematólogo al correo de latam. Al ser correo de latam yo no podía responder y extender el plazo de la entrega de la documentación de la consulta com el medico que me solicitaban por lo que respondi por el correo personal. Nunca recibi respuesta de parte de la clinica. Ahora ya tengo la documentación solicitada y no se como hacerla llegar à la clinica.</t>
  </si>
  <si>
    <t>Hola, Carla: Esperamos que hayas tenido un excelente día. Muchas gracias por comunicarte con nosotros y explicarnos lo sucedido con la entrega de tu documentación. Queremos darte total tranquilidad: la clínica ya nos ha reportado que recibió correctamente la información y los documentos del hematólogo que enviaste. Por este motivo, no es necesario que realices ninguna gestión adicional por el momento. El equipo médico correspondiente procederá con la revisión de tu sustento para regularizar tu apto. Esperamos haberte ayudado.</t>
  </si>
  <si>
    <t>136e39c4-LATAM-LP</t>
  </si>
  <si>
    <t>01/05/2026 20:33</t>
  </si>
  <si>
    <t>Apto medico dice 13 de mayo en el correo y en un correo posterior con todo el cronograma de días de reva dice el 29 por favor le pueden confirmar el dia gracias</t>
  </si>
  <si>
    <t>Hola, Carola: Esperamos que hayas tenido un excelente día. Muchas gracias por informarnos sobre esta diferencia en las fechas de tu programación. Al respecto, te confirmamos que la fecha correcta para realizar tu evaluación es la que figura en el cronograma de reva: el día 29 de mayo. Por favor, desestima la notificación anterior del 13 de mayo para evitar confusiones. Esperamos haberte ayudado.</t>
  </si>
  <si>
    <t>438d230a-LATAM-LP</t>
  </si>
  <si>
    <t>03/05/2026 14:23</t>
  </si>
  <si>
    <t>7bd3dc6d-LATAM-LP</t>
  </si>
  <si>
    <t>03/05/2026 15:33</t>
  </si>
  <si>
    <t>292186f8-LATAM-LP</t>
  </si>
  <si>
    <t>03/05/2026 20:40</t>
  </si>
  <si>
    <t>Buenas noches, se me reprogramo la reva para este mes. Sin embargo, aun no me suben en academia LATAM los cursos correspondientes para poder realizarlos ya que los de la reva pasada ya vencieron o como debo proceder en ese caso? Quedo atenta</t>
  </si>
  <si>
    <t>Hola, Camila: Esperamos que hayas tenido un excelente día. Muchas gracias por comunicarte con nosotros. Respecto a tu consulta, te informamos que hemos revisado la plataforma y confirmado que los cursos correspondientes a tu reprogramación de REVA ya se encuentran asignados. Te solicitamos, por favor, ingresar nuevamente para verificarlos. En caso de que continúes sin visualizarlos, te pedimos notificarnos por este mismo medio para escalar tu caso de inmediato. Esperamos haberte ayudado.</t>
  </si>
  <si>
    <t>b2cf5f0e-LATAM-LP</t>
  </si>
  <si>
    <t>04/05/2026 09:16</t>
  </si>
  <si>
    <t>Buenos días tengo programado apto médico el 14 de mayo, primero quisiera saber que pruebas tendría que pasar porque recién en Marzo lo he pasado, se que esta vez es porque cumplo 40, pero quisiera saber si me sacan sangre nuevamente por ejemplo. Y lo segundo es que yo tengo una dispensa en clínica Los Andes por eso debo pasarlo ahí pero está programado para clínica del trabajador, agradecería mucho lo pudieran cambiar.</t>
  </si>
  <si>
    <t>fedf3936-LATAM-LP</t>
  </si>
  <si>
    <t>04/05/2026 13:08</t>
  </si>
  <si>
    <t>Buenas tardes me acaban de mover el apto médico por dos exámenes que me faltan, ya lo corrigieron a la clínica Los Andes, pero me lo han movido para el día 15 y yo estoy saliendo de vacaciones el 16, creen que sea posible moverlo para el día 13 después de mi cumpleaños para que no sea tan cerca al 16 por cualquier cosa que pase, se los agradecería mucho</t>
  </si>
  <si>
    <t>Hola, Sonia: Esperamos que hayas tenido un excelente día. Muchas gracias por comunicarte con nosotros. Hemos recibido tu solicitud respecto al cambio de fecha para tu examen de Apto Médico en la clínica Los Andes, considerando tu próximo periodo de vacaciones. Te confirmamos que ya se ha realizado la gestión y tu cita ha sido reprogramada para el día 13, tal como lo solicitaste. Esperamos que esta actualización te brinde mayor tranquilidad para el inicio de tus días de descanso. Saludos,</t>
  </si>
  <si>
    <t>443cfe06-LATAM-LP</t>
  </si>
  <si>
    <t>04/05/2026 14:36</t>
  </si>
  <si>
    <t>RC04</t>
  </si>
  <si>
    <t>d80b7172-LATAM-LP</t>
  </si>
  <si>
    <t>04/05/2026 14:42</t>
  </si>
  <si>
    <t>Solicito el retiro de mis vacaciones programadas del 8 al 16 de mayo del presente año, ya que debido a mi licencia de natalidad ya no las necesito, muchas gracias</t>
  </si>
  <si>
    <t>Hola, Header: Esperamos que hayas tenido un excelente día. Muchas gracias por comunicarte con nosotros. Hemos recibido tu solicitud para retirar el periodo de vacaciones programado del 8 al 16 de mayo, debido a tu licencia de natalidad en curso. Te informamos que dicho periodo ya ha sido cancelado en nuestros registros, por lo que ya no figuran como días de vacaciones en tu programación. Quedamos a tu disposición para cualquier consulta adicional y esperamos que estés disfrutando de esta etapa. Saludos,</t>
  </si>
  <si>
    <t>2022c50e-LATAM-LP</t>
  </si>
  <si>
    <t>04/05/2026 23:12</t>
  </si>
  <si>
    <t>Hola, en el mes de abril recibí un pago incompleto en edenred, ya se me informó que se me pagará esa demora de 4 horas en este mes es decir mayo, he tenido otra demora el día 29/04 por mantto también saliendo de lima, les pido por favor considerarla para que no pase el mismo error que les comento al inicio, ya que he tenido que esperar cerca de 10 días en que me den una respuesta, considerar para el pago de mayo ambas demoras por favor, 4 horas saliendo de mad el día 7 de marzo y la demora de una hora y media saliendo de lim el día 29 de abril, gracias</t>
  </si>
  <si>
    <t>ea80b3e4-LATAM-LP</t>
  </si>
  <si>
    <t>05/05/2026 08:15</t>
  </si>
  <si>
    <t>Quedo pendiente la fecha nueva fecha para mi apto medico, puedo asistir el jueves 7 por favor ? Quedo atenta, gracias</t>
  </si>
  <si>
    <t>Hola, Andrea: Esperamos que hayas tenido un excelente día. Muchas gracias por tu comunicación y por proponer tu disponibilidad para este jueves 7. Al respecto, te informamos que la nueva fecha para tu examen de Apto Médico está siendo gestionada para ser incluida en el rol del próximo mes. Por este motivo, no sería posible asistar este jueves, ya que la programación se está coordinando con el equipo de Roles para asegurar que cuentes con el tiempo asignado en tu nueva malla. Te estaremos notificando en cuanto la fecha quede confirmada en tu programación.</t>
  </si>
  <si>
    <t>a11be72d-LATAM-LP</t>
  </si>
  <si>
    <t>12/05/2026 12:33</t>
  </si>
  <si>
    <t>Hola, espero se encuentren bien. Escribo para solicitar un vuelo en el 767 para no perder experiencia reciente. En el pbs pedí un lax</t>
  </si>
  <si>
    <t>Hola, Daniela: Esperamos que te encuentres muy bien. Muchas gracias por comunicarte con nosotros y por darnos aviso sobre tu situación con la flota. Al revisar tus registros, tenemos mapeado que el vencimiento de tu experiencia reciente en el B767 está proyectado para el 21 de junio. Debido a esto, te informamos que hemos ingresado la solicitud al equipo de Roles para que se te asigne un vuelo de experiencia reciente antes de tu vencimiento Te sugerimos mantenerte atenta a la publicación del rol. Saludos,</t>
  </si>
  <si>
    <t>9d54a485-LATAM-LP</t>
  </si>
  <si>
    <t>12/05/2026 12:37</t>
  </si>
  <si>
    <t>Buenas días, el motivo de mi consulta es para solicitar chequeo en vuelo de airbus y Boeing para el mes de junio, ya que estoy en mi mes de vencimiento.</t>
  </si>
  <si>
    <t>Hola, Giancarlos: Esperamos que tengas un excelente día. Muchas gracias por comunicarte con nosotros. Respecto a tu consulta sobre la programación de tus chequeos en vuelo para el mes de junio, te brindamos la siguiente aclaración según el estado de tus habilitaciones: Flota Airbus (A320): Te confirmamos que tu vencimiento corresponde al mes de mayo por lo que ya se encuentra contemplada tu programación para junio con prorroga. Flota Boeing (B767): Tu mes base de vencimiento es en septiembre. Debido a esto, tu chequeo no se realizará en junio; lo más probable es que sea asignado entre los meses de agosto o septiembre, de acuerdo con la planificación correspondiente. Te sugerimos estar atento a la publicación de tus próximos roles para la confirmación de las fechas exactas. Saludos,</t>
  </si>
  <si>
    <t>baf7221a-LATAM-LP</t>
  </si>
  <si>
    <t>12/05/2026 11:47</t>
  </si>
  <si>
    <t>269326d8-LATAM-LP</t>
  </si>
  <si>
    <t>05/05/2026 17:08</t>
  </si>
  <si>
    <t>Cómo se me reprogramo la reva no me han vuelto a subir los cursos de academia Latam por favor mañana es mi día designado para hacerlos y me sale que están vencidos por la fecha de la anterior reva.</t>
  </si>
  <si>
    <t>Hola, Camila: Esperamos que hayas tenido un excelente día. Muchas gracias por comunicarte con nosotros. Respecto a tu consulta sobre los cursos que te figuran como vencidos tras la reprogramación de tu REVA, te brindamos la siguiente orientación: Aunque el sistema muestre los cursos vencidos por la fecha de la programación anterior, es necesario que procedas a realizarlos y completarlos. Una vez que los finalices, el sistema registrará y considerará la fecha real en la que los has ejecutado, regularizando así tu cumplimiento. esperamos haberla ayudado!</t>
  </si>
  <si>
    <t>74bef216-LATAM-LP</t>
  </si>
  <si>
    <t>13/05/2026 09:03</t>
  </si>
  <si>
    <t>Buenos días, primero solicitar las disculpas ya que no me encuentro dentro de las 72 horas del vencimiento pero si considero importante comunicarles que si bien el vencimiento de mi experiencia reciente en la flota 767 es el 17 de junio, acabo de verificar en el PBS que tengo vacaciones hasta el día 20 de junio, pero solo tenia pre publicadas hasta el 15 de junio y ahora cuento con 5 días adicionales. De igual manera recibí el correo donde se me indica la extensión para mi linecheck en 767 y también puedo ver el PBS que lo tengo programado para el día 23 de junio, fecha en la que ya se encontrará vencida mi experiencia reciente. Por lo que deseaba solicitarles, de ser posible, pudieran ayudarme para evitar el vencimiento de mi experiencia reciente dado los cambios en mis vacaciones y la fecha de la programación de mi linecheck. Gracias</t>
  </si>
  <si>
    <t>Hola, María del Carmen: Esperamos que tengas un excelente día. Muchas gracias por comunicarte con nosotros y por detallarnos tu situación con respecto a las vacaciones y tu programación en el B767. Con relación a tu experiencia reciente, te informamos que previamente te hemos enviado un correo electrónico planteando la alternativa de programar dicha actividad para el día 29 de este mes. Para poder proceder con la gestión y asegurar que no afecte tus habilitaciones, quedamos atentos a tu respuesta y confirmación directamente en ese correo electrónico. Saludos,</t>
  </si>
  <si>
    <t>5423fa97-LATAM-LP</t>
  </si>
  <si>
    <t>13/05/2026 06:40</t>
  </si>
  <si>
    <t>Buenos días; ha hice el curso de reentrenamiento del B767 en el mes de Abril pero según el PBS veo que aún no me han colocado vuelo de recalificación para junio. Gracias por su atención.</t>
  </si>
  <si>
    <t>Hola, Paula: Esperamos que tengas un excelente día. Muchas gracias por comunicarte con nosotros. Respecto a tu consulta sobre el vuelo de recalificación tras haber completado tu curso de reentrenamiento del B767 en el mes de abril, te informamos lo siguiente: Confirmamos que tu caso ya se encuentra considerado dentro de nuestra planificación. Al respecto, te informamos que la asignación de tu vuelo podría programarse para próximas fechas, siempre que los días dispuestos para dicha actividad coincidan y sean compatibles con tu disponibilidad en el rol. Te sugerimos mantenerte atenta a las publicaciones y actualizaciones de tus rol Saludos,</t>
  </si>
  <si>
    <t>b9976b6a-LATAM-LP</t>
  </si>
  <si>
    <t>13/05/2026 07:12</t>
  </si>
  <si>
    <t>Chicos espero tengan un buen día, disculpen que nuevamente los contacte; pero acabo de ver en el PBS que me han otorgado dias de vacaciones adicionales que no solicite en esa fecha y que aun vencen en agosto. Abarcando hasta el 19 de junio, que ustedes me indicaron que vencía mi Exp. Rct. En 767. Así que tomando en cuenta esta situación me voy a vencer, porque ustedes me indicaron que verían la manera de programarme alfo antes del 19 de junio; pero ahora no se podrá. Como les dije en la primera comunicacion yo tengo reserva este 19 y 20. Si hay algún vuelo en 767 que pueda ser activada así sea como crew de refuerzo al menos para no vencerme o algún scl en 767, se los agradecería infinitamente. Lamentablemente yo no contaba con que programaría esos días adicionales porque no me lo consultaron, ni los solicite. De igual manera les agradezco su gestión y apoyo siempre! Gracias!</t>
  </si>
  <si>
    <t>Hola, Irma: Esperamos que tengas un excelente día. Muchas gracias por comunicarte con nosotros y por explicarnos detalladamente tu situación respecto a la programación de tus días de vacaciones y el vencimiento de tu habilitación. Comprendemos perfectamente tu preocupación por mantener vigente tu experiencia reciente en el B767, cuyo vencimiento tenemos mapeado para el 19 de junio. Al respecto, queremos informarte que ya hemos enviado una solicitud al equipo de Roles para evaluar la posibilidad de asignarte un vuelo de experiencia reciente durante el mes de mayo. Saludos,</t>
  </si>
  <si>
    <t>d91bd63a-LATAM-LP</t>
  </si>
  <si>
    <t>13/05/2026 08:45</t>
  </si>
  <si>
    <t>Aun no figura la programación de mi lck para el mes de prórroga que es junio, de no asignarme en ese mes me voy a vencer</t>
  </si>
  <si>
    <t>Hola, Juana: Esperamos que tengas un excelente día. Muchas gracias por comunicarte con nosotros y por alertarnos sobre el estado de tus habilitaciones. Comprendemos tu preocupación respecto al cumplimiento de tu periodo de prórroga. Al respecto, te informamos que ya se ha ingresado la solicitud correspondiente y tu caso se encuentra considerado dentro de la planificación para que se te asigne el LCK A320 durante el mes de junio. Te sugerimos mantenerte atenta a las próximas publicacion del rol Saludos,</t>
  </si>
  <si>
    <t>bdb4da0e-LATAM-LP</t>
  </si>
  <si>
    <t>06/05/2026 16:00</t>
  </si>
  <si>
    <t>Buenas tardes. Les comento que estoy espera para la programación de mi cita en la clínica para realizar mi apto médico, ya que estaré retomando mis vuelos luego de una pérdida gestacional. Aprovecho para consultar también sobre la revalidación de mi licencia. Revisando mis fechas, veo que el año pasado fue realizada en mayo, por lo que quisiera saber para qué fecha aproximadamente podría programarse este año. Muchas gracias.</t>
  </si>
  <si>
    <t>Hola, Iris: Esperamos que te encuentres muy bien. Muchas gracias por comunicarte con nosotros. Recibimos tu consulta y, ante todo, te enviamos un saludo cordial en este proceso de retorno a tus actividades. Respecto a los puntos pendientes, te informamos lo siguiente: Apto Médico: Nos encontramos validando las fechas disponibles con la clínica para la programación de tu cita. En cuanto tengamos la confirmación, te enviaremos la invitación formal con todos los detalles para que puedas asistir. Revalidación de Licencia: Tenemos mapeado el vencimiento de tu licencia y la necesidad de programar tu proceso de revalidación para este año. Actualmente, estamos buscando el espacio adecuado en la planificación y cualquier novedad sobre la fecha asignada te será comunicada oportunamente vía correo electrónico. Quedamos a tu entera disposición para acompañarte en este proceso de habilitación. Saludos,</t>
  </si>
  <si>
    <t>9eccac54-LATAM-LP</t>
  </si>
  <si>
    <t>13/05/2026 09:00</t>
  </si>
  <si>
    <t>cb30c77b-LATAM-LP</t>
  </si>
  <si>
    <t>06/05/2026 19:43</t>
  </si>
  <si>
    <t>Estimados buenas noches. Comentar que mi licencia chilena se vence el 31 de Mayo del presente año.</t>
  </si>
  <si>
    <t>Hola, Miluska: Esperamos que tengas un excelente día. Muchas gracias por comunicarte con nosotros y por el recordatorio sobre el vencimiento de tu licencia chilena el próximo 31 de mayo. Te informamos que ya tenemos mapeado este vencimiento en nuestros registros y actualmente nos encontramos realizando las gestiones necesarias para hacértela llegar antes de dicha fecha. Te notificaremos en cuanto el documento esté listo para ser entregado. Saludos,</t>
  </si>
  <si>
    <t>5f37d407-LATAM-LP</t>
  </si>
  <si>
    <t>07/05/2026 10:32</t>
  </si>
  <si>
    <t>Hola, Katia: Esperamos que te encuentres muy bien. Muchas gracias por comunicarte con nosotros. Respecto a tu consulta sobre el conteo de tus días de descanso médico (DM) y la notificación recibida, te brindamos la siguiente información para tu tranquilidad: Sobre la cantidad de días: Tenemos mapeado tu descanso médico hasta el 15 de mayo. No obstante, procederemos a revisar el detalle de las fechas que nos mencionas (del 05/03 y del 29/04 al 13/05) para corregir el registro en caso de que exista alguna discrepancia en el número total de días. Sobre el correo recibido: Te confirmamos que dicha comunicación es únicamente informativa. El objetivo es alertar al colaborador cuando se aproxima a los 21 días de descanso, ya que a partir de ese punto se considera un "descanso médico prolongado". Al tratarse de un periodo menor a los 21 días, no existe ninguna alerta mayor ni inconveniente administrativo, por lo que no tienes de qué preocuparte. Quedamos atentos a cualquier duda adicional. Saludos,</t>
  </si>
  <si>
    <t>9c9ca983-LATAM-LP</t>
  </si>
  <si>
    <t>07/05/2026 12:29</t>
  </si>
  <si>
    <t>Hola, Rocío: Esperamos que tengas un excelente día. Muchas gracias por comunicarte con nosotros para reportar este inconveniente con la carga de tu curso de Mercancías Peligrosas. Respecto a tu consulta, te informamos que revisaremos tu perfil a detalle el día de hoy. En caso de confirmar que el curso no ha sido habilitado, realizaremos la solicitud técnica para que se encuentre disponible en tu plataforma a más tardar el día de mañana. Por otro lado, si validamos que el curso ya se encuentra activo, te enviaremos las indicaciones precisas sobre dónde localizarlo dentro de la plataforma de aprendizaje. Quedamos atentos para confirmarte la solución a la brevedad. Saludos,</t>
  </si>
  <si>
    <t>b01afc46-LATAM-LP</t>
  </si>
  <si>
    <t>13/05/2026 23:30</t>
  </si>
  <si>
    <t>Buenas tardes estimados, para recordarles que en el mes de junio vence mi verificación de la competencia rn el.avion airbus. Muchas gracias</t>
  </si>
  <si>
    <t>Hola, Claudia: Esperamos que tengas un excelente día. Muchas gracias por comunicarte con nosotros y por tu proactividad al enviarnos este recordatorio. Con respecto a tu consulta, te confirmamos que en nuestros registros tenemos plenamente identificado que tu mes base de vencimiento es junio. Por este motivo, tu caso ya se encuentra considerado dentro de la planificación correspondiente. Te sugerimos mantenerte atenta a las próxima publicacion del rol para verificar la asignación de tu actividad. Saludos,</t>
  </si>
  <si>
    <t>515a6b31-LATAM-LP</t>
  </si>
  <si>
    <t>14/05/2026 15:20</t>
  </si>
  <si>
    <t>HR en junio. El motivo es que me han puesto como high rank para mes de junio pero cuando yo llené el link puse no acepto. Al parecer se llenó 2 veces porque mi correo se colgó, podrían ayudarme con este tema, ya que el mes de junio es 1 mes complicado y delicado para mi persona por temas personales. Muchísimas gracias.</t>
  </si>
  <si>
    <t>d6b1b9a1-LATAM-LP</t>
  </si>
  <si>
    <t>08/05/2026 16:19</t>
  </si>
  <si>
    <t>Buenas tardes, me solicitaron pedir el No apto en la clínica los andes, ya lo tengo conmigo pero el link q me enviaron para subirlo no está habilitado, cual es el procedimiento entonces?? Por otro lado este mes tengo vacaciones a fin de mes hable con mi CPL y me dijo q me comunique con ustedes para tranferirlas para otra fecha ya que ya me encuentro en natalidad, muchas gracias</t>
  </si>
  <si>
    <t>Hola, Laura: Esperamos que te encuentres muy bien. Muchas gracias por comunicarte con nosotros y por darnos aviso de tu situación. Respecto a los puntos que nos mencionas, te brindamos la siguiente información: Entrega de No Apto: Lamentamos el inconveniente con el enlace anterior. Para que puedas subir el documento de la clínica Los Andes, por favor utiliza este nuevo link habilitado: https://forms.gle/kacTrtP44NjMTvzj8 Vacaciones y Natalidad: Con respecto a tus vacaciones de fin de mes, ya hemos tomado conocimiento de que te encuentras en periodo de natalidad. Por tal motivo, procederemos con la cancelación de dichas vacaciones para que puedas gozarlas posteriormente al nacimiento de tu bebé. La nueva programación se coordinará y te será informada en tu línea de retorno. Finalmente, no queremos dejar pasar la oportunidad para enviarte nuestras más sinceras felicitaciones por esta hermosa etapa de tu embarazo. ¡Te deseamos lo mejor! Saludos</t>
  </si>
  <si>
    <t>71546553-LATAM-LP</t>
  </si>
  <si>
    <t>08/05/2026 16:23</t>
  </si>
  <si>
    <t>cd43e958-LATAM-LP</t>
  </si>
  <si>
    <t>18/05/2026 12:57</t>
  </si>
  <si>
    <t>21056242-LATAM-LP</t>
  </si>
  <si>
    <t>12/05/2026 10:17</t>
  </si>
  <si>
    <t>NO ME APARECE EL CURSO DE LIDERAZGO, POR FAVOR SI ME LO PODRIAN ASIGNAR NUEVAMENTE, GRACIAS</t>
  </si>
  <si>
    <t>Hola, Elizabeth: Esperamos que tengas un excelente día. Muchas gracias por comunicarte con nosotros. Respecto a tu solicitud para la asignación del Curso de Liderazgo, queremos brindarte la siguiente aclaración: El entrenamiento de liderazgo que nosotros gestionamos como soporte de entrenamiento operativo está dirigido de manera exclusiva para el personal de Instructores y CPLs. Es muy probable que el curso que requieres sea el que forma parte de la Academia Corporativa. Debido a que esa plataforma es administrada por otra área, te sugerimos ingresar tu requerimiento directamente a través de su página oficial para que puedan habilitártelo a la brevedad. Puedes gestionar tu solicitud ingresando al siguiente enlace: https://sites.google.com/latam.com/sscap-ssc/soporte-academia-corporativa Saludos!</t>
  </si>
  <si>
    <t>8b3dce8e-LATAM-LP</t>
  </si>
  <si>
    <t>09/05/2026 18:32</t>
  </si>
  <si>
    <t>Estaba en mi segundo intento de dar evaluación de mercancías peligrosas pero me salió error y me botó de la pestaña y simplemente me indicó que no aprobé el curso. Podría habilitarme otra vez el curso para volver a darlo por favor, no pude tomar foto al error ya que salió el pop up y se cerró solo y de frente me indicó que estaba reprobado y no había ni llegado a la 2da pregunta.</t>
  </si>
  <si>
    <t>Hola, Camila: Esperamos que tengas un excelente día. Muchas gracias por comunicarte con nosotros y reportar el inconveniente técnico ocurrido durante tu evaluación de Mercancías Peligrosas. Lamentamos el error presentado por la plataforma. Al tratarse de una falla técnica del sistema de aprendizaje que resultó en un intento fallido, debes ponerte en contacto con el equipo de la Academia para que puedan gestionar la reactivación del curso y habilitarte un nuevo intento. Puedes realizar tu solicitud a través del siguiente enlace: Portal de Soporte Academia SSC https://sites.google.com/latam.com/sscap-ssc/inicio?authuser=0 Quedamos a tu disposición para cualquier otra consulta administrativa. Saludos,</t>
  </si>
  <si>
    <t>7f76c991-LATAM-LP</t>
  </si>
  <si>
    <t>Buenas tardes, acabo de enviar un formulario de solicitud de rol para el mes subsiguiente debido a que hoy es mi dia libre y me quedé en cix hasta las 4 pm. En el formulario llene el dia afectado pero no tenía opción de llenar el dia qué deseo en compensación asi qué lo coloque en comentarios. Quería saber si eso fue correcto o primero se envía el formulario, se evalúa y luego tengo la opción de elegir mi dia libre. Quedo atento muchas gracias</t>
  </si>
  <si>
    <t>Hola, Ricardo: Esperamos que tengas un excelente día. Muchas gracias por comunicarte con nosotros. Respecto a tu consulta sobre el formulario enviado por la afectación de tu día libre en CIX, te brindamos la siguiente aclaración sobre el procedimiento establecido: Los días libres compensados por el concepto de afectación de día libre superior a las 06:00 horas entran a un proceso de revisión. En caso de proceder la solicitud, este beneficio se otorgará y programará para el mes de julio. Al respecto, es importante precisar que para este tipo de afectación no se cuenta con la opción de elegir un día libre en específico, por lo que la asignación será determinada directamente por el equipo de planificación. La alternativa de selección de fechas aplica únicamente para las solicitudes de libre compensado derivadas por afectación de vuelos adicionales. Agradecemos tu comunicación y el ingreso del formulario para la evaluación de tu caso. Saludos,</t>
  </si>
  <si>
    <t>87494a52-LATAM-LP</t>
  </si>
  <si>
    <t>13/05/2026 00:25</t>
  </si>
  <si>
    <t>Estimados buenos dias: quería consultar si el otro mes me programarán mi linecheck airbus ya que se me vence en el mes de junio. Quisiera por favor saber si se me va a programar para poder estar al tanto para mi examen. Consulto por que en la plataforma PBS no sale mi examen asignado. De antemano muchas gracias por su pronta ayuda</t>
  </si>
  <si>
    <t>Hola, Giancarlo: Esperamos que tengas un excelente día. Muchas gracias por comunicarte con nosotros. Respecto a tu consulta sobre la programación de tu Line Check (LCK) Airbus, te brindamos la siguiente información sobre el estado de tu caso: Actualmente, nos encontramos validando el estado de tu Apto Médico. Una vez que este se encuentre confirmado y en condición óptima, se podrá proceder con las siguientes fases de tu planificación. Al respecto, te aclaramos que tu mes base de vencimiento es junio. Sin embargo, debido a los márgenes del proceso y para asegurar el correcto flujo de la operación, tu LCK podría ser gestionado con una prórroga para ejecutarse durante el mes de julio. Te sugerimos mantenerte atento a las publicaciones de tus próximos roles, donde es probable que se asigne tu actividad una vez regularizado el estado de tu documentación. Saludos,</t>
  </si>
  <si>
    <t>c32fce7e-LATAM-LP</t>
  </si>
  <si>
    <t>10/05/2026 22:54</t>
  </si>
  <si>
    <t>Estoy con un proceso respiratorio desde el pasado martes 5 de mayo y tenía programado mi apto médico para el día lunes 11 de Mayo, aún no estoy recuperada para poder rendir mis exámenes médicos como indica en las consideraciones, cuando sería posible reprogramarlo ?</t>
  </si>
  <si>
    <t>Hola, Gabriela: Esperamos que te encuentres mejor y tengas una pronta recuperación. Muchas gracias por comunicarte con nosotros y darnos aviso sobre tu estado de salud. Respecto a tu consulta sobre la reprogramación de tu Apto Médico, te informamos lo siguiente: Procederemos con la reprogramación de tu cita. Tal como se indica en las consideraciones de la invitación al apto médico, al presentar un proceso respiratorio (RTI), es necesario postergar los exámenes hasta que te encuentres totalmente recuperada. Por lo pronto, mantendremos el registro de tu situación y te contactaremos para indicarte la nueva fecha asignada. Te recordamos seguir las indicaciones médicas para tu pronto retorno. Saludos,</t>
  </si>
  <si>
    <t>c3bcf29d-LATAM-LP</t>
  </si>
  <si>
    <t>11/05/2026 07:05</t>
  </si>
  <si>
    <t>Buenos dias , Quisiera cancelar mis vacaciones del 2do trimestre ya que me encuentro en NAT ,y no necesito las vacaciones del sgt trimestre preferiría salir aun el otro año, agradecería su ayuda con ello.</t>
  </si>
  <si>
    <t>Hola, Jimena: Esperamos que te encuentres muy bien. Muchas gracias por comunicarte con nosotros. En relación con tu solicitud de cancelar tus vacaciones del segundo trimestre debido a tu situación actual de natalidad (NAT), te confirmamos que no se te están considerando vacaciones para dicho periodo ni para el siguiente trimestre. Tal como solicitas, el goce de tus vacaciones pendientes quedará postergado. Podrás coordinar la nueva programación más adelante, considerando tu preferencia de salir el próximo año. Saludos,</t>
  </si>
  <si>
    <t>f8479d1a-LATAM-LP</t>
  </si>
  <si>
    <t>11/05/2026 08:47</t>
  </si>
  <si>
    <t>Estimados buenos días, elmdia de ayer envíe un correo a MD y a mi jefatura donde indicó que no puedo asistir a mi examen ocupacional medico que tenia programado por rol (RTI) ya que elndia de ayer en el transcurso de la noche me llego el.perido menstrual, y en una de las indica que si te encuentras en este proceso no se puede realizar el examen médico ocupacional. Por ta.motivo quedo atenta a la reprogramcion y fonsultarles si a pesar que no hice este requerimento podria hacer el dia del CAE sin ningun problema.muchas gracias rosillo castro</t>
  </si>
  <si>
    <t>Hola, Rosillo: Esperamos que tengas un excelente día. Muchas gracias por comunicarte con nosotros y por informarnos sobre tu situación. Respecto a tu consulta sobre el Apto Médico, te brindamos la siguiente información: Reprogramación: Procederemos con el reagendamiento de tu apto médico debido a la restricción que nos mencionas. Te informaremos la nueva fecha asignada a la brevedad. Canal de reporte por RTI: Es importante recordarte que, según las indicaciones de la invitación al apto, ante cualquier síntoma o condición de salud (RTI), la comunicación debe realizarse directamente con el equipo de Soporte y no a través de MD. Esto nos permite gestionar la reprogramación de manera más ágil. Finalmente, te confirmamos que no hay inconveniente con tu programación de CAE; el proceso de reagendamiento del apto es independiente. Saludos,</t>
  </si>
  <si>
    <t>16141742-LATAM-LP</t>
  </si>
  <si>
    <t>14/05/2026 13:13</t>
  </si>
  <si>
    <t>El dia de hoy ya recibi mi pasaporte con mi visa de turista actualizasa,por favor levantar mi proteccion de rol y asi poder tener la posibilidad de pedir vuelos con pasaporte requerido.Cabe resaltar que ya actualice a traves del formulario.</t>
  </si>
  <si>
    <t>2a067617-LATAM-LP</t>
  </si>
  <si>
    <t>11/05/2026 10:20</t>
  </si>
  <si>
    <t>a3da2c47-LATAM-LP</t>
  </si>
  <si>
    <t>11/05/2026 11:47</t>
  </si>
  <si>
    <t>Buenas tardes. Me encuentro gestando por lo que me bajaron a tierra, yo tengo vacaciones del 24-31 de este mes y quiero mantenerlas, quisiera saber si se mantienen o no porque si las necesito gracias, más bien las vacaciones del próximo semestre si quisiera acumularlas para después, gracias</t>
  </si>
  <si>
    <t>Hola, Laura: Esperamos que te encuentres muy bien. Muchas gracias por comunicarte con nosotros. En relación con tu consulta sobre tu cronograma de vacaciones, te brindamos la siguiente información: Vacaciones de mayo (24 al 31): Te confirmamos que este periodo se mantiene programado tal como lo solicitaste, por lo que podrás hacer uso de esos días de descanso sin inconvenientes. Vacaciones del próximo semestre: De acuerdo con tu pedido de acumularlas para más adelante, te informamos que no se te están considerando vacaciones para el segundo semestre. Estas quedarán pendientes para que puedas gozarlas posteriormente, según lo coordinado. Quedamos a tu disposición para cualquier duda adicional. Saludos,</t>
  </si>
  <si>
    <t>60bab9b8-LATAM-LP</t>
  </si>
  <si>
    <t>13/05/2026 09:30</t>
  </si>
  <si>
    <t>Buenos días, el día 02/05 ingresé mi solicitud para día en rol en el mes sub siguiente para cita para visa crew, me llegó a mi correo la recepción del formulario enviado, sin embargo no he recibido respuesta aún y el día de hoy he vuelto a ingresar la solicitud. Quisiera saber porque no puedo visualizar la solicitud en OSSA y cuánto tiempo demorarían en responder.</t>
  </si>
  <si>
    <t>Hola, Fernanda: Esperamos que tengas un excelente día. Muchas gracias por comunicarte con nosotros. Respecto a tu consulta sobre la solicitud de Día en Rol para tu cita de Visa Crew, queremos brindarte la siguiente aclaración para tu tranquilidad: Te confirmamos que tu requerimiento sí se encuentra considerado en nuestros registros. El motivo por el cual aún no visualizas la actualización o una respuesta en la plataforma OSSA se debe a que la solicitud fue ingresada para el mes de julio (mes subsiguiente), por lo que el caso todavía no ha entrado en la ventana de asignación activa de roles. Nuestro equipo estará revisando y procesando prontamente tu solicitud dentro de los plazos de planificación correspondientes para ese periodo. Te sugerimos mantenerte atenta a las próximas publicaciones de tus roles para verificar la gestión. Saludos cordiales,</t>
  </si>
  <si>
    <t>68884972-LATAM-LP</t>
  </si>
  <si>
    <t>11/05/2026 17:39</t>
  </si>
  <si>
    <t>Vacaciones adicionales. Buenas tardes habia pedido vacaciones adicionales del 13 al 19 de junio por un tema de acompañamiento a mi mami que se encuentra pasando por un mal momento y desea irse de viaje, acabo de ver en el pbs pero no se muestra los dias que solicite podrian confirmarme si podran brindarmelas por favor asi podemos organizarnos, de antemano gracias por su comprension y ayuda.</t>
  </si>
  <si>
    <t>Hola, Marina: Esperamos que tengas un buen día. Muchas gracias por comunicarte con nosotros. Hemos revisado tu solicitud de vacaciones adicionales programadas del 13 al 19 de junio para el acompañamiento de tu madre. Al respecto, te informamos que hemos consultado con el equipo de Planificación y, lamentablemente, debido a temas de necesidad operacional, no se cuenta con cupos disponibles para otorgar pedidos adicionales durante ese periodo de junio. Agradecemos de antemano tu comprensión ante esta situación. Saludos,</t>
  </si>
  <si>
    <t>46f5ce74-LATAM-LP</t>
  </si>
  <si>
    <t>11/05/2026 18:27</t>
  </si>
  <si>
    <t>b218a2ba-LATAM-LP</t>
  </si>
  <si>
    <t>14/05/2026 17:24</t>
  </si>
  <si>
    <t>CL03</t>
  </si>
  <si>
    <t>Hola, Cristopher: Esperamos que te encuentres muy bien. Muchas gracias por comunicarte con nosotros y por adjuntar el respaldo de la finalización de tu actividad. Respecto a tu consulta sobre la actualización del estado de tu Primer Control de Lectura 2026, te informamos que el soporte técnico y la regularización de estatus dentro de la plataforma de aprendizaje son gestionados directamente por el equipo de la Academia Corporativa. Debido a que nosotros no contamos con los accesos para modificar dichos registros, te solicitamos amablemente derivar tu caso y tus evidencias con ellos a través de su canal oficial para que puedan actualizar tu cumplimiento a la brevedad. Puedes ingresar tu requerimiento en el siguiente enlace: https://sites.google.com/latam.com/sscap-ssc/soporte-academia-corporativa saludos</t>
  </si>
  <si>
    <t>5d7dca4e-LATAM-LP</t>
  </si>
  <si>
    <t>14/05/2026 21:07</t>
  </si>
  <si>
    <t>Les pido por favor colocarme un vuelo en 767 antes del 28 de junio para no perder mi experiencia reciente</t>
  </si>
  <si>
    <t>Hola, Francisco: Esperamos que tengas un excelente día. Muchas gracias por comunicarte con nosotros y por alertarnos sobre la fecha límite de tus habilitaciones. Con respecto a tu requerimiento, te informamos que ya tenemos plenamente mapeado el próximo vencimiento de tu experiencia reciente en el B767. Por tal motivo, procederemos a enviar la solicitud correspondiente al equipo de Roles para que tu caso sea evaluado dentro de la planificación de vuelos previa al 27 de junio. Te sugerimos mantenerte atento a las próximas publicación de tu rol Saludos cordiales,</t>
  </si>
  <si>
    <t>230bf58a-LATAM-LP</t>
  </si>
  <si>
    <t>11/05/2026 21:57</t>
  </si>
  <si>
    <t>Buenas noches, por accidente laboral no pude hacer mi reva de seguridad, que se vencia el 30 de abril, creo que puedo llevarla hasta el 30 de mayo podrian por favor apoyarme programandome mi reva para no vencerme , muchas gracias</t>
  </si>
  <si>
    <t>Hola, Marycarmen: Esperamos que te encuentres muy bien. Muchas gracias por comunicarte con nosotros. Respecto a tu solicitud para programar tu entrenamiento de seguridad (REVA), te informamos lo siguiente: Para poder proceder con la programación de tu curso y gestionar tu retorno a la línea, primero es indispensable contar con los resultados de tu evaluación de Apto Médico. Una vez que recibamos dicha confirmación y verifiquemos que te encuentras apta para retomar funciones, el área encargada podrá agendar tu REVA dentro de los plazos correspondientes para evitar tu vencimiento. Estaremos atentos a la actualización de tus resultados médicos para continuar con la gestión. Saludos,</t>
  </si>
  <si>
    <t>0783e07d-LATAM-LP</t>
  </si>
  <si>
    <t>11/05/2026 22:32</t>
  </si>
  <si>
    <t>Buenas noches, la presente para informar mi descanso médico, por lo que no pude asistir a mi apto médico, quedo atenta a lo que sigue, gracias</t>
  </si>
  <si>
    <t>b81d7c26-LATAM-LP</t>
  </si>
  <si>
    <t>19/05/2026 07:52</t>
  </si>
  <si>
    <t>Estimados, buenos días, el día de mañana tengo mi reentrenamiento A320 FAM y revisando mi bandeja de correo, no tengo la provisional.Quedo atenta a la documentación requerida.Gracias</t>
  </si>
  <si>
    <t>Se le envio el 20 informativo</t>
  </si>
  <si>
    <t>38b7c820-LATAM-LP</t>
  </si>
  <si>
    <t>12/05/2026 02:43</t>
  </si>
  <si>
    <t>Solicité con bastante anticipación una semana adicional de vacaciones, la 1era de junio. Originalmente solicité las 2 últimas de mayo y la 1era de junio para un viaje familiar. Hoy inicia pbs y no la veo reflejada y necesito este dato urgente para poder desarrollar bien el viaje. Pueden ayudarme?</t>
  </si>
  <si>
    <t>Hola, Francisco: Esperamos que tengas un buen día. Muchas gracias por comunicarte con nosotros. Hemos revisado tu consulta respecto a los días adicionales que solicitaste para tu viaje familiar. Al verificar el sistema, te informamos que tus vacaciones se encuentran publicadas para el periodo del 16 al 31 de mayo. Respecto a la semana adicional que requerías para la primera semana de junio, lamentamos informarte que no fue posible proceder con su aprobación debido a la falta de cupos disponibles en la planificación para esas fechas. Agradecemos tu comprensión y quedamos a tu disposición para cualquier otra consulta. Saludos,</t>
  </si>
  <si>
    <t>bddf824f-LATAM-LP</t>
  </si>
  <si>
    <t>12/05/2026 07:11</t>
  </si>
  <si>
    <t>Buenos dias, estoy de post natal (15/03/26) mi.descanso termina el 20/06/26; quiero saber como seria el proceso de retorno si me corresponde revalidacion de licencia( mes aprox) o curso? Ademas de si me dan lactancia, vacaciones y licencia para saber aprox mi retorno . Gracias</t>
  </si>
  <si>
    <t>Hola, Paola: Esperamos que te encuentres muy bien junto a tu bebé. Muchas gracias por comunicarte con nosotros y compartirnos los detalles de tu periodo de post natal. Para poder brindarte una respuesta exacta y detallada sobre tu proceso de reincorporación —incluyendo las fechas de tus cursos de revalidación, la programación de tus vacaciones y la asignación del periodo de lactancia—, necesitamos que completes tus datos en el correo que se te envió: "Licencia de maternidad SAB LP" Con esta información, nuestro equipo podrá enviarte tu línea de retorno personalizada, donde se te indicará detalladamente cada uno de los pasos y requisitos necesarios para tu regreso a la línea. saludos</t>
  </si>
  <si>
    <t>7b08ddaa-LATAM-LP</t>
  </si>
  <si>
    <t>12/05/2026 09:30</t>
  </si>
  <si>
    <t>Quería saber si tienen mapeado la fecha de mi reva ya que el año pasado lo tuve el 24 de junio y este año tengo vacaciones el 16 al 30 de junio y viendo el pbs veo que no lo han programado la primera semana de junio.</t>
  </si>
  <si>
    <t>Hola, Jennifer: Esperamos que tengas un excelente día. Muchas gracias por comunicarte con nosotros. Respecto a tu consulta sobre la programación de tu REVA, te brindamos la siguiente aclaración para tu tranquilidad: En nuestros registros tenemos mapeado que tu mes base de vencimiento es julio. El año pasado se te asignó el 24 de junio debido a que la normativa permite programar la REVA tanto en el mes de su vencimiento como en el mes previo. Por lo tanto, no existe ningún inconveniente con que no visualices el curso en la primera semana de junio. Tu REVA saldrá programada con normalidad para el mes de julio. Saludos,</t>
  </si>
  <si>
    <t>ca074e7c-LATAM-LP</t>
  </si>
  <si>
    <t>12/05/2026 09:41</t>
  </si>
  <si>
    <t>Buenos dias, hace ya casi dos años que no vuelo el boeing 767, aun asi ne corresponde llevar ese curso en mi reva que es el mes de junio?</t>
  </si>
  <si>
    <t>Hola, Sue: Esperamos que tengas un excelente día. Muchas gracias por comunicarte con nosotros. Respecto a tu consulta sobre el contenido de tu (REVA) programado para el mes de junio, te brindamos la siguiente precisión: Te informamos que, por estándar del proceso, toda actividad de revalidación anual contempla una duración de 4 días, independientemente de si el tripulante califica para una o dos flotas. Para tu caso particular en este periodo, te comentamos que la revalidación que se te ha agendado para la flota Airbus A320. Saludos</t>
  </si>
  <si>
    <t>a947b14f-LATAM-LP</t>
  </si>
  <si>
    <t>Buenos días, el año pasado tuve reva el del 23 al 27 de junio, no me la programaron otra mayo y según pbs tampoco la tengo en junio, quería saber como quedaría mi caso, ya que para julio estaría vencida en el curso. Me mandaron un correo diciendo que mi curso vence en julio, pero no sé si se pueda extender un mes, me podrían confirmar mi situación, mil gracias</t>
  </si>
  <si>
    <t>Hola, Mariella: Esperamos que tengas un excelente día. Muchas gracias por comunicarte con nosotros. Respecto a tu consulta sobre la programación de tu REVA, queremos brindarte total tranquilidad sobre tu situación: En nuestros registros tenemos confirmado que tu mes base de vencimiento es julio. Te recordamos que la normativa permite programar la REVA tanto en el mismo mes de su vencimiento como en el mes previo; por esta razón, el año pasado se te asignó con un mes de anticipación (en junio). Para este año, ya hemos solicitado tu programación para el mes de junio. En caso de que por temas de planificación no se refleje en dicho rol, no te preocupes, ya que podrás ser programada en julio sin riesgo de quedar vencida. Saludos,</t>
  </si>
  <si>
    <t>680b81ef-LATAM-LP</t>
  </si>
  <si>
    <t>15/05/2026 10:09</t>
  </si>
  <si>
    <t>Programación de chequeo</t>
  </si>
  <si>
    <t>8a5e8bcf-LATAM-LP</t>
  </si>
  <si>
    <t>15/05/2026 08:33</t>
  </si>
  <si>
    <t>67afb8e9-LATAM-LP</t>
  </si>
  <si>
    <t>15/05/2026 10:10</t>
  </si>
  <si>
    <t>Buenos días, en el mes de abril tuve chequeo Latam de Boeing, ahora solo me estaría faltando el chequeo DGAC, sin embargo ingresé al PBS y tengo programado para el mes de junio dos fechas con Roundtrip a Santiago como chequeo, por favor verificar</t>
  </si>
  <si>
    <t>Hola, Camila: Esperamos que tengas un excelente día. Muchas gracias por comunicarte con nosotros y por el seguimiento a tus habilitaciones tras tu chequeo Latam de Boeing en abril. Respecto a tu consulta sobre los vuelos Roundtrip a Santiago que visualizas en tu PBS para el mes de junio, te informamos que tu chequeo DGAC definitivo se encuentra considerado para ser programado más adelante dentro de los plazos correspondientes. Por tal motivo, los tramos actuales en tu rol responden a la dinámica de la planificación y no constituyen la asignación de tu evaluación ante la autoridad. Saludos</t>
  </si>
  <si>
    <t>7e8853ad-LATAM-LP</t>
  </si>
  <si>
    <t>12/05/2026 11:39</t>
  </si>
  <si>
    <t>Segun el cuadro de vigencia de actividades, mi curso en tierra vence el 31/08/2026. Pero mi reva del año pasado fue en el mes de Julio. Ahora entre al PBS y no tengo nada bloqueado. Solicito se revise mis fechas para no perder mi curso.</t>
  </si>
  <si>
    <t>Hola, Claudia: Esperamos que tengas un excelente día. Muchas gracias por comunicarte con nosotros. Respecto a tu consulta sobre la programación de tu REVA, queremos brindarte tranquilidad sobre el estado de tus fechas: De acuerdo con nuestros registros y al cuadro de vigencia de actividades, confirmamos que tu mes base de vencimiento es agosto. Te recordamos que la normativa permite programar este entrenamiento tanto en el mismo mes de vencimiento como en el mes previo; por esta razón, el año pasado se te asignó con anticipación en el mes de julio. Al ser agosto tu mes límite, te informamos que tu programación podría ser asignada de manera anticipada en el rol de julio o durante el mismo mes de agosto. Te sugerimos mantenerte atenta a las publicaciones de tus próximos roles para la confirmación de tus fechas. Saludos,</t>
  </si>
  <si>
    <t>a51169d7-LATAM-LP</t>
  </si>
  <si>
    <t>16/05/2026 00:49</t>
  </si>
  <si>
    <t>Linecheck B767</t>
  </si>
  <si>
    <t>Hola, Marco: Esperamos que tengas un excelente día. Muchas gracias por comunicarte con nosotros. Respecto a tu consulta sobre la programación de tu Line Check (LCK) B767, te brindamos la siguiente información sobre tu estatus: Te confirmamos que tu mes base de vencimiento corresponde al mes de junio. Por tal motivo, nuestro equipo ya ha ingresado la solicitud correspondiente ante el área de Roles para que esta actividad sea considerada y evaluada dentro de la planificación del mes de Jun Saludos!</t>
  </si>
  <si>
    <t>c04dc0b6-LATAM-LP</t>
  </si>
  <si>
    <t>17/05/2026 10:42</t>
  </si>
  <si>
    <t>1b19c7cd-LATAM-LP</t>
  </si>
  <si>
    <t>17/05/2026 10:31</t>
  </si>
  <si>
    <t>Hola, Karin: Esperamos que te encuentres muy bien. Muchas gracias por comunicarte con nosotros. Respecto a tu consulta sobre las 108 horas consecutivas de descanso contempladas en el Artículo 47 del Convenio, te informamos que nuestro equipo ha realizado la verificación correspondiente y te brindamos las siguientes conclusiones: Al revisar la programación de tu rol de junio en el tramo observado, se aprecia que tu actividad finaliza el día 19 a las 22:30 y la siguiente asignación inicia el día 24 a las 06:25. Entre ambos horarios existe un bloque de aproximadamente 103 horas y 55 minutos, por lo que efectivamente no se completan las 108 horas consecutivas. Es importante aclarar que esta condición del Artículo 47 corresponde ser aplicada a partir de tu rol de julio, conforme a los plazos establecidos para la implementación del nuevo Convenio. Dicho artículo determina que la empresa debe programar mensualmente un bloque de 108 horas consecutivas de descanso, contadas desde el término del último periodo de servicio hasta el inicio del siguiente. Por lo tanto, al tratarse de la programación de junio, aún no corresponde aplicar esta exigencia. Te sugerimos mantenerte atenta a la actualización de tu rol para el mes de julio, donde verás reflejado este beneficio. Esperamos haberte ayudado. Saludos cordiales,</t>
  </si>
  <si>
    <t>16f889a9-LATAM-LP</t>
  </si>
  <si>
    <t>12/05/2026 16:33</t>
  </si>
  <si>
    <t>Buenas tardes, quisiera hacer la.consulta sobre las vacaciones, yo no recibi la pre publicacion para este semestre sin embargoen el pbs visualizo que tengo del 8 al 17 de junio al parecer vacaciones. Quisiera saber si es confirmado y si es posible cambiarlas o anularlas, muchas gracias.</t>
  </si>
  <si>
    <t>Hola, Ana: Esperamos que tengas un excelente día. Muchas gracias por comunicarte con nosotros. Respecto a tu consulta sobre los días de vacaciones que visualizas asignados en el PBS del 8 al 17 de junio, te brindamos la siguiente aclaración: De acuerdo con la información y base de datos entregada por el equipo de Recursos Humanos, se identificó que contabas con 10 días de vacaciones vencidas, los cuales han sido programados en el periodo mencionado. Queremos darte la tranquilidad de que estos días corresponden estrictamente a saldos pendientes de la compañía y son totalmente independientes a las vacaciones reguladas por la DGAC. Por lo tanto, esta asignación no generará ninguna disminución ni afectará los días regulatorios que te corresponden legalmente para cada año. Saludos,</t>
  </si>
  <si>
    <t>91100795-LATAM-LP</t>
  </si>
  <si>
    <t>12/05/2026 23:40</t>
  </si>
  <si>
    <t>Hola buenas noches , escribo para confirmar mi descanso medico , me dicen que tienen mapeado mi descanso medico hasta el 15 de mayo el cual es incorrecto , mi descanso medico es de 15 dias , desde el 29 de abril al 13 de mayo , porfavor si lo pudieran corregir y tambien comentarles que en people manager esta la información correcta y en la consulta anterior adjunte la foto con la evidencia, adjunto la foto de mi descanso medico gracias</t>
  </si>
  <si>
    <t>Hola, Katia: Esperamos que te encuentres muy bien y en proceso de recuperación. Muchas gracias por comunicarte con nosotros y por adjuntar la evidencia correspondiente. Respecto a la diferencia en los días de tu descanso médico (del 29 de abril al 13 de mayo), te brindamos la siguiente aclaración: El mensaje enviado por nuestra parte corresponde a una notificación informativa estándar, la cual tiene como fin alertar que si un descanso médico llega a superar los 21 días, este se clasifica automáticamente como un Descanso Médico Prolongado (SICK). Dado que en tu caso son menos días y ya se encuentran registrados en People Manager, es necesario coordinar directamente con el equipo de Movimiento Diario. Ellos son el área encargada de actualizar y regularizar de manera exacta estas fechas dentro del sistema de roles y programación de la tripulación. Saludos,</t>
  </si>
  <si>
    <t>27465510-LATAM-LP</t>
  </si>
  <si>
    <t>17/05/2026 22:16</t>
  </si>
  <si>
    <t>Me comunico con ustedes para solicitar que, por favor, puedan tenerme en cuenta para ser programada en vuelos operados con Boeing 767, con el fin de mantener mi habilitación vigente. Durante el mes de Mayo estuve en la posición de HR y ahora en el mes de Junio nuevamente tendré la oportunidad de seguir en la misma posición de HR. El cual no pueden asignarme vuelo en la flota 76. Por ello, y cumpliendo con el plazo estipulado de dos meses previos, envío este correo para que puedan considerarme para alguna activación y así evitar el vencimiento de mi habilitación en el Boeing 767.</t>
  </si>
  <si>
    <t>Hola, Denissa: Esperamos que te encuentres muy bien. Muchas gracias por comunicarte con nosotros y por informarnos oportunamente sobre tu situación. Respecto a tu consulta, te informamos que tenemos mapeado en nuestros registros que el vencimiento de tu habilitación en la flota B767 es el próximo 16 de julio. Tomando en cuenta tu actual posición de HR, queremos indicarte que hemos procedido a elevar la solicitud ante el área de rol para que puedan programarte un vuelo en dicha flota durante el mes de julio antes de tu fecha límite. Te sugerimos mantenerte atenta a la actualización de tu rol para verificar la asignación Esperamos haberte ayudado. Saludos cordiales,</t>
  </si>
  <si>
    <t>479793a3-LATAM-LP</t>
  </si>
  <si>
    <t>13/05/2026 06:46</t>
  </si>
  <si>
    <t>Tengo vencimiento en Junio de mi apto médico; agradecería me ayuden a gestionar la fecha del apto. Saludos.</t>
  </si>
  <si>
    <t>Hola, Paula: Esperamos que tengas un excelente día. Muchas gracias por comunicarte con nosotros. Respecto a tu solicitud para la gestión de tu Apto Médico con vencimiento en junio, te brindamos la siguiente información sobre el estado de tu programación: Por lo general, las citas para este proceso se encuentran proyectadas para programarse durante la primera quincena del mes. Te sugerimos mantenerte atenta a las actualizacion de tu rol Descuida que, en caso de que la cita no quede reflejada de manera automática dentro de dicho periodo, nuestro equipo procederá a realizar el agendamiento correspondiente de forma oportuna para asegurar la vigencia de tu documentación. Saludos cordiales,</t>
  </si>
  <si>
    <t>731ce9b8-LATAM-LP</t>
  </si>
  <si>
    <t>13/05/2026 07:19</t>
  </si>
  <si>
    <t>Buen día, me gustaría saber cuál es mi saldo de vacaciones ya que verifiqué por el portal, tiempo libre y me salen 35.5 días lo cual no entiendo el porqué</t>
  </si>
  <si>
    <t>Hola, Mariana: Esperamos que tengas un excelente día. Muchas gracias por comunicarte con nosotros. Con respecto a tu consulta sobre el saldo que visualizas en la sección de Tiempo Libre, te detallamos cómo está conformado tu total para tu tranquilidad: Periodo Actual (2025-2026): Cuentas con tus 30 días reglamentarios de vacaciones. Próximo Periodo (2026-2027): A partir del 1 de diciembre de este año, se te asignará tu nueva meta correspondiente a 31 días. Días Adicionales (5.5 días): La diferencia que visualizas en tu sistema corresponde a saldos acumulados de periodos anteriores. Queremos informarte que tienes la posibilidad de disponer de estos 5.5 (6) días solicitándolos formalmente bajo la modalidad de pedido adicional de vacaciones 2026-02. El cual se aperturará dentro de poco. Saludos,</t>
  </si>
  <si>
    <t>b1238d98-LATAM-LP</t>
  </si>
  <si>
    <t>17/05/2026 11:38</t>
  </si>
  <si>
    <t>Hola, Carmen: Esperamos que te encuentres muy bien. Muchas gracias por comunicarte con nosotros y por realizar tus trámites regulatorios de manera anticipada. Respecto a tu consulta sobre la validación de tu solicitud de renovación de fotocheck, te informamos que en caso de que aún no hayas recibido una comunicación oficial sobre el estado del proceso, lo recomendable es levantar tu caso directamente con Luis Gómez (luis.gomez@latam.com), Jefe de Seguridad. Él y su equipo te podrán brindar el estado exacto de tu requerimiento y asegurar que todo marche de forma correcta para la entrega de tu nueva credencial. Esperamos haberte ayudado. Saludos cordiales,</t>
  </si>
  <si>
    <t>3089e58e-LATAM-LP</t>
  </si>
  <si>
    <t>19/05/2026 15:00</t>
  </si>
  <si>
    <t>Estimados, El motivo de la presente es comentarles que en el PBS me figuran dos chequeos de Boeing 767, el 4 y 11 de junio. Sin embargo aún no realicé el curso en tierra. Porfavor me podria confirmar si tendre aquellos vuelos. Saludos,</t>
  </si>
  <si>
    <t>6c60c8d5-LATAM-LP</t>
  </si>
  <si>
    <t>20/05/2026 16:18</t>
  </si>
  <si>
    <t>Buenas tardes, el día de hoy mandé la actualizació n de datos para mi visa turista de Estados Unidos, yo solicité protección de rol solo para mayo, quiero asegurarme y consultar si el próximo mes tendré rol normal y no protegido ya que como comenté, la protección fue solo para mayo y ya tengo mi pasaporte</t>
  </si>
  <si>
    <t>Hola, Camila: Esperamos que te encuentres muy bien. Muchas gracias por comunicarte con nosotros y por enviarnos la actualización de tus documentos de forma oportuna. Te comentamos que las solicitudes de proteccion se realiza indefinidamente hasta que se actualice su documentacion. Respecto a tu consulta sobre la protección de tu rol, te informamos que una vez que sea procesada y validada la actualización de los datos de tu visa y pasaporte en el sistema, se procederá a retirar dicha protección de manera regular. Asimismo, nuestro equipo emitirá la alerta correspondiente al área de Movimiento Diario para que lo tengan en consideración dentro de las programaciones del próximo mes. Esperamos haberte ayudado. Saludos cordiales,</t>
  </si>
  <si>
    <t>d4bdea18-LATAM-LP</t>
  </si>
  <si>
    <t>25/05/2026 11:53</t>
  </si>
  <si>
    <t>Taller de seguridad</t>
  </si>
  <si>
    <t>Hola, Karen: Esperamos que te encuentres muy bien. Muchas gracias por comunicarte con nosotros. Hemos recibido tu mensaje en relación a la actividad "Taller de seguridad". Con la finalidad de brindarte una atención precisa y la ayuda correcta, te solicitamos cordialmente que nos detalles un poco más cuál es tu duda, inconveniente o requerimiento específico con respecto a este taller en una nueva consulta Quedamos muy atentos a tu respuesta para poder gestionar tu caso a la brevedad. Saludos cordiales,</t>
  </si>
  <si>
    <t>58185929-LATAM-LP</t>
  </si>
  <si>
    <t>25/05/2026 11:16</t>
  </si>
  <si>
    <t>Muy buenos dias estimados, perdi mi lck por permiso de jefatura, podrían por favor decirme cuando lo tendría. Gracias</t>
  </si>
  <si>
    <t>Hola, Joana: Esperamos que te encuentres muy bien. Muchas gracias por comunicarte con nosotros y por hacernos llegar tu consulta para verificar tu estado. Respecto a tu requerimiento sobre tu Chequeo en Línea (A320) que quedó pendiente debido al permiso de jefatura, te informamos que el equipo encargado contempla proyectar esta actividad para el mes de julio solicitando una prorroga. Es importante tener en cuenta que la programación definitiva para dicho periodo se encuentra sujeta a la disponibilidad de horarios, así como a las necesidades operacionales del momento, por lo que te pedimos considerarlo como una fecha estimada y tener en cuenta que tambien podría ser en el mes de junio. Te sugerimos mantenerte muy atenta a las próximas actualizaciones en tus cronogramas. Quedamos a tu disposición en caso de que tengas alguna duda adicional. Saludos cordiales,</t>
  </si>
  <si>
    <t>fe6a8669-LATAM-LP</t>
  </si>
  <si>
    <t>13/05/2026 12:43</t>
  </si>
  <si>
    <t>Licencia por maternidad</t>
  </si>
  <si>
    <t>Hola, Alisson: Esperamos que te encuentres muy bien. Muchas gracias por comunicarte con nosotros. Para poder brindarte el soporte adecuado y armar de manera exacta tu línea de retorno, te solicitamos por favor que nos indiques los siguientes datos a través de una nueva consulta: Fecha de nacimiento de tu bebé. Fecha de inicio de tu periodo prenatal. Fecha de finalización de tu periodo postnatal. Quedamos atentos al ingreso de tu requerimiento con estos detalles para proceder con la gestión de tu caso. Saludos,</t>
  </si>
  <si>
    <t>cf1139f6-LATAM-LP</t>
  </si>
  <si>
    <t>13/05/2026 12:44</t>
  </si>
  <si>
    <t>Mater</t>
  </si>
  <si>
    <t>aa29fbd7-LATAM-LP</t>
  </si>
  <si>
    <t>13/05/2026 14:26</t>
  </si>
  <si>
    <t>b7d8c7d9-LATAM-LP</t>
  </si>
  <si>
    <t>13/05/2026 15:56</t>
  </si>
  <si>
    <t>Buenas tardes, quisiera saber cual es el procedimiento para poder tener la disposición de mis vacaciones y mi periodo de lactancia total terminando mi licencia de maternidad. Quedo atenta, muchas gracias.</t>
  </si>
  <si>
    <t>Hola, Katheryn: Esperamos que te encuentres muy bien. Muchas gracias por comunicarte con nosotros. Para poder brindarte la asesoría correcta y estructurar de manera exacta tu línea de retorno —la cual incluirá tus vacaciones pendientes, los días de lactancia acumulada y los vuelos de capacitación/recalificación en caso corresponda—, te solicitamos por favor que nos brindes los siguientes datos a través de una nueva consulta: Fecha de nacimiento de tu bebé. Fecha de inicio de tu periodo prenatal. Fecha de finalización de tu periodo postnatal. Quedamos muy atentos al ingreso de tu requerimiento con estos detalles para proceder con la planificación de tus fechas. Saludos,</t>
  </si>
  <si>
    <t>fc4622ed-LATAM-LP</t>
  </si>
  <si>
    <t>25/05/2026 13:57</t>
  </si>
  <si>
    <t>d04b61f2-LATAM-LP</t>
  </si>
  <si>
    <t>13/05/2026 16:46</t>
  </si>
  <si>
    <t>Buenas tardes compañeros, me ha llegado correo de que el otro mes salgo de vacaciones del 17 al 30 de junio, sin embargo tenía entendido que tenía 17 días de vacaciones este 1-2026 y ya salí 7 días en marzo del 16 al 23, me estarían adelantando vacaciones ?</t>
  </si>
  <si>
    <t>Hola, Carolina: Esperamos que tengas un excelente día. Muchas gracias por comunicarte con nosotros. Respecto a tu consulta sobre la programación de tus vacaciones del 17 al 30 de junio y tu duda sobre si corresponde a un adelanto, queremos brindarte el detalle de tu saldo para tu total tranquilidad: Revisando tus registros de la meta de vacaciones periodo 2025-2026 (la cual se reinicia formalmente los 1 de septiembre de cada año), tu historial de días gozados se detalla de la siguiente manera: Diciembre 2025: Tomaste 8 días de vacaciones. Marzo 2026: Tomaste 8 días de vacaciones (del 16 al 23 de marzo). La programación actual del 17 al 30 de junio equivale a 14 días, los cuales corresponden exactamente al saldo pendiente necesario para completar y cerrar tu meta de vacaciones de este periodo anual. Por lo tanto, te confirmamos que no se trata de un adelanto de vacaciones, sino del cumplimiento regular de tu saldo asignado. Saludos cordiales,</t>
  </si>
  <si>
    <t>844b028f-LATAM-LP</t>
  </si>
  <si>
    <t>13/05/2026 18:07</t>
  </si>
  <si>
    <t>por DM perdere mi apto medico programado para el dia 18 de mayo por cumplir 40 anios, solicito reprogramacion de apto medico</t>
  </si>
  <si>
    <t>Hola, Lucía: Esperamos que te encuentres muy bien dentro de tu proceso de recuperación. Muchas gracias por comunicarte con nosotros para notificarnos tu situación. Respecto a tu solicitud de reprogramación para el Apto Médico (programado inicialmente para el 18 de mayo), te brindamos la siguiente información sobre el procedimiento a seguir: Para poder gestionar una nueva cita ante la autoridad, es indispensable que concluyas en su totalidad el periodo de tu Descanso Médico (DM) y el tratamiento correspondiente. Una vez que cuentes con el alta respectiva, por favor confírmanoslo por este medio para proceder inmediatamente con el agendamiento. Asimismo, es muy importante que consideres que, por razones de normativa aeronáutica, no te encontrarás habilitada para realizar actividades de vuelo hasta que se emita y valide tu nuevo certificado médico. Saludos</t>
  </si>
  <si>
    <t>4f2d5d2b-LATAM-LP</t>
  </si>
  <si>
    <t>25/05/2026 19:08</t>
  </si>
  <si>
    <t>Me han programado 2 chequeos DGAC para B767, dos roundtrip a Santiago el 18 y el 26 de junio, en el mes de abril yo tuve chequeo Latam, por ende solo me faltaría un chequeo DGAC, hice mi consulta cuando se activaron los pedidos en PBS sin embargo me dijeron que no me preocupara que aún no tenia programado nada , por favor solucionar este tema</t>
  </si>
  <si>
    <t>Hola, Camila: Esperamos que te encuentres muy bien. Muchas gracias por comunicarte con nosotros y por detallarnos tu situación para poder corregir este inconveniente a la brevedad. Respecto a tu reclamo sobre la duplicidad en las actividades de chequeo DGAC en tu programación de junio, te informamos que hemos procedido a revisar tu caso con el área de planificación y se ha realizado el retiro del primer chequeo programado (vuelo ida y vuelta a Santiago del 18 de junio). Por tal motivo, te pedimos por favor que guardes cuidado y consideres únicamente la asignación restante en tu cronograma según la normativa correspondiente. Asimismo, te extendemos nuestras más sinceras disculpas por el desacierto y la incorrecta información brindada en la consulta que realizaste durante el periodo de pedidos en el PBS. Estamos trabajando internamente para evitar que este tipo de situaciones se repitan. Agradecemos mucho tu paciencia y tu proactividad al reportarnos este escenario. Saludos cordiales,</t>
  </si>
  <si>
    <t>5f68a3a1-LATAM-LP</t>
  </si>
  <si>
    <t>23/05/2026 11:22</t>
  </si>
  <si>
    <t>Buenos días! Para favor podría inscribirme en el taller voluntario el día 25/05. Yo me inscribí el día 11, asistí pero no pude quedarme debido a que llegaba de una asignación. Si es que hay un cupo disponible por favor se los agradecería!</t>
  </si>
  <si>
    <t>9f293c84-LATAM-LP</t>
  </si>
  <si>
    <t>25/05/2026 13:27</t>
  </si>
  <si>
    <t>b3b3a689-LATAM-LP</t>
  </si>
  <si>
    <t>14/05/2026 17:41</t>
  </si>
  <si>
    <t>Buenos días el día de hoy acabo de ver que hay un error en mi licencia chilena la anterior venció el 31 de marzo de 2026 y la actual que me han entregado si bien es cierto es válida solo está vigente hasta el 31/07/2026, por ello quiero que por favor lo verifiquen a la brevedad ya que la vigencia no puede ser solo de 3 meses quedo atenta a sus comentarios envío la licencia anterior y la vigente, muchas gracias!</t>
  </si>
  <si>
    <t>Hola, Grescia: Esperamos que tengas un excelente día. Muchas gracias por comunicarte con nosotros y por enviarnos los adjuntos para la validación. Respecto a tu consulta sobre el periodo de vigencia de tu nueva licencia chilena con vencimiento al 31 de julio de 2026, te brindamos la siguiente aclaración: Te confirmamos que el documento se encuentra correcto y no presenta ningún error. Es completamente factible y regular que una licencia cuente con una vigencia de tres meses, debido a que, por normativa de la autoridad aeronáutica, la fecha de vencimiento de la licencia debe alinearse y corresponder estrictamente con la fecha de expiración de tu Apto Médico. Para tu total tranquilidad, cuando se aproxime este nuevo vencimiento, nos encargaremos de solicitar oportunamente la renovación dentro de los tiempos establecidos para asegurar que no tengas ningún inconveniente con tu documentación operativa. Saludos cordiales,</t>
  </si>
  <si>
    <t>44bfae6f-LATAM-LP</t>
  </si>
  <si>
    <t>26/05/2026 21:00</t>
  </si>
  <si>
    <t>Buenas noches estimados, les escribo para comentarles que perdí el chequeo de competencias B767 programado para el día 20 de junio, debido a que me encontraba delicada de salud y con descanso médico, motivo por el cual no pude presentarme. Por ello, quisiera solicitar, por favor, que pueda considerarme para una próxima programación del chequeo. Agradezco su apoyo.</t>
  </si>
  <si>
    <t>"¡Gracias por la información! Te informamos que, dado que tu mes base es junio y según lo establecido en la RAP 63, esta actividad puede ser programada dentro de un período de elegibilidad que comprende 30 días antes, durante y después de tu mes base. Por lo tanto, tu verificación de competencia podrá ser agendada en julio,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</si>
  <si>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09f98dd3-LATAM-LP</t>
  </si>
  <si>
    <t>15/05/2026 07:46</t>
  </si>
  <si>
    <t>Hola, Carlos: Esperamos que tengas un excelente día. Muchas gracias por comunicarte con nosotros. Respecto a tu solicitud para la emisión del vale de alimentación por la conexión de tus vuelos LA2271 y LA2007, te brindamos la siguiente orientación: Te informamos que la gestión, aprobación y entrega de estos beneficios son administradas de manera exclusiva por el equipo de Sala de Tripulantes en el aeropuerto. "Sala.tripulantes@latam.com" Debido a que nosotros no contamos con las facultades en el sistema para generar dichos vales, te sugerimos acercarte o contactar directamente con ellos cuando necesites este tipo de ayuda especifica. Saludos cordiales,</t>
  </si>
  <si>
    <t>e6ecc437-LATAM-LP</t>
  </si>
  <si>
    <t>27/05/2026 09:25</t>
  </si>
  <si>
    <t>Mi verificación competencia 320F se programo para el 27/05/26 pero el vuelo cancelado. Mi competencia se vencerá el 30/06/26, mes en el que me encontraré de vacaciones del 16 al 30. Agradecería una nueva fecha antes de esas fecha para no caer en vencimientos.</t>
  </si>
  <si>
    <t>b5a77ca8-LATAM-LP</t>
  </si>
  <si>
    <t>15/05/2026 09:35</t>
  </si>
  <si>
    <t>Consulta, veo que en Junio me han programado mi reva , pero esta vence en Mayo ? No hay problema ? Para las revisiones hay alguna extensión? O me bajaran de vuelo hasta el día de mi curso ?</t>
  </si>
  <si>
    <t>Hola, María: Esperamos que tengas un excelente día. Muchas gracias por comunicarte con nosotros. Respecto a tu consulta sobre la programación de tu Reentrenamiento Anual (REVA) en el mes de junio, queremos brindarte total tranquilidad sobre tu estatus operativo: Te confirmamos que tu mes base de vencimiento es mayo; sin embargo, tu actividad ha sido planificada para ejecutarse en junio bajo la modalidad de prórroga reglamentaria. Por tal motivo, no existe ningún inconveniente con tu documentación ni serás desprogramada de tus vuelos. Saludos</t>
  </si>
  <si>
    <t>83fb2d83-LATAM-LP</t>
  </si>
  <si>
    <t>15/05/2026 09:44</t>
  </si>
  <si>
    <t>Buenos días estimados,veo en el PBS que tengo bloqueado días de RTI en junio,escribo para informar que yo Ya tuve reva satisfactoria (RTI) en mayo,por favor este bloqueo puede afectar mi solicitud de pedidos en Pbs,solicito lo verifiquen o quedo atenta a alguna nueva información.Adjunto calendario se Pbs donde se ve tambien el mes de mayo quebya tuve reva. Gracias.</t>
  </si>
  <si>
    <t>Hola, Gaby: Esperamos que te encuentres muy bien. Muchas gracias por comunicarte con nosotros y por adjuntar tu calendario para la verificación de tu caso. Respecto a tu consulta sobre los días de RTI bloqueados en tu sistema para el mes de junio, te informamos que, debido a que el día de hoy se ha realizado la publicación oficial, procederemos a elevar la solicitud correspondiente para gestionar la regularización de tu rol a la brevedad. Nuestro equipo tomará conocimiento de que ya completaste satisfactoriamente tu revalidación en mayo para que no afecte tus programaciones. Te sugerimos mantenerte atenta a la actualización de tu rol en los próximos días para que puedas visualizar la corrección aplicada en el sistema. Esperamos haberte ayudado. Saludos cordiales,</t>
  </si>
  <si>
    <t>76a13f54-LATAM-LP</t>
  </si>
  <si>
    <t>27/05/2026 12:25</t>
  </si>
  <si>
    <t>Buenas tardes. Espero se encuentren bien. Estoy próxima a vencerme en el equipo 767 el próximo mes. Es posible que me pongan un vuelo para no perder mi experiencia reciente, por favor? Muchas gracias.</t>
  </si>
  <si>
    <t>"¡Gracias por la información! Te comentamos que la asignación de tu último vuelo para la flota B767 se realizará antes de la fecha de vencimiento (17-julio-2026).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</si>
  <si>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7af20190-LATAM-LP</t>
  </si>
  <si>
    <t>27/05/2026 16:45</t>
  </si>
  <si>
    <t>LCK PERDIDO POR CANCELACION DE VUELO. Buenas tardes, el día 26MAY2026 tenía programada mi Verificación de Competencia A320F, debido a cancelación de vuelo fue cancelada. Quisiera mantenerlos al tanto para que puedan reprogramarla. Muchas gracias.</t>
  </si>
  <si>
    <t>"""¡Gracias por la información! Te informamos que, dado que tu mes base es junio y según lo establecido en la RAP 63, esta actividad puede ser programada dentro de un período de elegibilidad que comprende 30 días antes, durante y después de tu mes base. Por lo tanto, tu verificación de competencia podrá ser agendada en julio,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</si>
  <si>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9d03b186-LATAM-LP</t>
  </si>
  <si>
    <t>15/05/2026 12:42</t>
  </si>
  <si>
    <t>La dirección que figura en mi licencia chilena es distinta a la de mi DNI, la licencia peruana sí está con la dirección correcta de mi DNI: Av. 28 de Julio 887 dpto 1605 Miraflores, mi consulta es si debe modificarse la licencia chilena o no hay problema alguno, ya que la dirección que han colocado es otro departamento de mi familia, mas no es la que figura en mi DNI</t>
  </si>
  <si>
    <t>Hola, Carolina: Esperamos que te encuentres muy bien. Muchas gracias por comunicarte con nosotros y por detallarnos esta observación en tus documentos. Respecto a tu consulta, te confirmamos que ambas licencias deben registrar la misma dirección domiciliaria. Por este motivo, tomamos conocimiento de tus datos correctos (Av. 28 de Julio 887 dpto 1605, Miraflores) e iniciaremos las gestiones correspondientes ante la autoridad para emitir una nueva licencia chilena con la dirección debidamente homologada. Te mantendremos informada sobre el avance de este trámite. Saludos cordiales,</t>
  </si>
  <si>
    <t>71573083-LATAM-LP</t>
  </si>
  <si>
    <t>15/05/2026 16:26</t>
  </si>
  <si>
    <t>Estimados, el motivo es para informar que mi DM, subsidio acaba el dia de hoy 15/05. Hice la solicitud del informe medico a la clinica sobre el tratamiento llevado. Me informan me entregaran en 10 a 15 dias habiles. Me gustaria que me consideren en las priximas citas para mi apto medico y EMO.</t>
  </si>
  <si>
    <t>Hola, Rocío: Esperamos que te encuentres muy bien. Muchas gracias por comunicarte con nosotros y por informarnos sobre el término de tu descanso médico. Respecto a tu solicitud para la programación de tu apto médico y Examen Médico Ocupacional (EMO), te informamos que el procedimiento correcto a seguir tras finalizar tu descanso es presentar tu alta médica a tu CPL y Salud Laboral. Una vez realizada esta entrega, deberás pasar por la entrevista correspondiente con salud laboral para que evalúen tu caso y determinen si estás habilitada para proceder con el agendamiento de tus citas médicas. Esperamos haberte ayudado. Saludos cordiales,</t>
  </si>
  <si>
    <t>5a47680b-LATAM-LP</t>
  </si>
  <si>
    <t>27/05/2026 21:31</t>
  </si>
  <si>
    <t>"¡Gracias por la información! Te comentamos que la asignación de tu último vuelo para la flota B767 se realizará antes de la fecha de vencimiento (14-julio-2026).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</si>
  <si>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e7296ea8-LATAM-LP</t>
  </si>
  <si>
    <t>16/05/2026 06:35</t>
  </si>
  <si>
    <t>Licencia chilena proxima a vencer</t>
  </si>
  <si>
    <t>Gracias por la información! Te comentamos que la gestión de tu licencia chilena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</si>
  <si>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39272f06-LATAM-LP</t>
  </si>
  <si>
    <t>16/05/2026 12:36</t>
  </si>
  <si>
    <t>Estimados buenas tardes, el pasado 30 de abril recibí el email con la emisión de mi licencia chilena con la habilitación del B767. La licencia local aun se encuentra pendiente. Por favor me podrían indicar cuál el procedimiento para la entrega. Quedo atenta a sus comentarios. Muchas gracias.</t>
  </si>
  <si>
    <t>dfe039c6-LATAM-LP</t>
  </si>
  <si>
    <t>17/05/2026 01:07</t>
  </si>
  <si>
    <t>Por medio de la presente para informar que el día 7 de Abril reporte a movimiento diario que no cumplía con las condiciones para pasar el Apto Médico por lo que solicité su reprogramación, pero al salir el rol no me fue agendado motivo por el cual solicito se me pueda programar para el mes de Junio. Muchas gracias por la atención quedo atenta.</t>
  </si>
  <si>
    <t>Hola, Leydi: Esperamos que te encuentres muy bien. Muchas gracias por comunicarte con nosotros y por informarnos sobre el estado de tu trámite. Respecto a tu solicitud, te confirmamos que se considerará la reprogramación de tu Apto Médico para que sea evaluada dentro de las próximas programaciones. Nuestro equipo tomará conocimiento de tu caso para realizar las gestiones correspondientes ante el área encargada. Te sugerimos mantenerse atenta a la actualización de tu rol para conocer la asignación de tu cita. Esperamos haberte ayudado.</t>
  </si>
  <si>
    <t>eab25ce5-LATAM-LP</t>
  </si>
  <si>
    <t>28/05/2026 08:14</t>
  </si>
  <si>
    <t>Vencimiento linecheck 767</t>
  </si>
  <si>
    <t>15be004a-LATAM-LP</t>
  </si>
  <si>
    <t>28/05/2026 10:50</t>
  </si>
  <si>
    <t>Hoy Soporte me asignó vuelo a SCL en 767 para mo perder experiencia reciente que vence este 1 de JUNIO, pero acaban de cambiarnos de equipo a un 320 , por favor es urgente me programen a la brevedad cualquier vuelo en 767, acepto cualquoer cambio en mi rol por favor. Gracias por su pronta ayuda y respuesta.ara</t>
  </si>
  <si>
    <t>fa209095-LATAM-LP</t>
  </si>
  <si>
    <t>28/05/2026 10:09</t>
  </si>
  <si>
    <t>El día 26 de mayo tenia programado el line check, pero el vuelo fue cancelado. No he recibido aun ninguna información o reprogramación.</t>
  </si>
  <si>
    <t>c7c5c946-LATAM-LP</t>
  </si>
  <si>
    <t>17/05/2026 19:08</t>
  </si>
  <si>
    <t>Debo rendir examen medico ocupacimañana lunes 18 de mayo 2026, por rol tengo rti y en el archivo adjunto mandado por la clinica dice que si no cumplo con algunade las condiciones mencionadas(en este caso me encuentro en periodo de mestruacion desde hoy) no lo puedo rendir y debo informarlo por este medio.</t>
  </si>
  <si>
    <t>Hola, Evelyne: Esperamos que te encuentres muy bien. Muchas gracias por comunicarte con nosotros para informarnos de tu situación. Respecto a tu consulta, te confirmamos que el Examen Médico Ocupacional (EMO) es parte de tu asignación de RTI, por lo que no habría ningún inconveniente con tu rol actual. Asimismo, tendremos en cuenta que no pudiste asistir el día de mañana para proceder con la solicitud de la reprogramación de tu EMO.. Te sugerimos mantenerte atenta a las próximas actualizaciones en tu sistema para la confirmación de la nueva fecha. Esperamos haberte ayudado.</t>
  </si>
  <si>
    <t>c30984f9-LATAM-LP</t>
  </si>
  <si>
    <t>17/05/2026 22:11</t>
  </si>
  <si>
    <t>El dia 14 de Mayo se activó vale de alimentación, ya que aterrizamos del vuelo LA2024 PEM-LIM antes de lo previsto. Y teniamos la espera para nuestro siguiente vuelo a TPP. Enviaron un correo, indicando que cuando suceda estas situaciones no programadas por rol. Hay que activar el beneficio. Solo debo comunicarlo por aqui? O debo llenar algun formulario? Adjunto foto del vale que se le activó a los pilotos</t>
  </si>
  <si>
    <t>Hola, Denissa: Esperamos que te encuentres muy bien. Muchas gracias por comunicarte con nosotros y por informarnos sobre lo ocurrido con tu vuelo LA2024. Respecto a tu consulta, te confirmamos que es correcto realizar la notificación de estas contingencias no programadas por tu rol a través de este medio. Asimismo, te informamos que, de acuerdo con las políticas del nuevo convenio, la emisión física de los vales de alimentación aplica de manera exclusiva para Tripulantes de Mando (TM). En tu caso, las gestiones correspondientes ya han sido tomadas en cuenta y el pago de este beneficio se procesará de forma regular mediante tu tarjeta Edenred. Esperamos haberte ayudado</t>
  </si>
  <si>
    <t>fff874a9-LATAM-LP</t>
  </si>
  <si>
    <t>01/06/2026 14:42</t>
  </si>
  <si>
    <t>Estimados(as) de Soporte Región Andina: Espero se encuentren bien. Me comunico con ustedes para informar que ya cuento con mi apto médico y que, desde el 25 de mayo, figuro en mi rol con estatus OPC. Sin embargo, he observado que para el mes de junio aún aparezco en el sistema con estatus MHC. Agradecería mucho si pudieran indicarme cuándo se estaría actualizando mi estatus en el sistema, ya que ello me permitirá ser considerada para la programación de mi curso al 50%. Quedo atenta a sus comentarios y agradezco de antemano su apoyo. Saludos cordiales, Katerin Olortegui</t>
  </si>
  <si>
    <t>Estimada Katerin, Esperamos que te encuentres muy bien. Te informamos que ya hemos gestionado la solicitud para regularizar tu estatus a OPC en lugar de MHC, por lo que el cambio ya debería verse reflejado en el sistema. Respecto al curso al 50%, confirmamos que te tenemos correctamente considerada en el radar. Te estaremos notificando más adelante, en cuanto se realice la apertura del mismo. Quedamos atentos a cualquier duda o comentario adicional. Saludos cordiales,</t>
  </si>
  <si>
    <t>1c19867e-LATAM-LP</t>
  </si>
  <si>
    <t>17/05/2026 22:22</t>
  </si>
  <si>
    <t>Hola, Maytee: Esperamos que te encuentres muy bien. Muchas gracias por comunicarte con nosotros y por consultarnos sobre este paso de tu proceso. Respecto a tu consulta, te informamos que no es necesario que esperes un documento adicional, debido a que la Clínica Los Andes se encarga de reportar directamente el "no apto" ante la DGAC. Por lo tanto, ya no es requerido que realices el paso 2 que se detallaba en las instrucciones del correo enviado bajo el asunto "Bajada a Tierra LP - TC - HIDALGO AMARO MAYTEE DAYANA". Puedes proceder con total tranquilidad a continuar directamente con las indicaciones señaladas en el paso 3 de dicha comunicación. Esperamos haberte ayudado. Saludos cordiales,</t>
  </si>
  <si>
    <t>66ca2c5c-LATAM-LP</t>
  </si>
  <si>
    <t>17/05/2026 20:25</t>
  </si>
  <si>
    <t>Hola buen día, les escribo ya que veo que en mi academia virtual tengo tres cursos vencidos, de codigo de conducta, seguridad de la información y por último el de equipos 767, este último lo levanté con capacitación el año pasado ya que tuve una nota desaprobatoria debido a que la información del examen estaba desactualizada y al dar el mismo las preguntas no coincidían con las de la ultima revisión del MTC y tanto mi jefa, como de capacitación me cometaron que no tendría problema ya que estaban en conocimiento de este problema con el examen del 767. Quisiera también comentarles que no se si debido a esto último no se me ha cargado el exámen de equipos 767 de este año ya que tengo REVA el proximo Lunes 25/05 y no se si tengo que dar este examen que tengo cargado y vencido en mi sistema y que nunca cambió de estatus u tienen que enviarme otro. De antemano muchas gracias quedo atento a sus comentarios.</t>
  </si>
  <si>
    <t>Hola, Eduardo: Esperamos que te encuentres muy bien. Muchas gracias por comunicarte con nosotros y por detallarnos tu situación con los cursos de la plataforma. Respecto a tus consultas, te brindamos la siguiente información para poder orientarte: En relación a los cursos de Código de Conducta y Seguridad de la Información, te informamos que estos temas deben ser revisados y gestionados directamente con el equipo de la Academia Corporativa, ya que no corresponden al alcance de nuestra área. Por otra parte, respecto al curso de Equipos B767, te confirmamos que la solicitud para su revalidación ya ha sido pedida para este mes. En caso de que aún no te figure correctamente en el sistema, es necesario que lo reportes e ingreses un requerimiento a la Academia Coporativa a la brevedad para que puedan regularizar el estado de tu examen y así puedas rendirlo sin inconvenientes previos a tu REVA. Te dejamos el enlace a continuación: https://sites.google.com/latam.com/sscap-ssc/soporte-academia-corporativa Saludos cordiales,</t>
  </si>
  <si>
    <t>cb37279f-LATAM-LP</t>
  </si>
  <si>
    <t>18/05/2026 01:38</t>
  </si>
  <si>
    <t>Reprogramación EXAMEN MÉDICO OCUPACIONAL</t>
  </si>
  <si>
    <t>Hola, Karla: Esperamos que te encuentres muy bien. Muchas gracias por comunicarte con nosotros. Respecto a tu mensaje, te confirmamos que se considerará la reprogramación de tu Examen Médico Ocupacional (EMO). Nuestro equipo tomará conocimiento de tu caso para realizar las gestiones correspondientes ante el área encargada y proceder con la solicitud del cambio de fecha. Esperamos haberte ayudado.</t>
  </si>
  <si>
    <t>fa917ba9-LATAM-LP</t>
  </si>
  <si>
    <t>02/06/2026 17:50</t>
  </si>
  <si>
    <t>Tenía programado mi LNCK del B767 para el 29 /05 pero cambiaron el avión por un A320 y se perdió el chequeo, me venzo el 30jun</t>
  </si>
  <si>
    <t>¡Gracias por la información! Te informamos que, dado que tu mes base es junio y según lo establecido en la RAP 63, esta actividad puede ser programada dentro de un período de elegibilidad que comprende 30 días antes, durante y después de tu mes base. Por lo tanto, tu verificación de competencia podrá ser agendada en julio,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</si>
  <si>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582b174f-LATAM-LP</t>
  </si>
  <si>
    <t>05/06/2026 23:23</t>
  </si>
  <si>
    <t>Buenas noches estimados, tenía mi chequeo line check el 27-05-2026 pero se canceló, estoy próxima a vencerme el 30-06-2026. Quisiera que por favor contemplen mi line check, muchas gracias de antemano mano. Quedo atenta.</t>
  </si>
  <si>
    <t>¡Gracias por la información! Te informamos que, dado que tu mes base es junio y según lo establecido en la RAP 63, esta actividad puede ser programada dentro de un período de elegibilidad que comprende 30 días antes, durante y después de tu mes base. Por lo tanto, tu verificación de competencia podrá ser agendada en juliol,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</si>
  <si>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4b05baa6-LATAM-LP</t>
  </si>
  <si>
    <t>07/06/2026 01:46</t>
  </si>
  <si>
    <t>Buen día! Solo comentar que el siguiente mes(los primeros días) me venceré en mi experiencia reciente debido a que todo el mes de mayo me encontré fuera de vuelo. Actualmente cuento con reservas por lo que agradecería me puedan considerar para no perder la habilitación. Gracias</t>
  </si>
  <si>
    <t>¡Gracias por la información! Te comentamos que tenemos mapeado en asignarte un vuelo en tu experiencia reciente. Te informamos que se va a gestionar tu caso con el equipo de roles para asignarte un vuelo en dicha flota antes de tu vencimiento. Esperamos que la respuesta te haya sido de gran ayuda.</t>
  </si>
  <si>
    <t>c94b612f-LATAM-LP</t>
  </si>
  <si>
    <t>19/05/2026 06:04</t>
  </si>
  <si>
    <t>No deseo vacaciones</t>
  </si>
  <si>
    <t>3d68cc68-LATAM-LP</t>
  </si>
  <si>
    <t>19/05/2026 06:06</t>
  </si>
  <si>
    <t>Hola, Génesis: Esperamos que te encuentres muy bien. Muchas gracias por comunicarte con nosotros y por hacernos llegar tu consulta. Respecto a tu solicitud para modificar las vacaciones programadas al término de tu periodo de lactancia, lamentamos informarte que en esta oportunidad no es posible proceder con el cambio. Esto se debe a que la planificación de tus días de capacitación para el retorno a la linea ya han sido programados, y tu bloque de vacaciones se encuentra fijado de manera posterior a dichas actividades para asegurar la continuidad de tu proceso de retorno a la línea. Agradecemos mucho tu comprensión al respecto. Saludos cordiales,</t>
  </si>
  <si>
    <t>1fd6873d-LATAM-LP</t>
  </si>
  <si>
    <t>03/06/2026 16:52</t>
  </si>
  <si>
    <t>Hola buenas tardes, el mes de mayo no pude asistir a mi chequeo de competencia en la flota Airbus y En el mes de julio no veo ningún vuelo programado con instructor. Por favor avíseme para qué fecha sería mi chequeo de competencia, Muchas gracias</t>
  </si>
  <si>
    <t>bfafa227-LATAM-LP</t>
  </si>
  <si>
    <t>19/05/2026 11:22</t>
  </si>
  <si>
    <t>Tarjeta Edenred</t>
  </si>
  <si>
    <t>a35ba809-LATAM-LP</t>
  </si>
  <si>
    <t>19/05/2026 11:24</t>
  </si>
  <si>
    <t>df70f84c-LATAM-LP</t>
  </si>
  <si>
    <t>19/05/2026 11:32</t>
  </si>
  <si>
    <t>Hola, Elizabeth: Esperamos que te encuentres muy bien. Muchas gracias por comunicarte con nosotros y por hacernos llegar tus dudas respecto a tus beneficios. En relación a tu consulta sobre las condiciones y la entrega de tu tarjeta de alimentación Edenred al cumplir el sexto mes, te informamos que este procedimiento debe ser revisado y gestionado directamente a través del portal de RH Connect. Debido a que los temas vinculados con la administración de beneficios de alimentación, validación de tiempos de antigüedad corporativa y asignaciones de saldos corresponden al área de Recursos Humanos, ellos son el equipo encargado de brindarte el estado de tu tarjeta y aclarar cómo opera el esquema de asignación para tu caso de manera exacta. Esperamos haberte ayudado a orientar tu requerimiento. Saludos cordiales,</t>
  </si>
  <si>
    <t>5675805f-LATAM-LP</t>
  </si>
  <si>
    <t>08/06/2026 11:37</t>
  </si>
  <si>
    <t>Acsbo de perder mi linecheck y estoy en mi mes de prórroga , por favor su apoyo programandome el chequeo este mes para mo vencerme . Muchas gracias</t>
  </si>
  <si>
    <t>Se envió correo con propuesta de LCK A320F y TC aceptó, ya se solicitó que se le asigne el vuelo.</t>
  </si>
  <si>
    <t>6fdcbb65-LATAM-LP</t>
  </si>
  <si>
    <t>19/05/2026 15:25</t>
  </si>
  <si>
    <t>Buenas tardes, a fin de mes tengo vacaciones confirmadas, pero salí de licencia de maternidad hace una semana. Hice la consulta con uds y tengo dos correos por parte suya uno diciendo q mis vacaciones se irán a la bolsa y otro en el q me dicen q si saldré de vacaciones, a cual debo hacerle caso? En realidad si deseo mantener mis vacaciones de fin mes, pero podrían confirmarme? Gracias</t>
  </si>
  <si>
    <t>Hola, Laura: Esperamos que te encuentres muy bien. En primer lugar, te pedimos una sincera disculpa por la confusión causada a raíz de las comunicaciones previas enviadas por nuestro equipo. Respecto a tu situación, te informamos que al haber iniciado tu licencia de maternidad, se procederá con la cancelación de tus vacaciones programadas para el mes de mayo. Por lo tanto, la información válida es que estos días retornarán en su totalidad a tu bolsa acumulada. Queremos darte la tranquilidad de que, a pesar de que ya han transcurrido los días 24 y 25 de mayo, estos también serán devueltos a tu bolsa y no se contabilizarán como gozados bajo ningún motivo, permitiéndote disponer de ellos más adelante. Agradecemos mucho tu comprensión y te deseamos lo mejor en esta etapa. Saludos cordiales,</t>
  </si>
  <si>
    <t>222e1d47-LATAM-LP</t>
  </si>
  <si>
    <t>19/05/2026 16:26</t>
  </si>
  <si>
    <t>Buenas tardes , solo para dejar constancia que recibí el resultado del apto médico por correo de la clínica del trabajador , posterior a mi descanso medico prolongado.</t>
  </si>
  <si>
    <t>esta en clases para emitir su apto seria informativo</t>
  </si>
  <si>
    <t>e2f4d910-LATAM-LP</t>
  </si>
  <si>
    <t>19/05/2026 17:10</t>
  </si>
  <si>
    <t>Hola, ¿Me podrían confirmar por favor si esta solicitud procede considerando el saldo de vacaciones de ambas tripulantes y los vencimientos pendientes? María Pia Carpio Escobar Bp 4269749 Hace el swap con Danitza Hurtado Vidal Bp 6004366</t>
  </si>
  <si>
    <t>Informativo se le respondio por correo el mismo día</t>
  </si>
  <si>
    <t>6cdb2530-LATAM-LP</t>
  </si>
  <si>
    <t>20/05/2026 12:23</t>
  </si>
  <si>
    <t>Hola, Melany: Esperamos que te encuentres muy bien. Muchas gracias por comunicarte con nosotros y por hacernos llegar tu consulta. Respecto a tu duda sobre el depósito en tu tarjeta Edenred, te informamos que hemos revisado tu estado y se evidencia que desde el pasado 1 de abril diste inicio a tu periodo de licencia por maternidad. Por tal motivo durante el transcurso de dicha licencia no se contempla la asignación ni el pago por los conceptos de vales de alimentación. Agradecemos mucho tu comprensión y quedamos a tu disposición si tienes alguna otra consulta sobre tus procesos de soporte. Saludos cordiales,</t>
  </si>
  <si>
    <t>b17f0574-LATAM-LP</t>
  </si>
  <si>
    <t>20/05/2026 12:24</t>
  </si>
  <si>
    <t>Estimados buenos días , el día 23 de abril realicé una consulta sobre mi línea de tiempo para el regreso a mis funciones y aún no recibo respuesta, ya completé los datos de nacimiento de mi bebe y periodo de licencia en el formulario que me enviaron , solicito su apoyo para poder organizarme , gracias .</t>
  </si>
  <si>
    <t>Hola, Melany: Esperamos que te encuentres muy bien. En primer lugar, te pedimos una sincera disculpa por el tiempo transcurrido sin recibir una actualización de nuestra parte. Respecto a tu consulta sobre la línea de tiempo para el regreso a tus funciones, te informamos que ya contamos con los datos que registraste en el formulario sobre el nacimiento de tu bebé y tu periodo de licencia. Queremos comentarte que la planificación detallada de tu retorno se te estará enviando durante la quincena de junio. Esto se debe a que en dicho mes se estructuran y programan de forma definitiva las actividades de capacitación obligatorias que corresponden ejecutarse en julio, las cuales son indispensables para tu reincorporación. Agradecemos mucho tu paciencia y colaboración en este proceso. Saludos cordiales,</t>
  </si>
  <si>
    <t>f372397a-LATAM-LP</t>
  </si>
  <si>
    <t>08/06/2026 12:29</t>
  </si>
  <si>
    <t>El día de hoy 8/06/26 tenía programada mi Linecheck con Javier Zapata, al presentarme en la sala para el vuelo la2013, nos percatamos que en el nimbusque Javier ya no aparecía. Quisiera hacerles la consulta de cuando me podrían reprogramar el chequeo de competencia Airbus ya que este mes me venzo.</t>
  </si>
  <si>
    <t>¡Gracias por la información! Te informamos que, dado que tu mes base es julio y según lo establecido en la RAP 63, esta actividad puede ser programada dentro de un período de elegibilidad que comprende 30 días antes, durante y después de tu mes base. Por lo tanto, tu verificación de competencia podrá ser agendada tanto en junio como en agosto,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</si>
  <si>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2f8c1993-LATAM-LP</t>
  </si>
  <si>
    <t>21/05/2026 11:35</t>
  </si>
  <si>
    <t>El 28 de mayo se cumple los 6 meses post tratamiento me informaron que vuelva a contactarme para volverme a realizar la evaluación.</t>
  </si>
  <si>
    <t>Hola, Rosa: Esperamos que te encuentres muy bien. Muchas gracias por comunicarte con nosotros y por informarnos sobre el cumplimiento de tu periodo post-tratamiento de forma oportuna. Respecto a tu consulta, te informamos que nuestro equipo se encuentra revisando la disponibilidad de cupos y agendas con el área encargada. Hemos procedido a levantar la solicitud para gestionar tu evaluación médica a la brevedad posible, de acuerdo con la holgura y los espacios que se tengan habilitados. Te sugerimos mantenerte muy atenta a tu correo electrónico corporativo, medio por el cual te estaremos notificando apenas tengamos los detalles de la asignación de tu cita. Esperamos haberte ayudado. Saludos cordiales,</t>
  </si>
  <si>
    <t>0a5b71f5-LATAM-LP</t>
  </si>
  <si>
    <t>21/05/2026 18:49</t>
  </si>
  <si>
    <t>Buenas tardes, el motivo de mi consulta es porque hace aproximadamente 3 semanas rendí mi examen para apto médico y médico ocupacional. Ya he recibido los resultados para el examen médico ocupacional. Sin embargo no he tenido noticias acerca de mi apto médico hasta la fecha. Algunos compañeros me indican que ya lo tienen y me preguntaba si podrían darme información acerca de mi apto medicoy dónde podría recogerlo. Muchas gracias. Saludos.</t>
  </si>
  <si>
    <t>Hola, Abel: Esperamos que te encuentres muy bien. Muchas gracias por comunicarte con nosotros y por hacernos llegar tu consulta para poder revisar tu estado. Respecto a tu solicitud sobre el certificado de aptitud médica, te informamos que los tiempos de procesamiento y visación de estos documentos regulatorios pueden variar en cada caso. Actualmente, nos encontramos a la espera de la emisión del documento correspondiente por parte del área encargada. Queremos darte la tranquilidad de que nos mantenemos monitoreando el estado de tus habilitaciones y, en cuanto el certificado sea emitido y cargado en nuestros sistemas, te estaremos notificando de manera inmediata por este mismo medio Agradecemos mucho tu paciencia y el seguimiento preventivo a tus documentos. Saludos cordiales,</t>
  </si>
  <si>
    <t>d39438cd-LATAM-LP</t>
  </si>
  <si>
    <t>22/05/2026 09:05</t>
  </si>
  <si>
    <t>ED99</t>
  </si>
  <si>
    <t>Hola, Ingrid: Esperamos que te encuentres muy bien. Muchas gracias por comunicarte con nosotros y por hacernos llegar tu consulta para revisar tu liquidación. Respecto a tu reclamo sobre el monto abonado en tu último depósito de variables, te informamos que hemos procedido a verificar el estado de tus registros. Durante el mes de abril registraste 3 Descansos Médicos (DMs), con lo cual sumaste un total de 6 DMs en lo que va del año; debido a esto, bajo la política vigente, te corresponde la asignación del 10% del bono de cumplimiento de rol. Asimismo, te informamos que en dicho periodo no contaste con eventos por demoras ni afectaciones a tus días libres. Por otro lado, te comentamos que actualmente no contamos con un reporte registrado a tu nombre por concepto de Operación NB. En caso de que desees realizar una consulta específica sobre este beneficio en particular, te sugerimos gestionarla directamente con Osmar.neves@latam.com para su revisión. Esperamos que este detalle te ayude a esclarecer los conceptos de tu pago. Saludos cordiales,</t>
  </si>
  <si>
    <t>94ac48f8-LATAM-LP</t>
  </si>
  <si>
    <t>22/05/2026 13:20</t>
  </si>
  <si>
    <t>Buenas tardes, me comentó un Capitán tiene una observación con respecto a mi apto médico. Debido a un descanso médico prolongado fue renovado en marzo. Quisiera saber si los nuevos datos se encuentran correctos en su sistema o de lo contrario actualizarlo con los nuevos datos. Muchas gracias</t>
  </si>
  <si>
    <t>Hola, Francis: Esperamos que te encuentres muy bien. Muchas gracias por comunicarte con nosotros y por hacernos llegar tu consulta de manera preventiva. Respecto a tu solicitud de verificación, te informamos que hemos procedido a revisar tu historial dentro de nuestros sistemas y actualmente figura registrado de forma correcta tu último apto médico correspondiente al mes de marzo. Por lo tanto, tu información se encuentra al día y alineada con tu última renovación posterior al periodo de descanso médico. Esperamos haberte ayudado!</t>
  </si>
  <si>
    <t>a787a197-LATAM-LP</t>
  </si>
  <si>
    <t>22/05/2026 14:34</t>
  </si>
  <si>
    <t>Buenas tardes escribo para consultar acerca de mi apto medico programado el 01 de junio en la clinica del trabajador , tengo entendido y he averiguado que a los tripulantes que no cumplen con la medida de vista establecida por la rap les solicitan dispensa medica y esto implica que te den el apto medico por 1 año , siendo este mi caso ( uso de correctores permanentes) el cual me perjudica ya que es un gasto bastante fuerte y me correspondería pasar apto medico cada 3 años como es lo usual , tengo entendido que esta “política” es de la misma clinica y no por alguna regulación aeronautica , quisiera saber si cabe la posibilidad de poder pasar mi apto medico en otra clinica que no me perjudique.</t>
  </si>
  <si>
    <t>Hola, Katia: Esperamos que te encuentres muy bien. Muchas gracias por comunicarte con nosotros y por hacernos llegar tus dudas respecto a tu próxima evaluación médica. Respecto a tu consulta, te informamos que todos los centros médicos ocupacionales y aeronáuticos autorizados por la compañía se rigen estrictamente bajo los lineamientos, parámetros y requisitos establecidos en la RAP (Regulación Aeronáutica Peruana). Los criterios de evaluación visual y la solicitud de dispensas médicas no constituyen una política interna o arbitraria de la clínica, sino el cumplimiento obligatorio de la normativa aeronáutica vigente para certificar las licencias del personal técnico. Debido a esto, te comentamos que no contamos con opciones de clínicas alternativas que apliquen excepciones a lo estipulado por la ley, ya que todos los centros acreditados deben calificar bajo el mismo estándar legal. En caso de que consideres que existe alguna inconsistencia técnica en la interpretación o aplicación de la norma por parte del centro evaluador, es un aspecto que deberás canalizar y levantar directamente ante la DGAC (Dirección General de Aeronáutica Civil) como autoridad competente. Agradecemos tu compromiso con el cumplimiento de tus actividades regulatorias programadas para este 1 de junio. Saludos cordiales,</t>
  </si>
  <si>
    <t>abe1130c-LATAM-LP</t>
  </si>
  <si>
    <t>23/05/2026 00:55</t>
  </si>
  <si>
    <t>Vacaciones segundo semestre. Buenas noches yo había solicitado todo el mes de julio pues tengo un viaje, tengo 31 días y calza perfecto, hay un gab del 8 al 15 de julio, podrían verificarlo por favor, en caso falte solicitaría adicionales, pero especifica que tengo 31 días, les agradezco. Adjunto bloques solicitados.</t>
  </si>
  <si>
    <t>Gracias por tu mensaje! Te comentamos que la asignación de vacaciones se realiza en base a cupos disponibles y ranking escalafón. Además, te informamos que, para solicitar un intercambio, o pedido adicional de vacaciones prepublicadas (diciembre), debes hacerlo a través del formulario: Pedido, Cesión e Intercambio de Vacaciones SAB LP 2026-01. Puedes acceder al formulario mediante el siguiente link: https://docs.google.com/forms/d/e/1FAIpQLSdmXt-iSndWo5_kb3Bithorzgp7OTZOBAa-lYgrbwGZuQBVcw/viewform</t>
  </si>
  <si>
    <t>533d9538-LATAM-LP</t>
  </si>
  <si>
    <t>23/05/2026 04:51</t>
  </si>
  <si>
    <t>Buenos dias , al momento de ingresar mi solicitud de vacaciones cometí un error , ingrese setiembre y el mes correcto es noviembre, necesito salir de vacaciones del 16 de noviembre al 30 de noviembre, por error coloque setiembre. Hay la posibilidad de poder hacer el ajuste ? Quedo atento a su respuesta, gracias</t>
  </si>
  <si>
    <t>Gracias por tu mensaje! Te comentamos que, para solicitar un intercambio, o pedido adicional de vacaciones prepublicadas (noviembre), debes hacerlo a través del formulario: Pedido, Cesión e Intercambio de Vacaciones SAB LP 2026-02. Puedes acceder al formulario mediante el siguiente link: https://docs.google.com/forms/d/e/1FAIpQLSdmXt-iSndWo5_kb3Bithorzgp7OTZOBAa-lYgrbwGZuQBVcw/viewform</t>
  </si>
  <si>
    <t>b29f5f96-LATAM-LP</t>
  </si>
  <si>
    <t>23/05/2026 05:13</t>
  </si>
  <si>
    <t>Buenos días. Quería consultar acerca de la pre publicación de vacaciones 2026-2 tenia 15 días y solo se pre publicó 7 días del 1 al 7 julio pero no se me entregó fecha de los 8 días restantes. Quisiera saber si acerca de la fecha o si no me corresponde.</t>
  </si>
  <si>
    <t>Gracias por la información! Te comentamos que debes considerar lo indicado en el correo enviado el 26 de mayo que se llama: "Fe de Erratas: Hendry, te enviamos la pre publicación de tus vacaciones SAB LP 2026-02 (JUL-DIC)" Esperamos haberte ayudado!</t>
  </si>
  <si>
    <t>c934ae48-LATAM-LP</t>
  </si>
  <si>
    <t>23/05/2026 06:43</t>
  </si>
  <si>
    <t>Hola muy buenos días. Tengo una consulta referente a mis vacaciones del segundo semestre 2026-2. En la solicitud de vacaciones solo indique salir una semana de vacaciones en Noviembre este semestre para poder usar la semana restante en el primer semestre del próximo año. Mi fecha de vencimiento son todos los 01 de junio y tengo 18 días de vacaciones pendientes. Me pusieron 02 semanas en Noviembre y solo deseo la primera semana de noviembre de vacaciones. Que debo hacer para cancelar mi otra semana que es la última semana de noviembre y guardarla para el próximo semestre ya que aún no tendría vencimiento de vacaciones. Tengo la primera semana de noviembre y la última semana de noviembre de vacaciones. Muchas gracias por su atención y saludos cordiales muy buenos días.</t>
  </si>
  <si>
    <t>Hola, Juan Luis: Esperamos que te encuentres muy bien. Muchas gracias por comunicarte con nosotros y por detallarnos tu situación para poder orientarte correctamente. Respecto a tu consulta sobre el periodo de vacaciones del segundo semestre (2026-2), te informamos que sí es factible postergar el bloque que tienes asignado del 23 al 30 de noviembre para el siguiente periodo, considerando tu fecha de vencimiento. Sin embargo, debido a que dicha programación ya se encuentra establecida en base a cupos disponibles y escalafón será necesario que gestiones un intercambio o cesión de vacaciones con un compañero que pertenezca a tu misma categoría de Tripulante de Cabina (TC). Puedes registrar la solicitud completando el formulario oficial a través del siguiente enlace: https://docs.google.com/forms/d/e/1FAIpQLSdmXt-iSndWo5_kb3Bithorzgp7OTZOBAa-lYgrbwGZuQBVcw/viewform Esperamos que esta información te sea de gran utilidad para realizar tu gestión de manera oportuna. Saludos cordiales,</t>
  </si>
  <si>
    <t>65a4bcbb-LATAM-LP</t>
  </si>
  <si>
    <t>23/05/2026 07:12</t>
  </si>
  <si>
    <t>Estimados buenos días , quería hacer una consulta lo que pasa que llegó la prepublicacion de vacaciones del segundo semestre del año yo había solicitado dos fechas del 8 al 15 de julio y del 24 al 31 cual solo me enviaron. El segundo y quería saber si es por el tema que no hay disponibilidad ? , al ver eso hice mi pedido adicional Porsiacaso ahora quizás lo pueda. Ver ya que es la primera vez que me pasa y solo me dieron 8 días y me faltarían más entonces yo quería saber eso agradecería su respuesta que tengan buen día Adjunto la solicitud</t>
  </si>
  <si>
    <t>Gracias por la información! Te comentamos que debes considerar lo indicado en el correo enviado el 26 de mayo que se llama: "Fe de Erratas: Rocio, te enviamos la pre publicación de tus vacaciones SAB LP 2026-02 (JUL-DIC)" Esperamos haberte ayudado!</t>
  </si>
  <si>
    <t>638aa10a-LATAM-LP</t>
  </si>
  <si>
    <t>23/05/2026 08:16</t>
  </si>
  <si>
    <t>Hola, Elizabeth: Esperamos que te encuentres muy bien. Muchas gracias por comunicarte con nosotros y por hacernos llegar tu consulta para verificar tu estado en el sistema. Respecto a tu requerimiento sobre la notificación de vacaciones prepublicadas para el segundo semestre, te informamos que hemos procedido a revisar tus registros detalladamente. Al respecto, te comentamos que el pasado 16 de abril se te envió una comunicación indicando que actualmente no cuentas con bolsa de vacaciones disponible para este periodo. Quedamos a tu disposición en caso de que tengas alguna duda adicional sobre tus saldos. Saludos cordiales,</t>
  </si>
  <si>
    <t>fd232968-LATAM-LP</t>
  </si>
  <si>
    <t>23/05/2026 08:17</t>
  </si>
  <si>
    <t>No me llego el correo de vacaciones pre publicadas para el semestre II, pedí 07 dias del 16 al 22 de noviembre</t>
  </si>
  <si>
    <t>600f4d9d-LATAM-LP</t>
  </si>
  <si>
    <t>23/05/2026 08:38</t>
  </si>
  <si>
    <t>Me faltan 7 días en la preparación publicacion de vacaciones para el año 2026. Yo salí de vacaciones del 16 al 23 de marzo y ahora he recibido el cuadro de las vacaciones pre publicadas pero solo tengo 7 días en agosto y 8 en noviembre 2026 y sumando me faltarían 7 días para completarlos los 30 días correspondientes al año. Muchas gracias. Quedó atenta de sus respuesta.</t>
  </si>
  <si>
    <t>"¡Gracias por la información! Te informamos que, para solicitar vacaciones adicionales debes hacerlo a través del formulario "Pedido, Cesión e Intercambio de Vacaciones LP 2026-02". Puedes acceder al formulario mediante el siguiente link: https://docs.google.com/forms/d/e/1FAIpQLSdmXt-iSndWo5_kb3Bithorzgp7OTZOBAa-lYgrbwGZuQBVcw/viewform Asimismo, te recordamos que la confirmación de tus vacaciones serán notificadas con 30 días de anticipación del inicio de las mismas. Esperamos que la respuesta te haya sido de gran ayuda."</t>
  </si>
  <si>
    <t>282071da-LATAM-LP</t>
  </si>
  <si>
    <t>23/05/2026 08:45</t>
  </si>
  <si>
    <t>Estimados buenos días, yo por vencimiento tenia 13 días antes de octubre, pedí vacaciones la última semana de agosto y la primera de septiembre pero me dieron solo una de esas semanas las de agosto, mi consulta es cuando me darían los días restantes, si pudiesen empalmarlas con las de agosto y así tener en septiembre esos 6 días restantes sería la mejor opción. Adicionalmente pedi la semana del 24 al 31 de diciembre y me dieron las de octubre, quería saber si hubo un error o si es realmente lo que me toca. Agradezco de antemano sus apoyo. Saludos.</t>
  </si>
  <si>
    <t>Hola, Gerónimo: Esperamos que te encuentres muy bien. Muchas gracias por comunicarte con nosotros y por detallarnos tus consultas para poder revisar tu cronograma. Respecto a tu primera consulta sobre los 13 días pendientes por vencimiento, te informamos que, con la finalidad de optimizar tu bloque y cumplir con los plazos regulatorios, dichos días se han consolidado de forma continua dentro del periodo de prepublicación. En ese sentido, tu periodo de descanso ha quedado programado de manera corrida del 19 de agosto al 31 de agosto, completando así la totalidad de tu saldo pendiente. Por otro lado, en relación a tu solicitud para la semana del 24 al 31 de diciembre y la asignación otorgada en el mes de octubre, te comentamos que las programaciones para periodos de alta demanda se encuentran sujetas estrictamente a la disponibilidad de cupos y a las necesidades de cobertura operacional de la compañía. Al haberse completado las vacantes para diciembre en tu categoría, el sistema procedió a asignarte las fechas disponibles dentro del mes de octubre. Esperamos que esta información te sea de gran utilidad para la planificación de tus actividades. Saludos cordiales,</t>
  </si>
  <si>
    <t>e2a406f9-LATAM-LP</t>
  </si>
  <si>
    <t>23/05/2026 09:20</t>
  </si>
  <si>
    <t>Buenos días, pedí no salir de vcaciones el segundo semestre 2026. Veo que tengo vacaciones por vencimiento del 1 al 7 de Julio y está bien. Pero desearia no salir de vacaciones en las otras dos fechas que son del 1 al 7 de septiembre y del 8 al 15 de noviembre. Gracias por su ayuda.</t>
  </si>
  <si>
    <t>"Gracias por tu mensaje! Te comentamos que la asignación de vacaciones se realiza en base a cupos disponibles y ranking escalafón. Además, te informamos que, para solicitar un intercambio, o pedido adicional de vacaciones prepublicadas (septiembre y noviembre), debes hacerlo a través del formulario: Pedido, Cesión e Intercambio de Vacaciones SAB LP 2026-02. Puedes acceder al formulario mediante el siguiente link: https://docs.google.com/forms/d/e/1FAIpQLSdmXt-iSndWo5_kb3Bithorzgp7OTZOBAa-lYgrbwGZuQBVcw/viewform "</t>
  </si>
  <si>
    <t>facd78af-LATAM-LP</t>
  </si>
  <si>
    <t>23/05/2026 10:01</t>
  </si>
  <si>
    <t>Buenos días, el presente correo es para saber como una compañera me puede dar sus vacaciones sin la necesidad de hacer cambio ya que yo no le estoy brindando otras vacaciones, ya que en el link de cambios indica que debo poner una fecha en la que yo le estoy cambiando vacaciones por vacaciones.</t>
  </si>
  <si>
    <t>¡Gracias por la información! Te informamos que, para solicitar un a cesión de vacaciones adicionales debes hacerlo a través del formulario "Pedido, Cesión e Intercambio de Vacaciones LP 2026-02". Puedes acceder al formulario mediante el siguiente link: https://docs.google.com/forms/d/e/1FAIpQLSdmXt-iSndWo5_kb3Bithorzgp7OTZOBAa-lYgrbwGZuQBVcw/viewform Esperamos que la respuesta te haya sido de gran ayuda.</t>
  </si>
  <si>
    <t>e17f480d-LATAM-LP</t>
  </si>
  <si>
    <t>08/06/2026 12:32</t>
  </si>
  <si>
    <t>Buenos días, tenía programado chequeo de competencia el 08/05/26 la 2013 pero el instructor lo sacaron del vuelo y no pudimos realizar el chequeo. Yo me venzo el 30/06/26</t>
  </si>
  <si>
    <t>097ae7d7-LATAM-LP</t>
  </si>
  <si>
    <t>23/05/2026 11:29</t>
  </si>
  <si>
    <t>Hola, Micaela: Esperamos que te encuentres muy bien. Muchas gracias por comunicarte con nosotros y por hacernos llegar tu consulta para poder revisar tu caso. Al respecto, el pasado 26 de mayo se te remitió una comunicación aclaratoria a tu bandeja de entrada. Te solicitamos cordialmente revisar dicho mensaje, el cual lleva por título: "Fe de Erratas: Micaela, te enviamos la pre publicación de tus vacaciones SAB LP 2026-02 (JUL-DIC)", donde podrás constatar el detalle correcto y el estado de tus periodos asignados para este semestre. Quedamos a tu disposición en caso de que presentes alguna duda adicional luego de revisar la comunicación señalada. Saludos cordiales,</t>
  </si>
  <si>
    <t>23130984-LATAM-LP</t>
  </si>
  <si>
    <t>23/05/2026 10:25</t>
  </si>
  <si>
    <t>Quería saber si existe algún error en la programación de mis vacaciones. Cuando me enviaron el correo de pre publicación se me informó que tenía que salir 11 días antes de mi fecha de vencimiento que es el 11 de octubre, y 10 días después. Por eso justamente pedí los 21 días juntos desde el 1ero de octubre hasta el 21 y así empalmar todo sin problemas. Ahora me envían la programación que me han dado y veo que salgo desde el 8 de octubre al 23. Esto no cumple con la cantidad de días que debería de salir antes de la fecha de vencimiento y además, no me están dando la cantidad de días que se supone tenía en la bolsa (que eran 21), me están dando 16. Podrían por favor revisar el tema. Me preocupa más el que tenga 11 días por vencer y no me las están dando completas de acuerdo al cronograma que me han enviado. Gracias y quedo al pendiente de su respuesta.</t>
  </si>
  <si>
    <t>Hola, Javier: Esperamos que te encuentres muy bien. Muchas gracias por comunicarte con nosotros y por detallarnos tu situación para poder revisar y precisar tu cronograma de vacaciones. Respecto a tu consulta sobre los bloques solicitados para el mes de octubre, te informamos que nuestro equipo ha procedido a revisar y verificar tus registros de bolsa y fechas de vencimiento. Con la finalidad de atender tu solicitud original de gozar tus periodos de manera unificada y asegurar el cumplimiento normativo antes de tu fecha límite (11 de octubre), se ha estructurado tu programación de la siguiente manera: Vacaciones por vencimiento: Quedan programadas del 1 al 10 de octubre, cubriendo de forma correcta los días previos exigidos de tu saldo. Vacaciones prepublicadas: Se programarán de forma continua del 11 al 23 de octubre. Con esta disposición, tus días de descanso se mantendrán unificados de corrido en tu calendario, garantizando el goce íntegro de los días correspondientes a tu bolsa. Te sugerimos mantenerte atento a tus reportes y actualizaciones en el sistema. Esperamos que esta información te brinde total tranquilidad. Saludos cordiales,</t>
  </si>
  <si>
    <t>d8fd8802-LATAM-LP</t>
  </si>
  <si>
    <t>23/05/2026 11:35</t>
  </si>
  <si>
    <t>"Hola, Salvatore: Esperamos que te encuentres muy bien. Muchas gracias por comunicarte con nosotros y por hacernos llegar tu consulta para poder revisar tu caso. Al respecto, el pasado 26 de mayo se te remitió una comunicación aclaratoria a tu bandeja de entrada. Te solicitamos cordialmente revisar dicho mensaje, el cual lleva por título: ""Fe de Erratas: Salvatore, te enviamos la pre publicación de tus vacaciones SAB LP 2026-02 (JUL-DIC)"", donde podrás constatar el detalle correcto y el estado de tus periodos asignados para este semestre. Quedamos a tu disposición en caso de que presentes alguna duda adicional luego de revisar la comunicación señalada. Saludos cordiales,"</t>
  </si>
  <si>
    <t>523f147c-LATAM-LP</t>
  </si>
  <si>
    <t>23/05/2026 12:54</t>
  </si>
  <si>
    <t>52d44c2c-LATAM-LP</t>
  </si>
  <si>
    <t>23/05/2026 12:56</t>
  </si>
  <si>
    <t>Buenos días. Esperando se encuentren bien. Disculpen mi consulta anterior se envió incompleta. Por este medio deseo solicitar la anulación de mis vacaciones prepublicadas de noviembre 2026, del 08 al 15 (no son por vencimiento). Quisiera, en todo caso, guardarlas para otro mes ya que había solicitado en mi pedido salir sólo los 15 días que tenía que salir por vencimiento. Espero mucho su atención y ayuda con este tema estimados. Muchas gracias de antemano!</t>
  </si>
  <si>
    <t>Hola, Daniela: Esperamos que te encuentres bien. Muchas gracias por comunicarte con nosotros y por aclararnos el detalle de tu requerimiento. Respecto a tu solicitud para anular el bloque de vacaciones prepublicadas del 8 al 15 de noviembre, te informamos que, debido a que las programaciones del semestre ya se encuentran estructuradas y publicadas en el sistema para garantizar la cobertura operativa, no es posible realizar cancelaciones directas para reservar los días de manera individual. Para poder liberar o modificar este periodo que no deseas gozar en noviembre, deberás gestionar un proceso de intercambio o cesión de vacaciones con un compañero de tu misma categoría de Tripulante de Cabina (TC). Te recordamos que, para que el cambio pueda ser evaluado, ambos tripulantes deberán ingresar su solicitud de forma individual. Puedes coordinar con tu compañero y registrar el requerimiento completando el formulario oficial a través del siguiente enlace: https://docs.google.com/forms/d/e/1FAIpQLSdmXt-iSndWo5_kb3Bithorzgp7OTZOBAa-lYgrbwGZuQBVcw/viewform Esperamos que esta información te sea de utilidad para realizar tu gestión. Saludos cordiales,</t>
  </si>
  <si>
    <t>aa0b9a08-LATAM-LP</t>
  </si>
  <si>
    <t>24/05/2026 01:29</t>
  </si>
  <si>
    <t>Buenos días, tengo entendido que el correo de pre-publicación de vacaciones para el 2do semestre llegó hace unos días, pero para comentarles que no me ha llegado al correo. Saludos.</t>
  </si>
  <si>
    <t>Hola, Alexandra: Esperamos que te encuentres muy bien. Muchas gracias por comunicarte con nosotros y por hacernos llegar tu consulta para verificar tu estado en el sistema. Respecto a tu requerimiento sobre el correo de prepublicación del segundo semestre, te informamos que debido a tu situación actual, la programación de tus descansos tiene un tratamiento diferenciado. Se tiene contemplado que para tu retorno a la línea se te asignen de forma corrida todas tus vacaciones pendientes, las cuales podrás gozar inmediatamente después de que culmine tu periodo de maternidad. Por otra parte, te comentamos que tu opción de prioridad N°1 no pudo proceder debido a que no se encontraban cupos disponibles para dicha fecha según el escalafón. En caso de que aún desees solicitar salir en el periodo del 16 al 23 de diciembre, te pedimos por favor que lo ingreses como un pedido adicional a través del siguiente enlace, ya que estas fechas no constituyen un bloque especial: https://docs.google.com/forms/d/e/1FAIpQLSdmXt-iSndWo5_kb3Bithorzgp7OTZOBAa-lYgrbwGZuQBVcw/viewform Quedamos a tu entera disposición en caso de que tengas alguna duda adicional sobre este proceso. Saludos cordiales,</t>
  </si>
  <si>
    <t>97e068ee-LATAM-LP</t>
  </si>
  <si>
    <t>24/05/2026 03:56</t>
  </si>
  <si>
    <t>Buenos dias estimados, realice la solicirud de vacaciones de segundo tremestre y no me ha llegado el correo de pre publicacion, quedo atenta, gracias.</t>
  </si>
  <si>
    <t>c11cd0f4-LATAM-LP</t>
  </si>
  <si>
    <t>24/05/2026 14:17</t>
  </si>
  <si>
    <t>Buenas tardes, espero que mi mensaje los encuentre muy bien. El presente mensaje es para comentarles lo siguiente: Hace un par de días me llegó la pre-publicación de vacaciones 2026-II, en donde mis primeras vacaciones son del 01 de Julio al 07 de Julio, sin embargo estas vacaciones se cruzan, según mi PBS, se cruzan con mi curso de REVA que inicia el 30 de Junio y son 4 días, por ende terminaría mi REVA el 03 de Julio estando programadas mis vacaciones. Por favor, revisar las fechas de estas vacaciones. Adjunto mis vacaciones pre publicadas y la programación de REVA en el PBS. Muchas gracias. Saludos</t>
  </si>
  <si>
    <t>Hola, Rosa: Esperamos que te encuentres muy bien. Muchas gracias por comunicarte con nosotros y por adjuntar la información de tu PBS para poder revisar tu caso detalladamente. Respecto a tu consulta sobre el cruce entre tu curso de REVA y el bloque de vacaciones prepublicadas asignado del 1 al 7 de julio, te informamos que hemos procedido a realizar las coordinaciones correspondientes con el área de planificación. Con la finalidad de respetar tu periodo de descanso, se ha procedido a cancelar la programación del curso que coincidía con tus vacaciones en el mes de julio. Asimismo, te comentamos que esta actividad te será reprogramada para futuras fechas, lo cual podrás visualizar oportunamente en tus próximas actualizaciones de rol. Esperamos que esta información te brinde total tranquilidad para el goce de tus días de descanso. Saludos cordiales,</t>
  </si>
  <si>
    <t>af97f84f-LATAM-LP</t>
  </si>
  <si>
    <t>24/05/2026 15:48</t>
  </si>
  <si>
    <t>Buenas tardes, Soy Virginia Vásquez, mi BP es el 04228935. El día de mañana, Lunes 25 tengo programado por rol ME, apto médico y exámen ocupacional. Estaba leyendo los requisitos y el último punto indican de ser mujer y estar en el periodo de menstruación o tener menos de 5 días de terminado este, no se puede rendir el apto médico. Yo me encuentro en este momento en mi periodo de menstruación y no sé si pueda rendir algún exámen, ya que son 2 evaluaciones, apto médico y exámen médico ocupacional. Mi apto médico vence en Junio, cómo debo proceder? Quedo atenta a su gentil respuesta. Saludos, Virginia</t>
  </si>
  <si>
    <t>Hola, Virginia: Esperamos que te encuentres muy bien. Muchas gracias por comunicarte con nosotros. Respecto a la consulta que nos habías enviado sobre la programación por rol de tu apto médico y examen ocupacional, hemos procedido a verificar el estado de tus evaluaciones en el sistema. Al respecto, vemos que finalmente sí asististe a las citas programadas; sin embargo, nos figura que has quedado en condición de observada en la especialidad de otorrino. Por este motivo, te pedimos por favor que coordines directamente con la clínica para realizar los exámenes de subsanación que correspondan, ya que estamos a la espera de que el centro médico nos reporte el levantamiento de dicha observación para poder registrar tu apto de forma correcta antes de su vencimiento en junio. Te sugerimos mantenerte muy atenta a tus próximas programaciones y avanzar con este trámite a la brevedad. Saludos cordiales,</t>
  </si>
  <si>
    <t>ba46d658-LATAM-LP</t>
  </si>
  <si>
    <t>24/05/2026 20:21</t>
  </si>
  <si>
    <t>Reprogramación apto medico</t>
  </si>
  <si>
    <t>85ef1701-LATAM-LP</t>
  </si>
  <si>
    <t>24/05/2026 20:33</t>
  </si>
  <si>
    <t>Reprogramación apto medico: buenas noches, según las indicaciones de la clínica no debo asistir estando con mi período, el cual me acaba de venir hoy 24 en la noche, lamentablemente tuve un retraso y ha coincidido con mi día de apto medico. Quisiera poder reprogramarlo y como se procede en este caso. Quedo atenta.</t>
  </si>
  <si>
    <t>Hola, Joyce: Esperamos que te encuentres muy bien. Muchas gracias por comunicarte con nosotros y por informarnos de manera oportuna sobre tu situación para tomar las previsiones del caso. Respecto a tu solicitud, te informamos que ya te tenemos considerada para realizar la reprogramación de tu cita médica, debido a la indicación preventiva del centro de salud. Nuestro equipo se encuentra gestionando tu nueva fecha de evaluación tomando en cuenta que tu apto actual tiene vencimiento el 31 de julio. Te pedimos mantenerte atenta a tus próximas comunicaciones y actualizaciones en el sistema, donde te estaremos notificando los detalles de tu nueva cita. Esperamos que esta información te brinde total tranquilidad. Saludos cordiales,</t>
  </si>
  <si>
    <t>9ca35089-LATAM-LP</t>
  </si>
  <si>
    <t>25/05/2026 10:33</t>
  </si>
  <si>
    <t>Una compañera me esta cediendo su semana de vacaciones (24/08 al 31/08) que era mi Prioridad 1 al hacer mi solicitud de vacaciones. Yo ya tengo 3 semanas como tal por lo que también le cederé a otra compañera una de mis semanas de vacaciones para el igual seguir teniendo 3 semanas de vacaciones y no tener de más. Quería asegurarme de que si se podría o yo podría tener 4 semanas. Muchas gracias</t>
  </si>
  <si>
    <t>Hola, Cayetana: Esperamos que te encuentres muy bien. Muchas gracias por comunicarte con nosotros y por detallarnos tu consulta para poder orientarte correctamente en tu programación. Respecto a tu requerimiento, te informamos que la posibilidad de acumular o mantener un total de 4 semanas de vacaciones en el periodo depende estrictamente del saldo y de la bolsa de vacaciones disponible que tengas registrada en tu cuenta individual. Por otro lado, en relación al cambio que mencionas, al tratarse de una dinámica que involucra una cesión entre tres personas (un compañero te cede un bloque y tú le cedes otra semana a un compañero distinto), será necesario que todos los tripulantes implicados ingresen sus solicitudes de manera individual a través del canal oficial. De esta forma, el área de planificación podrá evaluar la factibilidad operativa del requerimiento en cadena. Puedes coordinar con tus compañeros y registrar la solicitud completando el formulario a través del siguiente enlace: https://docs.google.com/forms/d/e/1FAIpQLSdmXt-iSndWo5_kb3Bithorzgp7OTZOBAa-lYgrbwGZuQBVcw/viewform Esperamos que esta información te sea de gran utilidad para realizar tu gestión. Saludos cordiales,</t>
  </si>
  <si>
    <t>3ee48159-LATAM-LP</t>
  </si>
  <si>
    <t>25/05/2026 11:13</t>
  </si>
  <si>
    <t>Buenos estimados, el año pasado tuve apto medico, pero nunca me llego el apto en físico, yo tengo mi apto físico que solo tiene vigencia hasta el 31 del presente mes, por favor, podrían decirme donde recoger el nuevo apto. Muchas gracias.</t>
  </si>
  <si>
    <t>Hola, Joana: Esperamos que te encuentres muy bien. Muchas gracias por comunicarte con nosotros y por hacernos llegar tu consulta para verificar el estado de tus documentos. Al respecto, contamos con el reporte de que tu último apto médico fue enviado el 16 de septiembre y figura como recogido por tu persona el pasado 23 de septiembre del 2025 Con la finalidad de revisar detalladamente qué documento posees actualmente y poder brindarte una solución clara frente al vencimiento que nos mencionas, te pedimos por favor que nos envíes una fotografía del apto físico con el que cuentas en este momento a través de una nueva consulta. De esta manera, podremos validar la información junto con el equipo encargado. Quedamos muy atentos a tu próximo mensaje para poder ayudarte a la brevedad. Saludos cordiales,</t>
  </si>
  <si>
    <t>b864f3c6-LATAM-LP</t>
  </si>
  <si>
    <t>25/05/2026 11:15</t>
  </si>
  <si>
    <t>Buenos dias estimados, perdi mi reva por estar con licencia por luto, podrían decirme cuando tendría la reva. Muchas gracias</t>
  </si>
  <si>
    <t>dcbacbb3-LATAM-LP</t>
  </si>
  <si>
    <t>08/06/2026 12:50</t>
  </si>
  <si>
    <t>Line check pendiente, el día de hoy tenia programado el linecheck,sin embargo, el instructor programado no subió al vuelo, quedó pendiente de la reprogramacion</t>
  </si>
  <si>
    <t>17b1698c-LATAM-LP</t>
  </si>
  <si>
    <t>09/06/2026 17:30</t>
  </si>
  <si>
    <t>Cancelación de line Check en Boeing</t>
  </si>
  <si>
    <t>412c7929-LATAM-LP</t>
  </si>
  <si>
    <t>25/05/2026 13:46</t>
  </si>
  <si>
    <t>La consulta es porque tenía 20 días de vacaciones por vencer, hasta mayo, y me dieron 15 días este semestre, no deberían ser 22 días, los 5 días que quedan se programarán para el semestre 2027 o para ese semestre tendré otras vacaciones? Gracias</t>
  </si>
  <si>
    <t>Hola, Luz: Esperamos que te encuentres muy bien. Muchas gracias por comunicarte con nosotros y por detallarnos tu consulta para poder revisar tu saldo de vacaciones. Respecto a tu requerimiento sobre los 5 días restantes, te informamos que, al no calificar como vacaciones por vencimiento obligatorio para este periodo, dichos días retornan de manera automática a tu bolsa general de vacaciones para que puedas disponer de ellos más adelante. En caso de que desees gozar de esos 5 días adicionales dentro del presente semestre, te comentamos que puedes realizar la solicitud ingresando tu requerimiento como un pedido adicional a través del formulario oficial en el siguiente enlace: https://docs.google.com/forms/d/e/1FAIpQLSdmXt-iSndWo5_kb3Bithorzgp7OTZOBAa-lYgrbwGZuQBVcw/viewform Quedamos a tu entera disposición en caso de que tengas alguna duda adicional sobre tus saldos. Saludos cordiales,</t>
  </si>
  <si>
    <t>4045e51e-LATAM-LP</t>
  </si>
  <si>
    <t>25/05/2026 13:15</t>
  </si>
  <si>
    <t>No he recibido correo de la pre publicacion de mis vacaciones para el segundo semestre, las cuales han sido enviadas el viernes 22 del pte mes, pero a mi no me ha llegado nada.</t>
  </si>
  <si>
    <t>Hola, Maury: Esperamos que te encuentres muy bien. Muchas gracias por comunicarte con nosotros y por hacernos llegar tu consulta para verificar tu estado en el sistema. Respecto a tu requerimiento sobre la prepublicación de vacaciones para el segundo semestre, te informamos que al momento de realizar el corte para la programación de este periodo, figurabas registrada en el sistema bajo la condición de Descanso Médico Prolongado (DMP). Por este motivo, el sistema no generó una asignación automática ni el envío del correo informativo. Al revisar tus registros detalladamente, encontramos que cuentas con un saldo de 18 días pendientes por vencer antes del 18 de noviembre. En ese sentido, una vez que presentes tu correspondiente alta médica, podrás ingresar la solicitud para gozar de tus vacaciones pendientes realizando un pedido adicional a través del siguiente enlace oficial: https://docs.google.com/forms/d/e/1FAIpQLSdmXt-iSndWo5_kb3Bithorzgp7OTZOBAa-lYgrbwGZuQBVcw/viewform Quedamos a tu entera disposición en caso de que tengas alguna duda adicional sobre tus saldos o el proceso. Saludos cordiales,</t>
  </si>
  <si>
    <t>8403e06d-LATAM-LP</t>
  </si>
  <si>
    <t>09/06/2026 21:56</t>
  </si>
  <si>
    <t>Buenas noches quisiera consultar acerca de mi linecheck ya que lo perdí en este mes por mal tiempo.y quisiera que se me haga la prórroga y se me programe mi chequeo , muchas gracias de antemano.</t>
  </si>
  <si>
    <t>c3ab4e1f-LATAM-LP</t>
  </si>
  <si>
    <t>25/05/2026 13:34</t>
  </si>
  <si>
    <t>Buen día, una consulta soy tripulante y por convenio nos corresponde un vale por espera 1h 45 min que es cargada al endered debemos cargarlo en el formulario o solo son para esperas no programadas?</t>
  </si>
  <si>
    <t>Hola, Sandra: Esperamos que te encuentres muy bien. Muchas gracias por comunicarte con nosotros para resolver tus dudas respecto al registro de tus beneficios por convenio. Respecto a tu consulta sobre los vales por espera mayor a 1 hora y 45 minutos, te informamos que el procedimiento varía dependiendo del lugar donde ocurra la demora: En el aeropuerto de Lima: No es necesario que realices ningún registro en el formulario, ya que el equipo de Soporte se encarga de validar y cargar esta información de manera directa. Ten en cuenta que si esta demora ocurre en tu vuelo inicial, puedes solicitar el vale de alimentación correspondiente directamente en la base. Fuera de Lima: Si la demora se presenta en un aeropuerto fuera de Lima y no te encuentras dentro del avión, sí deberás registrar esta actividad a través de la aplicación OSSA para que el área encargada pueda validar la situación y otorgarte la bonificación correspondiente. Esperamos que esta información te aclare el panorama para tus próximos vuelos. Quedamos a tu entera disposición si tienes alguna otra consulta. Saludos cordiales,</t>
  </si>
  <si>
    <t>33f185b5-LATAM-LP</t>
  </si>
  <si>
    <t>25/05/2026 13:41</t>
  </si>
  <si>
    <t>Me gustaría saber de que son esos 4 días de curso en el mes de Junio, si yo ya no estoy debiendo ninguno, ya que tuve mi curso de revalidacion de licencia airbus y Boeing satisfactoria en este mes de mayo.</t>
  </si>
  <si>
    <t>68f35051-LATAM-LP</t>
  </si>
  <si>
    <t>25/05/2026 13:49</t>
  </si>
  <si>
    <t>Estimados, Espero se encuentren muy bien. Quisiera realizar una consulta respecto a mi estado actual en sistema, ya que al revisar mi programación del mes de junio aún figura la condición MHC, pese a que ya cuento con el apto médico correspondiente y me encuentro habilitado para retomar mis funciones de vuelo con normalidad. Entiendo que los procesos de actualización pueden tomar algún tiempo; sin embargo, quisiera confirmar si esta condición pendiente podría influir en mi programación o en la asignación de vuelos y actividades para el próximo mes. Agradecería mucho si pudieran apoyarme verificando esta información y, de ser posible, actualizar el estado correspondiente en sistema para evitar cualquier inconveniente operativo o modificación involuntaria en mi roster. Quedo atento a cualquier información adicional que requieran de mi parte y agradezco de antemano su apoyo y gestión. Saludos cordiales, Giancarlo Echenique García</t>
  </si>
  <si>
    <t>Hola, Giancarlo: Esperamos que te encuentres muy bien. Muchas gracias por comunicarte con nosotros y por detallarnos tu consulta respecto a la visualización de tu programación para el mes de junio. Al respecto, te informamos que el proceso de asignación de vuelos se realiza de manera gradual en el sistema una vez que se registra la habilitación correspondiente. Por este motivo, las jornadas que actualmente visualizas bajo la condición MHC serán reemplazadas progresivamente por tus vuelos y actividades asignadas para este periodo. Te sugerimos mantenerte atento a las próximas actualizaciones en tu cronograma para que puedas visualizar tus funciones asignadas. Quedamos a tu entera disposición en caso de que tengas alguna duda adicional. Saludos cordiales,</t>
  </si>
  <si>
    <t>2f2f73ab-LATAM-LP</t>
  </si>
  <si>
    <t>25/05/2026 13:56</t>
  </si>
  <si>
    <t>2ebe9829-LATAM-LP</t>
  </si>
  <si>
    <t>25/05/2026 14:56</t>
  </si>
  <si>
    <t>Buenas tardes, te saluda Joel Salazar BP:2980166. Yo tenía programada mi Reva esta semana del 25 al 28 de Mayo pero el viernes que era mi quinto día de mi 5x2 aterrizamos pasada la medianoche del sábado por lo que me pusieron 6x4 y por consiguiente me retiraron la REVA. La fecha de vencimiento de mi REVA es el 30 de Junio. Dado que el rol de Junio ya fue enviado y no tenga REVA, entiendo que se me va aplicar la prórroga y me tendrían que poner la REVA en Julio. Solo quería informar para que lo tengan en consideración para el rol de Julio. Gracias, slds</t>
  </si>
  <si>
    <t>Hola, Joel: Esperamos que te encuentres muy bien. Muchas gracias por comunicarte con nosotros y por informarnos detalladamente sobre la modificación en tus descansos debido a la contingencia en tu último vuelo. Respecto a tu consulta, te informamos que tu análisis es totalmente correcto. Al haberse retirado el curso de REVA de tu programación de mayo por temas regulatorios y al estar el mes de junio ya estructurado, el equipo de roles tiene contemplado realizar la reprogramación de esta actividad para el mes de julio bajo la modalidad de prórroga. Agradecemos mucho tu proactividad al enviarnos este aviso, el cual ya se encuentra registrado para ser tomado en consideración en el diseño del rol de julio. Te sugerimos mantenerte atento a tus próximas actualizaciones. Saludos cordiales,</t>
  </si>
  <si>
    <t>98454fa9-LATAM-LP</t>
  </si>
  <si>
    <t>25/05/2026 15:22</t>
  </si>
  <si>
    <t>Quisiera realizar una consulta respecto a mi rol de junio. He observado que tengo asignados cuatro días de RTI (training), y quería consultar a qué corresponde dicha asignación, ya que Reva lo realicé a inicios de este mes. Agradecería mucho su apoyo con la validación de esta programación. Muchas gracias.</t>
  </si>
  <si>
    <t>Hola, Johana: Esperamos que te encuentres muy bien. Muchas gracias por comunicarte con nosotros y por informarnos detalladamente sobre la revisión de tus cronogramas. Respecto a tu consulta sobre los cuatro días de RTI que visualizas en tu rol de junio, te informamos que tu observación es totalmente correcta. Debido a que ya realizaste tu curso de REVA a inicios de este mes, no corresponde mantener dicha programación, por lo que el equipo encargado procederá a realizar el retiro de la asignación. Saludos cordiales,</t>
  </si>
  <si>
    <t>c0d5ea92-LATAM-LP</t>
  </si>
  <si>
    <t>25/05/2026 23:33</t>
  </si>
  <si>
    <t>Hola, me gustaría saber porque solo me han dado 1 semana de vacaciones en el correo de pre publicación de vacaciones, cuando en el correo de solicitud de vacaciones de abril sale que tengo 17 días de vacaciones. Pedí la semana del 8 al 15 de julio, pero no me la han dado.</t>
  </si>
  <si>
    <t>Hola, Carla: Esperamos que te encuentres muy bien. Muchas gracias por comunicarte con nosotros y por hacernos llegar tu consulta para poder revisar tu caso. Al respecto, el pasado 26 de mayo se te remitió una comunicación aclaratoria a tu bandeja de entrada. Te solicitamos cordialmente revisar dicho mensaje, el cual lleva por título: "Fe de Erratas: Carla, te enviamos la pre publicación de tus vacaciones SAB LP 2026-02 (JUL-DIC)", donde podrás constatar el detalle correcto y el estado de tus periodos asignados para este semestre. Quedamos a tu disposición en caso de que presentes alguna duda adicional luego de revisar la comunicación señalada. Saludos cordiales,</t>
  </si>
  <si>
    <t>353b20c5-LATAM-LP</t>
  </si>
  <si>
    <t>25/05/2026 23:55</t>
  </si>
  <si>
    <t>Hola, Carla: Esperamos que te encuentres muy bien. Muchas gracias por comunicarte con nosotros y por hacernos llegar tu consulta para verificar tu estado en el sistema. Respecto a tu requerimiento sobre la prepublicación de vacaciones para el segundo semestre, te informamos que al momento de realizar el corte para la programación de este periodo, figurabas registrada en el sistema bajo la condición de embarazada (LP). Por este motivo, el sistema no generó una asignación automática ni el envío del correo informativo. Dado que lamentablemente se ha interrumpido tu embarazo, el flujo correcto para salir de vacaciones en el segundo semestre es mediante un pedido adicional de vacaciones a través del siguiente enlace oficial: https://docs.google.com/forms/d/e/1FAIpQLSdmXt-iSndWo5_kb3Bithorzgp7OTZOBAa-lYgrbwGZuQBVcw/viewform Quedamos a tu entera disposición en caso de que tengas alguna duda adicional sobre tus saldos o el proceso. Saludos cordiales,</t>
  </si>
  <si>
    <t>61499a38-LATAM-LP</t>
  </si>
  <si>
    <t>01/06/2026 11:22</t>
  </si>
  <si>
    <t>ac87a21a-LATAM-LP</t>
  </si>
  <si>
    <t>26/05/2026 13:10</t>
  </si>
  <si>
    <t>Buenas tardes, les escribo ya que de acuerdo a la prepublicacion de vacaciones( imagen adjunta), debia pedir 7 dias antes de mi vencimiento los cuales fueron otorgados; y 13 dias posterior al vencimiento de los cuales solo cuento con 7 dias en octubre. Quisiera saber cuando si los 6 dias faltantes se tomara en el segundo semestre. Quedo atento. Saludos.</t>
  </si>
  <si>
    <t>Hola, Carlos: Esperamos que te encuentres muy bien. Muchas gracias por comunicarte con nosotros y por hacernos llegar tu consulta para verificar tu estado en el sistema. Respecto a tu requerimiento sobre la prepublicación de vacaciones para el segundo semestre, te informamos que en esta etapa únicamente se "publican" bloques de 7 u 8 días de vacaciones. En cuanto al saldo pendiente de 6 días de vacaciones que quedaría posterior a la fecha de vencimiento, podrás solicitarlo mediante un pedido adicional para su evaluación. La aprobación estará sujeta a la disponibilidad de cupos en el mes solicitado. Asimismo, te compartimos el enlace al formulario de vacaciones: https://docs.google.com/forms/d/e/1FAIpQLSdmXt-iSndWo5_kb3Bithorzgp7OTZOBAa-lYgrbwGZuQBVcw/viewform Quedamos a tu entera disposición en caso de que tengas alguna duda adicional sobre tus saldos o el proceso. Saludos cordiales,</t>
  </si>
  <si>
    <t>eade62e2-LATAM-LP</t>
  </si>
  <si>
    <t>26/05/2026 13:13</t>
  </si>
  <si>
    <t>Otorgamiento de vacaciones 2026-II</t>
  </si>
  <si>
    <t>5d8f041c-LATAM-LP</t>
  </si>
  <si>
    <t>26/05/2026 13:18</t>
  </si>
  <si>
    <t>Buenas tardes, soy Mónica Montoya Santillán, Jefa de Servicio a Bordo con BP 2969982. Solicité con la misma prioridad dos semanas de vacaciones juntas, pero me entregaron una semana de una prioridad y otra semana de otra prioridad. No solicité esa combinación. No solicité esas semanas por separado, de haberlo querido de esa forma las habria ingresado con prioridades diferentes. Necesito dos semanas juntas, en cualquiera de los meses que ingresé como intención. Por favor, revisar mi caso.</t>
  </si>
  <si>
    <t>"Hola, Monica: Esperamos que te encuentres muy bien. Muchas gracias por comunicarte con nosotros y por hacernos llegar tu consulta para verificar tu estado en el sistema. Respecto a tu requerimiento sobre la prepublicación de vacaciones para el segundo semestre, te informamos no se puedo otorgar tu prioridad N°1 8 al 15-oct , prioridad N°2 01 al 07-ago, prioridad N°5 01 al 15-nov y prioridad N°6 16 al 31-dic, ya que no habían cupos disponibles, ya que jefes con mejor escalafón lo habían cubierto. Adicionalmente, dentro de los comentarios no has ingresado una aclaración que solo deseas gozar vacaciones juntas. Por lo tanto, se le consideró sus vacaciones pre publicadas de su prioridad N°1 16 al 23-oct y prioridad N°2 08 al 15-ago. Puedes realizar un intercambio de vacaciones con otro compañero para que puedas salir en vacaciones juntas y lo debes ingresar a través del siguiente enlace: Asimismo, te compartimos el enlace al formulario de vacaciones: https://docs.google.com/forms/d/e/1FAIpQLSdmXt-iSndWo5_kb3Bithorzgp7OTZOBAa-lYgrbwGZuQBVcw/viewform Quedamos a tu entera disposición en caso de que tengas alguna duda adicional sobre tus saldos o el proceso. Saludos cordiales,"</t>
  </si>
  <si>
    <t>ab1e46f1-LATAM-LP</t>
  </si>
  <si>
    <t>26/05/2026 13:42</t>
  </si>
  <si>
    <t>93ba036e-LATAM-LP</t>
  </si>
  <si>
    <t>26/05/2026 12:55</t>
  </si>
  <si>
    <t>Muy buenas tardes, tengo roll programado en el mes de junio incluyendo reva de seguridad, yo estoy fuera de vuelo con la siglas MOF debido a que me operaron de la vesicula en el mes de abril, por lo cual estoy con NO APTO , porfavor escribo para que me puedan modificar el rol del mes de junio, muchas gracias!</t>
  </si>
  <si>
    <t>18dcfc30-LATAM-LP</t>
  </si>
  <si>
    <t>26/05/2026 17:51</t>
  </si>
  <si>
    <t>Buenas tardes, me llego el correo con la programación de mi apto medico en la clínica del trabajador. Necesito porfavor me programen el apto medico y ocupacional en la clínica los Andes, debido a que tengo una dispensa otorgada en dicha clínica. El año pasado tuve que pasar dos veces el apto ya que en la clínica del trabajador me dijeron que ellos no me podían dar el apto debido a ladispensa. Y esto lo comunique el año pasado.</t>
  </si>
  <si>
    <t>450acc14-LATAM-LP</t>
  </si>
  <si>
    <t>26/05/2026 19:44</t>
  </si>
  <si>
    <t>Buenas Tardes: tengo programado apto médico el día 15 de junio en la clínica del trabajor. Yo pasé junta médica y tengo una dispensa en la clínica los Andes. En el correo decia que tenía que dar aviso, si me programaban en una clinica distinta..</t>
  </si>
  <si>
    <t>Hola Mayra, Esperando te encuentres bien, gracias por la alerta. Realizaremos la solicitud a la clínica Los Andes y te comunicaremos por correo la información. Saludos cordiales.</t>
  </si>
  <si>
    <t>453734d6-LATAM-LP</t>
  </si>
  <si>
    <t>7f6fb084-LATAM-LP</t>
  </si>
  <si>
    <t>01/06/2026 11:28</t>
  </si>
  <si>
    <t>86d7f4c6-LATAM-LP</t>
  </si>
  <si>
    <t>26/05/2026 20:18</t>
  </si>
  <si>
    <t>Buenas noches, por favor les solicito revisar el detalle de los días que tengo antes de la fecha de vencimiento debido a que me mandaron hoy 26MAY2026 un correo indicando "Fe de erratas" y aumentando a 16 días en Julio mis vacaciones pre publicadas por vencimiento. Cuando en otro mail anterior me informaron que el número de días antes obligatorios antes de la fecha de vencimiento (01AUG2026) eran 7. No necesito salir del 8 al 15 de Julio. Estaba bien con las vacaciones del 16 al 23 de Julio que me habían puesto. Por favor revisar. Quedo atento.</t>
  </si>
  <si>
    <t>"Hola, Agustin: Esperamos que te encuentres muy bien. Muchas gracias por comunicarte con nosotros y por hacernos llegar tu consulta para verificar tu estado en el sistema. Con relación al fe de erratas comunicado el 26 de mayo, se te ha pre publicado dos bloques de vacaciones por vencimiento (08 al 23-jul). Por ello, se te han asignado 16 días de vacaciones para el mes de julio, los cuales deberán ser gozados antes de tu fecha de aniversario, con la finalidad de que puedas cumplir al 100% con tu meta vacacional. Asimismo, te informamos que, a partir del 01 de agosto, se habilitará una nueva meta vacacional correspondiente a 30 días de vacaciones en total. Saludos cordiales,"</t>
  </si>
  <si>
    <t>7cd089b9-LATAM-LP</t>
  </si>
  <si>
    <t>26/05/2026 21:38</t>
  </si>
  <si>
    <t>Estimados, tengo programado por rol el codigo RTI el 30/05, ese mismo dia tengo programado Exámen medico ocupacional.</t>
  </si>
  <si>
    <t>Hola Alejandra, Esperando te encuentres bien, es correcta la asignación ya que el exámen médico ocupacional forma parte del RTI. Saludos cordiales.</t>
  </si>
  <si>
    <t>9514a531-LATAM-LP</t>
  </si>
  <si>
    <t>10/06/2026 11:02</t>
  </si>
  <si>
    <t>Buenas tardes, el otro mes me estaria venciendo en el B767 porque me protegieron el rol dos meses por el cambio de pasaporte. Les pido me ayuden poniendome un vuelo este mes en mis reservas o a comienzos del otro mes porque en quincena salgo de vacaciones. Muchas gracias</t>
  </si>
  <si>
    <t>¡Gracias por la información! Te comentamos que la asignación de tu último vuelo para la flota B767 se realizará antes de la fecha de vencimiento (22-julio) y teniendo presente tu periodo de vacaciones en julio.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</si>
  <si>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083a0dc3-LATAM-LP</t>
  </si>
  <si>
    <t>26/05/2026 22:25</t>
  </si>
  <si>
    <t>Buenos días, me encuentro el día de hoy con dm por 3 días además de ello me han mandado medicamentos los cuales podrian afectar mis resultados del examen, además de ello hoy inicié mi periodo. Tengo programado el examen médico ocupacio al para el 2 de junio el cual solicito reprogramación. Muchas gracias, quedo atenta.</t>
  </si>
  <si>
    <t>953d5344-LATAM-LP</t>
  </si>
  <si>
    <t>27/05/2026 08:50</t>
  </si>
  <si>
    <t>Buenos días, envié correos anteriormente anto a RH Connect y Soporte SAB quienes me indicaron que tenia 1 dia adicional de vacaciones ya que tengo mas de 6 años en SAB, me indicaron que me lo programarian esta segunda mitad de año. La programación me llegó solo por 22 días, mas los 8 días que tomé en abril, sería un total de 30. Agradeceria me puedan informar porque no me están asignando el dia adicional según me corresponde. Gracias</t>
  </si>
  <si>
    <t>"Hola, Silvana: Esperamos que te encuentres muy bien. Muchas gracias por comunicarte con nosotros y por hacernos llegar tu consulta para verificar tu estado en el sistema. Con relación a tu saldo de vacaciones y tus vacaciones pre publicadas 2026-02 (22 días de vacaciones pre publicadas en noviembre), te quedarían un saldo pendiente de 2 días de vacaciones que serán asignados del 23 al 24-nov con el objetivo de completar tu meta de vacaciones (32 días de vacaciones). A partir del 01-feb-2027, se te aperturará una nueva meta de vacaciones de 33 días de VC. Saludos cordiales,"</t>
  </si>
  <si>
    <t>08010d3e-LATAM-LP</t>
  </si>
  <si>
    <t>27/05/2026 09:12</t>
  </si>
  <si>
    <t>Buenos días . Mé està llegando cursos pára recurrente . Recurrente que yo ya llevé este mes de mayo con nota satisfactoria . Mandé correo pero aún no me contestan, sobre un curso recurrentes que me han puesto este mes de Junio. Yo ya hice ese curso . Pára que puedan retirármelo por favor y no se vean afectada mis horas de vuelo.</t>
  </si>
  <si>
    <t>Informativo se solicita reservas en dichas fechas.</t>
  </si>
  <si>
    <t>64871b81-LATAM-LP</t>
  </si>
  <si>
    <t>27/05/2026 09:05</t>
  </si>
  <si>
    <t>Buenos días, me han programado reva de seguridad del 2 al 5 de junio la cual entiendo que debe ser reprogramada ya que no cuento con apto medico , sin embargo me han cargado los examenes en academia latam, mi consulta es si puedo ir avanzando con esos examenes? O me los volveran a cargar.. gracias.</t>
  </si>
  <si>
    <t>"¡Gracias por la información! Te comentamos que los elearning deben ser realizados en su fecha asignada, en tu caso primero debes tener el alta y se debe agendar el curso de revalidación. Esperamos que la respuesta te haya sido de gran ayuda."</t>
  </si>
  <si>
    <t>1541dfcb-LATAM-LP</t>
  </si>
  <si>
    <t>09/06/2026 20:44</t>
  </si>
  <si>
    <t>Buenas tardes, por favor solicito su ayuda para quizá la activación de una de.mis reservas este mes o poniéndome algun vuelo wb antes del 11 de julio, ya que estoy por vencerme, muchas gracias de antemano.</t>
  </si>
  <si>
    <t>9c1376bc-LATAM-LP</t>
  </si>
  <si>
    <t>03/06/2026 08:01</t>
  </si>
  <si>
    <t>fb7ffee8-LATAM-LP</t>
  </si>
  <si>
    <t>27/05/2026 14:09</t>
  </si>
  <si>
    <t>Buenos dias , me llego un correo de programacion de examen medico ocupacional el dia 17 de junio pero ese dia tengo por rol RTI</t>
  </si>
  <si>
    <t>"¡Gracias por la información! Te comentamos que el exámen medico ocupacional forma parte del RTI por lo que la asignación en el rol se encuentra correcta. Esperamos que la respuesta te haya sido de gran ayuda."</t>
  </si>
  <si>
    <t>a6f64b76-LATAM-LP</t>
  </si>
  <si>
    <t>10/06/2026 08:10</t>
  </si>
  <si>
    <t>d1445635-LATAM-LP</t>
  </si>
  <si>
    <t>27/05/2026 17:10</t>
  </si>
  <si>
    <t>49584bd2-LATAM-LP</t>
  </si>
  <si>
    <t>27/05/2026 18:45</t>
  </si>
  <si>
    <t>Buenas tardes. Notifico haber recibido correo de confirmación para pasar examen médico ocupacional el día 11 de junio; sin embargo, desde el 9 al 12 de junio tengo REVA y en mi rol en dicha fecha sale el código RTI. Quedo a la espera de su gentil respuesta.</t>
  </si>
  <si>
    <t>"¡Gracias por la información! Te informamos que el exámen médico ocupacional se encuentra dentro de la programación de revalidación, por ello la fecha coincide con un día de RTI. Esperamos que la respuesta te haya sido de gran ayuda."</t>
  </si>
  <si>
    <t>1e8f1042-LATAM-LP</t>
  </si>
  <si>
    <t>27/05/2026 20:35</t>
  </si>
  <si>
    <t>ef0ea138-LATAM-LP</t>
  </si>
  <si>
    <t>26/05/2026 22:30</t>
  </si>
  <si>
    <t>7f6bcec5-LATAM-LP</t>
  </si>
  <si>
    <t>14/05/2026 21:12</t>
  </si>
  <si>
    <t>El 2do plazo para el reembolso de la multa electoral vence a fin de mes y aun no está reflejado en el sistema de la onpe para poder pagar la misma. Deben volver a extender el plazo hasta que se verifique ya esté ese data en el sistema</t>
  </si>
  <si>
    <t>Consulta sobre beneficios, pagos o bonos</t>
  </si>
  <si>
    <t>832592a9-LATAM-LP</t>
  </si>
  <si>
    <t>27/05/2026 21:53</t>
  </si>
  <si>
    <t>Hola, quedó pendiente mi dia de prácticas en el ato desde abril que debió ser programada maximo para junio como plazo límite. Quedo atenta.</t>
  </si>
  <si>
    <t>Se esta coordinando desde soporte su recuperación</t>
  </si>
  <si>
    <t>390a7af5-LATAM-LP</t>
  </si>
  <si>
    <t>28/05/2026 08:13</t>
  </si>
  <si>
    <t>Vencimiento de licencia chilena 30/06/26</t>
  </si>
  <si>
    <t>Buenos días Esperamos que te encuentres muy bien. Muchas gracias por comunicarte con nosotros y por detallarnos ello. Respecto a tu consulta, te confirmamos que tu Convlaidación licencia chilena vence el 30 junio 2027 y no en 2026. De igual forma hemos reenviando nuevamente tu convalidaicón para que lo puedas verificar con vencimiento 2027. Que tengas un lindo día Saludos cordiales.</t>
  </si>
  <si>
    <t>c0555996-LATAM-LP</t>
  </si>
  <si>
    <t>28/05/2026 08:19</t>
  </si>
  <si>
    <t>19a08cd5-LATAM-LP</t>
  </si>
  <si>
    <t>09/06/2026 20:55</t>
  </si>
  <si>
    <t>Hola yo vengo de baja de vuelo por accidente laboral, ya pasé satisfactorio en mi reva de seguridad, cuando volveran a programarme vuelos ?, adicionalmente les comento que el 19/06 si no vuelo el 767 me venzo, podrian apoyarme con eso por favor para no vencerme</t>
  </si>
  <si>
    <t>f77f10c8-LATAM-LP</t>
  </si>
  <si>
    <t>28/05/2026 09:52</t>
  </si>
  <si>
    <t>Buenas tardes, mi consulta es sobre mi apto medico DGAC, el cual pase en febrero y llene el formato que me indicaron con mis datos el cual lo deje en recepcion de las oficinas en santa cruz, el apto lo pase en la clinica del trabajador la cual me envio el correo que estaba apto, pero hasta la fecha se como va el proceso del apto medico impreso si ya puedo pasar a recogerlo o falta algun documento. Agradeceria me pueda dar mas informacion muchas gracias</t>
  </si>
  <si>
    <t>"¡Gracias por la información! Estamos gestionando la emisión de tu nuevo apto. En cuanto esté finalizado, te contactaremos por correo para su recojo. Esperamos que la respuesta te haya sido de gran ayuda."</t>
  </si>
  <si>
    <t>ac8ebb20-LATAM-LP</t>
  </si>
  <si>
    <t>09/06/2026 21:13</t>
  </si>
  <si>
    <t>Hola, estaba con descanso por accidente laboral, ya estoy de alta y ya pase mi reva de seguridad que me faltaba para volver a volar, mi consulta es si tengo que pasar algo mas ? , cuando me estarian programando vuelos?, adicionalmente les comento que el dia 19/06 si no vuelo 767 me venzo, solicito au ayuda para no vencerme, saludos cordiales</t>
  </si>
  <si>
    <t>¡Gracias por la información! Ya se realizó tu retorno a la línea (posterior a tu confirmación de recojo de apto) y puedes revisar las asignaciones de vuelos que tienes. Asimismo, se te ha asignado el vuelo de experiencia reciente antes de tu vencimiento. Saludos cordiales,</t>
  </si>
  <si>
    <t>9c5744a0-LATAM-LP</t>
  </si>
  <si>
    <t>11/06/2026 09:02</t>
  </si>
  <si>
    <t>El día 20 de Junio se vence mi experiencia reciente en el equipo B-767. Ya informe en un formulario anterior, indicando el tema para que puedan programarme un vuelo en el 767 en mis reservas seguida que tengo por rol entre el 15 y 18 de junio. Y hoy en lugar de activaarme para un vuelo 767 me activen a un vuelo internacional en 320. Porfavor necesito me activen un vuelo en 67 antes del 20 de junio para no perder la experiencia reciente.</t>
  </si>
  <si>
    <t>¡Gracias por la información! Te comentamos que la asignación de tu último vuelo para la flota B767 ya se ha realizado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</si>
  <si>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618832ae-LATAM-LP</t>
  </si>
  <si>
    <t>12/06/2026 06:26</t>
  </si>
  <si>
    <t>El dia 13 de julio vence mi licencia de b767, pido por favor programar para no perder la licencia</t>
  </si>
  <si>
    <t>a3631079-LATAM-LP</t>
  </si>
  <si>
    <t>11/06/2026 05:39</t>
  </si>
  <si>
    <t>Buenas, Envio mi consulta por el motivo de que el mes pasado solicite tenerme en consideracion para mi revalidacion de mi licencia B767 ya que se esta generandl en rutas de SCL RT el cual no me pusieron y queria pedir por favor tenerme en consideracion para el proximo mes. Dejo adjunto imagen donde el chequeo se esta realizando en SCL RT. Muchas gracias y espero me consideren para julio. Saludos.</t>
  </si>
  <si>
    <t>¡Gracias por la información! Al respecto, te comentamos que la asignación de tus chequeos se programa en los siguientes meses en base a la holgura operativa. Asimismo, es importante aclararte que no se te ha programado previamente debido a que actualmente no cuentas con la Visa Crew. Al habilitarte en la flota B767, quedas disponible para operar toda la red de rutas, lo que incluye principalmente destinos en Estados Unidos por lo que no es factible realizar una distinción para asignarte únicamente rutas específicas. Te recordamos que en Soporte SAB llevamos el control y seguimiento de tus licencias y habilitaciones, por lo que te pedimos tenerlo presente para futuras ocasiones; entendemos tu preocupación conforme se acerca la fecha de vencimiento, pero estamos atentos a cada caso para gestionarlo en la medida de lo posible. Esperamos que esta información te sea de gran ayuda. Saludos cordiales,</t>
  </si>
  <si>
    <t>5e49316a-LATAM-LP</t>
  </si>
  <si>
    <t>09/06/2026 15:29</t>
  </si>
  <si>
    <t>ZZ03</t>
  </si>
  <si>
    <t>¡Gracias por la información! Te informamos que, dado que tu mes base es julio y según lo establecido en la RAP 63, esta actividad puede ser programada dentro de un período de elegibilidad que comprende 30 días antes, durante y después de tu mes base. Por lo tanto, tu verificación de competencia podrá ser agendada en agosto,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</si>
  <si>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29000f62-LATAM-LP</t>
  </si>
  <si>
    <t>12/06/2026 07:55</t>
  </si>
  <si>
    <t>Buenos días, estimado equipo: Solicito su apoyo con la programación de mi chequeo LCK A320, considerando que julio es mi mes de prórroga. He verificado en el PBS que estoy considerada para el 30 de julio (penúltimo día del mes de prórroga), lo cual representa un gran riesgo, ya que debido a la naturaleza de nuestra operación sabemos que pueden presentarse contingencias y cambios en el itinerario que me impidan realizar el chequeo dentro del plazo. En ese sentido, agradeceré puedan evaluar la reprogramación a una fecha anterior dentro del mes, priorizando una ventana que permita mitigar este riesgo y asegurar el cumplimiento oportuno del requisito. Quedo atenta a su gestión y agradezco de antemano el apoyo brindado.</t>
  </si>
  <si>
    <t>¡Gracias por la información! Te informamos que, dado que tu mes base es junio y según lo establecido en la RAP 63, esta actividad puede ser programada dentro de un período de elegibilidad que comprende 30 días antes, durante y después de tu mes base. Por lo tanto, tu verificación de competencia podrá ser agendada en julio, junto con la prórroga correspondiente. Asimismo, te comentamos que PBS sólo muestra un 90% de las actividades asignadas, una vez se publique el rol de julio podremos visualizar la fecha de asignación de tu LCK A320F y de acuerdo a eso, considerar revisar con Roles se pueda reprogramar tu LCK según lo solicitado.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</si>
  <si>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08a861e9-LATAM-LP</t>
  </si>
  <si>
    <t>25/11/2025 16:34</t>
  </si>
  <si>
    <t>Buenas tardes , yo tuve line check del 787 el 18 de noviembre del 2024, este año tenia programado mi line check para el 12 de noviembre con el instructor Christian rondón, pero este chequeo fue cancelado, hoy a salido el rol de diciembre y no me han puesto el line check de 787, quisiera saber por favor cuando me lo van a programar, muchas gracias de ante mano</t>
  </si>
  <si>
    <t>8eb4fd11-LATAM-LP</t>
  </si>
  <si>
    <t>13/12/2025 10:44</t>
  </si>
  <si>
    <t>Quisiera saber si tienen información de cuando me estarían realizando mi chequeo para habilitarme en la flota B767 ya que en el mes de marzo vence mi curso en tierra. Mi visa fue actualizada en el mes de octubre. Quedo atenta a la información. Muchas gracias.</t>
  </si>
  <si>
    <t>27db8041-LATAM-LP</t>
  </si>
  <si>
    <t>28/05/2026 11:45</t>
  </si>
  <si>
    <t>Dia de practicas ato 18 junio</t>
  </si>
  <si>
    <t>923ded23-LATAM-LP</t>
  </si>
  <si>
    <t>28/05/2026 13:17</t>
  </si>
  <si>
    <t>Buenas tardes, he recibido el correo con la programacion de mi apto medico para mañana. Sin embargo,quisiera informar que ayer por la noche tome una tableta para la congestion nasal debido a un resfrio y dolor de garganta. Lo menciono porque dentro de las indicaciones medicas enviadas se señala no consumir medicamentos de este tipo dentro de los 7 dias previos a la evauacion y considero que la programacion me fue comunicada el dia de hoy para una evaluacion el dia de mañana. Por ello quisiera consultar si corresponxe reprogramas la cita o si debo de asistir y mencionar a la clinica el medicamento tomado. En caso no reciba una respuesta previa a la cita, asistire conforme a la programacion enviada. Quedo atenta, muchas gracias</t>
  </si>
  <si>
    <t>"¡Gracias por la información! Te comentamos que podemos reagendar el apto médico si estás tomando medicación, por favor te pedimos responder sobre la invitación del apto médico si llegaste a asistir para estar atentos a tu reporte. Esperamos que la respuesta te haya sido de gran ayuda."</t>
  </si>
  <si>
    <t>2ce36bb1-LATAM-LP</t>
  </si>
  <si>
    <t>28/05/2026 17:18</t>
  </si>
  <si>
    <t>Para comentar que acabo de finalizar mi reva , sin embargo el curso de sustancias psicoactivas , me quedó pendiente ya que me activaron todos los cursos correspondientes menos el nombrado. Quedo atenta para poder realizarlo gracias</t>
  </si>
  <si>
    <t>"Gracias por la información. Verificamos en la plataforma de la academia corporativa que se encuentra cargado el curso de sustancias psicoactivas desde el 21 de mayo. En caso de que no se logre visualizar por favor contactar con el soporte de la academia corporativa desde RHConect o desde el enlace que se encuentra en la invitación del elearning. Esperamos que la respuesta te haya sido de gran ayuda."</t>
  </si>
  <si>
    <t>092e1aae-LATAM-LP</t>
  </si>
  <si>
    <t>28/05/2026 17:19</t>
  </si>
  <si>
    <t>Buenas tardes , Para comentar que se mandó la pre publicación a los tripulantes , sin embargo no me llegó el correo. En este momento me encuentro como OPC , sin embargo el mes de junio me figura como MHC , para que lo puedan actualizar. Y quedo atenta con respecto a las vacaciones del siguiente semestre ya que yo llené el formulario a tiempo y tengo vacaciones por vencer.</t>
  </si>
  <si>
    <t>"Hola, Mayra, Esperamos que te encuentres muy bien. Muchas gracias por comunicarte con nosotros y por hacernos llegar tu consulta para verificar tu estado en el sistema. Con relación a tus vacaciones pre publicadas 2026-02, no te hemos enviado la pre publicación de vacaciones ya que te encontrabas con descanso médico prolongado dentro de nuestro corte. Dado que debes gozar 11 días de vacaciones por vencimiento antes del 01-sep (F. Aniversario), te pedimos por favor ingresarlo como un pedido adicional de vacaciones a través del formulario de vacaciones SAB, el cual se encuentra en el site LP. Saludos cordiales,"</t>
  </si>
  <si>
    <t>06707c92-LATAM-LP</t>
  </si>
  <si>
    <t>23/12/2025 14:33</t>
  </si>
  <si>
    <t>Buenas tardes, el día de hoy recibí una notificación, por cambio de rol. Tenía vuelos asignados para el día 30 del presente mes pero ahora me aparece el código "BFH" Quisiera saber si ese código significa que puede ser activable o puedo considerarlo como día no activable y por lo tanto libre? Gracias</t>
  </si>
  <si>
    <t>"¡Gracias por la información! Te comentamos que el código BFH no puede ser activable debido a las horas de vuelos, es por ello que en este caso si se puede considerar como día libre. Esperamos que la respuesta te haya sido de gran ayuda."</t>
  </si>
  <si>
    <t>dd4c46cc-LATAM-LP</t>
  </si>
  <si>
    <t>28/05/2026 23:35</t>
  </si>
  <si>
    <t>Vuelo ROS 2433 24/05 inicialmente demorado por mal tiempo con espera de más de 1:45hrs en ato, para finalmente ser cancelado por manto</t>
  </si>
  <si>
    <t>ca8f834a-LATAM-LP</t>
  </si>
  <si>
    <t>29/05/2026 08:50</t>
  </si>
  <si>
    <t>Tengo apto medico programado como RTI y tengo un comienzo de gripe y también tengo el periodo entonces leí que no se puede ir con un proceso respiratori y tengo el día 4 de junio el apto medico</t>
  </si>
  <si>
    <t>4247085e-LATAM-LP</t>
  </si>
  <si>
    <t>28/05/2026 13:56</t>
  </si>
  <si>
    <t>Buenas tardes, en una anterior consulta sab me confirmo que tenia 46 dias de vacaciones, las cuales solicite con el comentario indicado en el correo, pero en cuadro de las vacaciones prepublicadas solo me consideraron 30, el 24 de mayo la compañera Mayra Ruiz me cedio sus vacaciones del 8 al 15 de agosto, ya lo ingresamos por el link correspondiente, por favor considerar esos 8 dias a cuenta de los 16 dias adicionales que tengo pendientes. Muchas gracias</t>
  </si>
  <si>
    <t>"Hola, Andrea, Esperamos que te encuentres muy bien. Muchas gracias por comunicarte con nosotros y por hacernos llegar tu consulta para verificar tu estado en el sistema. En relación con tus vacaciones prepublicadas para el periodo 2026-02, te informamos que solo se pudieron aprobar 4 bloques para el segundo semestre, debido a la cantidad de cupos disponibles que nos habilitaron. Por otro lado, respecto a tu solicitud para el mes de agosto, confirmamos que dicha cesión es procedente y estos días se descontarán de los 16 que tienes disponibles por movilidad interna. Referente a los 8 días de vacaciones pendientes, puedes solicitarlo como un pedido adicional de vacaciones para los meses restantes del segundo semestre para poderlo evaluar si en caso tengamos cupos disponibles para dichos meses. Saludos cordiales,"</t>
  </si>
  <si>
    <t>31cba531-LATAM-LP</t>
  </si>
  <si>
    <t>29/05/2026 14:01</t>
  </si>
  <si>
    <t>Rol sin pernoctes. Estimados espero se encuentren muy bien. Solicité rol sin pernoctes a mi retorno a línea por maternidad, me indicaron que ok y efectivamente el rol no tiene pernoctes. Quisiera saber si tengo que solicitar todos los meses o ya es suficiente con una solicitud. Ya que no deseo pernoctes los siguientes meses aún por favor. Aún no puedo dejar a mi bebé. Quisiera mantener mi rol sin pernoctes hasta que mi bebé tenga un año por favor.</t>
  </si>
  <si>
    <t>"Hola, Yuli, Esperamos que te encuentres muy bien. Muchas gracias por comunicarte con nosotros y por hacernos llegar tu consulta para verificar tu estado en el sistema. En relación a tu solicitud de new mother (rol sin pernoctes) se mantendrá hasta que tu bebé cumpla un año (08-nov-2026). Saludos cordiales,"</t>
  </si>
  <si>
    <t>3e692cb6-LATAM-LP</t>
  </si>
  <si>
    <t>29/05/2026 17:33</t>
  </si>
  <si>
    <t>Examen ocupacional día 11/06/26</t>
  </si>
  <si>
    <t>"¡Gracias por la información! Te comentamos que el exámen médico ocupacional forma parte de la programación de la revalidación de seguridad (RTI) , en la invitación se detalla la información. Esperamos que la respuesta te haya sido de gran ayuda."</t>
  </si>
  <si>
    <t>d5475944-LATAM-LP</t>
  </si>
  <si>
    <t>29/05/2026 18:22</t>
  </si>
  <si>
    <t>Buenas Tardes , tengo una consulta quisera saber si se puede avanzar con los cursos de la Reva mas no realizar los examenes antes de la fecha establecida , como se considera teminado cuando ya se realizo el evaluacion , muchas graciaa</t>
  </si>
  <si>
    <t>"¡Gracias por la información! Te informamos que, dado que tu mes base es julio y según lo establecido en la RAP 63, la revalidación puede ser programada dentro de un período de elegibilidad que comprende 30 días antes, durante y después de tu mes base. Por lo tanto, tu curso de revalidación de seguridad y elearning deben ser desarollados en el periodo indicado, si realizas el elearning fuera del periodo (Mayo) se solicitará que vuelvas a realizarlos para cumplir lo establecido. Esperamos que la respuesta te haya sido de gran ayuda."</t>
  </si>
  <si>
    <t>040f897f-LATAM-LP</t>
  </si>
  <si>
    <t>29/05/2026 18:37</t>
  </si>
  <si>
    <t>Buen día, espero se encuentren bien, quisiera consultar sobre el pago de mi Edenred de este mes, ya que el mes pasado (abril) hice high rank todo el mes, pero me han pagado un monto menor al de cuando voy de TC, me gustaría que me ayudaran con el detallado, ya me que indican que el monto de Edenred sube considerablemente cuando cumples funciones de hr, quedo atenta, muchas gracias.</t>
  </si>
  <si>
    <t>Buenos días estimada, Dentro de los pagos variables operar como HR no modifica los bonos. Para el bono por operar HR se consideraron un total de 71,8 horas. En caso tengas alguna duda con dicho pago puedes consultarlo con Osmar Neves.</t>
  </si>
  <si>
    <t>45de5df1-LATAM-LP</t>
  </si>
  <si>
    <t>29/12/2025 20:03</t>
  </si>
  <si>
    <t>CL07</t>
  </si>
  <si>
    <t>"¡Gracias por la información! Te informamos que, para solicitar vacaciones adicionales debes hacerlo a través del formulario ""Pedido, Cesión e Intercambio de Vacaciones LP 2026-01"". Puedes acceder al formulario mediante el siguiente link: https://docs.google.com/forms/d/e/1FAIpQLSdmXt-iSndWo5_kb3Bithorzgp7OTZOBAa-lYgrbwGZuQBVcw/viewform Asimismo, te recordamos que la confirmación de tus vacaciones serán notificadas con 30 días de anticipación del inicio de las mismas. Asimismo, te recomendamos ingresar cualquier consulta relacionada con este tema en la sección correcta de la plataforma, bajo la categoría "Vacaciones". Por otro lado, te comentamos que toda la información referente a intercambio, cesión o pedido adicional de vacaciones se encuentra disponible en el sitio LP y en el correo de la prepublicación. Esperamos que la respuesta te haya sido de gran ayuda."</t>
  </si>
  <si>
    <t>8414212d-LATAM-LP</t>
  </si>
  <si>
    <t>30/05/2026 17:05</t>
  </si>
  <si>
    <t>Hola, buenas tardes. El día 3 de Junio tengo programado mi apto medico ocupacional, pero el día de hoy sábado 30 me ha venido mi periodo el cual tiene una duración aproximada de 5 días. No se si sería factible hacer cambio de fecha por mi condición. Gracias Alejandra.</t>
  </si>
  <si>
    <t>"¡Gracias por la información! Te comentamos que tenemos mapeado tu caso, por lo que te estaremos enviando por correo la programación de tu nueva fecha de examen médico. Esperamos que la respuesta te haya sido de gran ayuda."</t>
  </si>
  <si>
    <t>5689849d-LATAM-LP</t>
  </si>
  <si>
    <t>01/06/2026 08:14</t>
  </si>
  <si>
    <t>Licencia</t>
  </si>
  <si>
    <t>"Gracias por la información! Te comentamos que la gestión de tu licencia chilena se realizará antes de la fecha de vencimiento (31/07/2026).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</si>
  <si>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c981dcc9-LATAM-LP</t>
  </si>
  <si>
    <t>01/06/2026 08:15</t>
  </si>
  <si>
    <t>Buenos dias. Tuve reva en abril, pero aun no me han llegado mis licencias ni mi apto medico. Estas vencen el Agosto del presente año.</t>
  </si>
  <si>
    <t>"Gracias por la información! Te comentamos que se te comunicará para que recepciones tu apto médico cuando se encuentre listo, recordar que tu apto médico vence el 31/07/2026.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Que tengas lindo día."</t>
  </si>
  <si>
    <t>ee7917aa-LATAM-LP</t>
  </si>
  <si>
    <t>01/06/2026 09:43</t>
  </si>
  <si>
    <t>Hola me encuentro en el último día de mi periodo puedo asistir aún así a mi apto médico que es el día de mañana?</t>
  </si>
  <si>
    <t>c16eba06-LATAM-LP</t>
  </si>
  <si>
    <t>01/06/2026 11:21</t>
  </si>
  <si>
    <t>Hola buenos días , me acaba de llegar este correo sobre hands on 767, sin embargo yo el lunes 18 de mayo tuve reentrenamiento en 767 y ahí realicé hands on con el instructor Javier Zapata , firmando el documento de hands on , o es que nuevamente tendría que hacerlo ? Queda atenta a su respuesta , gracias</t>
  </si>
  <si>
    <t>"¡Gracias por la información! Te comentamos que hemos verificado lo indicado y estamos procediendo con el retiro de la actividad. Considera que en dicha fecha tendrás reserva. Esperamos que la respuesta te haya sido de gran ayuda."</t>
  </si>
  <si>
    <t>d0c6d00a-LATAM-LP</t>
  </si>
  <si>
    <t>26/01/2026 08:06</t>
  </si>
  <si>
    <t>Actualización de datos personales</t>
  </si>
  <si>
    <t>"¡Gracias por la información! Por favor nos comentas el detalle de tu consulta. "</t>
  </si>
  <si>
    <t>5c9356ef-LATAM-LP</t>
  </si>
  <si>
    <t>30/01/2026 10:02</t>
  </si>
  <si>
    <t>Buenos dias. El día 28 del presente mes se canceló mi LCK vlo LA2360/2631. Solicito su apoyo para la reprogramacion. Así mismo indicar que en febrero del presente año vence mi verificación de competencia. Muchas gracias, quedo atenta a cualquier comentario</t>
  </si>
  <si>
    <t>3380396a-LATAM-LP</t>
  </si>
  <si>
    <t>01/06/2026 12:23</t>
  </si>
  <si>
    <t>Buen día, me llegó el correo con la confirmación de vacaciones del 1 al 07 de Jul, pero en mi correo de pre publicadas me figura hasta el 15. Entonces no sé si fue un error. Desde ya gracias.</t>
  </si>
  <si>
    <t>"Hola, Jenifer, Esperamos que te encuentres muy bien. Muchas gracias por comunicarte con nosotros y por hacernos llegar tu consulta para verificar tu estado en el sistema. En relación a tu segundo bloque de vacaciones del 08 al 15-jul, serán confirmadas con 22 días de anticipación del inicio de las mismas. Saludos cordiales,"</t>
  </si>
  <si>
    <t>d99b6276-LATAM-LP</t>
  </si>
  <si>
    <t>31/01/2026 10:55</t>
  </si>
  <si>
    <t>Para informar que tenia LCK el 30 enero y fue cancelado por llegar tarde de vlo conexión. Vencimiento 28febrero. Gracias</t>
  </si>
  <si>
    <t>"¡Gracias por la información! Te informamos que tenemos mapeado tu caso. Asimismo, te comentamos que, dado que tu mes base es febrero y según lo establecido en la RAP 63, esta actividad puede ser programada dentro de un período de elegibilidad que comprende 30 días antes, durante y después de tu mes base. Por lo tanto, tu verificación de competencia podrá ser agendada tanto en enero como en marzo , junto con la prórroga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</si>
  <si>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7f6b8117-LATAM-LP</t>
  </si>
  <si>
    <t>09/02/2026 14:32</t>
  </si>
  <si>
    <t>Buenas tardes, Lamentablemente el día 02/02 sufrí el robo de mi DNI, el mismo día tramité el duplicado por la web de la RENIEC. Ahora me encuentro de vacaciones, me he acercado hoy 09/02 a la oficina de la RENIEC pero me indican que tienen problemas con su sistema y tardarán en emitir los duplicados unos días más (más de 20 días), les entregué la denuncia correspondiente para que me ayudaran a agilizar el proceso y alegué que soy Tripulante de Cabina y necesito el documento para volar. El 11/02 me reincorporo a volar y no quisiera afectar la operación. Quisiera por favor, que me consideren en volar con pasaporte vigente hasta que me entreguen el DNI lo mas antes posible. Quedo atenta a sus comentarios.</t>
  </si>
  <si>
    <t>"¡Gracias por la información! Te comentamos que puedes realizar tus vuelos con normalidad usando el trámite emitido de tu DNI. Asimismo, reforzamos la información que el pasaporte es un documento adicional para volar, es por ello que te recomendamos considerar esta información para futuras ocasiones. Esperamos que la respuesta te haya sido de gran ayuda."</t>
  </si>
  <si>
    <t>b243693a-LATAM-LP</t>
  </si>
  <si>
    <t>17/02/2026 22:07</t>
  </si>
  <si>
    <t>Tenía programado mi line check de B767 el 19/02 hacia Miami, pero estuve en México y se canceló el vuelo de retorno, y me quitaron el line check, poniéndome días libres. Mi vencimiento es el 31/03, pero tengo dos semanas de vacaciones ese mes. Entonces quisiera por favor me confirmen si me van a re programar dentro de las dos primeras semanas de marzo. Muchas gracias!!</t>
  </si>
  <si>
    <t>¡Gracias por la información! Te informamos que, dado que tu mes base es marzo y según lo establecido en la RAP 63, esta actividad puede ser programada dentro de un período de elegibilidad que comprende 30 días antes, durante y después de tu mes base. Por lo tanto, tu verificación de competencia podrá ser agendada tanto en febrero como en abril, junto con la prórroga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</si>
  <si>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439eb77c-LATAM-LP</t>
  </si>
  <si>
    <t>11/03/2026 14:42</t>
  </si>
  <si>
    <t>"¡Gracias por tu mensaje!. Verificamos que la pregunta respondida erróneramente es la siguiente: "De acuerdo a la RTM 10 - 2025 "USO DE TOBOGANES Y TOBOGANES BALSA EN DITCHING A320 FAM", durante una preparación de cabina para ditching, en aviones A319 con tobogán balsa, puertas 4 L/R, ¿en qué paso debemos de retirar la cubierta del tobogán balsa?" Te recordamos que las consultas sobre errores de plataforma, notas o problemas con la interfaz deben ser gestionadas a través del canal de Soporte de Academia LATAM. Además, durante las evaluaciones es importante seguir los lineamientos indicados para evitar posibles errores. Puedes acceder al formulario mediante el siguiente link: https://sites.google.com/latam.com/sscap-ssc/soporte-academia-corporativa Esperamos que la respuesta te haya sido de gran ayuda."</t>
  </si>
  <si>
    <t>29f719db-LATAM-LP</t>
  </si>
  <si>
    <t>01/06/2026 17:02</t>
  </si>
  <si>
    <t>Buenas Tardes! se me envió un Fe de erratas corrigiendo mi pre publicación de vacaciones quedando del 1 al 15 de julio, sin embargo me acaban de confirmar solo del 1 al 7 de julio. Mi consulta es acerca de la semana del 8 al 15 de julio cuando se me confirma o es que ya no las tendré? Atento a sus comentarios me despido . Saludos César Campos.-</t>
  </si>
  <si>
    <t>"Hola, César, Esperamos que te encuentres muy bien. Muchas gracias por comunicarte con nosotros y por hacernos llegar tu consulta para verificar tu estado en el sistema. En relación a tu segundo bloque de vacaciones del 08 al 15-jul, serán confirmadas con 22 días de anticipación del inicio de las mismas. Saludos cordiales,"</t>
  </si>
  <si>
    <t>3a06fbd3-LATAM-LP</t>
  </si>
  <si>
    <t>02/06/2026 10:56</t>
  </si>
  <si>
    <t>e5cb0dba-LATAM-LP</t>
  </si>
  <si>
    <t>02/06/2026 11:01</t>
  </si>
  <si>
    <t>Según las consideraciones enviadas en el correo de Examen Medico no puedo realizarlo</t>
  </si>
  <si>
    <t>751260b2-LATAM-LP</t>
  </si>
  <si>
    <t>14/03/2026 09:56</t>
  </si>
  <si>
    <t>"¡Gracias por tu mensaje!. Verificamos que la pregunta respondida erróneamente es la siguiente: "Si nos referimos al nuevo proceso de "Auto Gen Dec", ¿cuántas horas antes del ETD del vuelo, desde SCL, estarán disponibles para su impresión?" Te recordamos que las consultas sobre errores de plataforma, notas o problemas con la interfaz deben ser gestionadas a través del canal de Soporte de Academia LATAM. Además, durante las evaluaciones es importante seguir los lineamientos indicados para evitar posibles errores. Puedes acceder al formulario mediante el siguiente link: https://sites.google.com/latam.com/sscap-ssc/soporte-academia-corporativa Esperamos que la respuesta te haya sido de gran ayuda."</t>
  </si>
  <si>
    <t>3a0877ca-LATAM-LP</t>
  </si>
  <si>
    <t>02/06/2026 12:21</t>
  </si>
  <si>
    <t>Los dias de mi REVA tengo DM por 3 de los 4 dias programados, en este caso, debo asistir al dia del ditching? Y que puedo hacer con el curso online?</t>
  </si>
  <si>
    <t>"¡Gracias por la información! Te informamos que, dado que se pierde la actividad de los 3 primeros días no puedes continuar con la actividad y se te agendará reserva en dicha fecha. Te informamos que, dado que tu mes base es julio y según lo establecido en la RAP 63, esta actividad puede ser programada dentro de un período de elegibilidad que comprende 30 días antes, durante y después de tu mes base. Por lo tanto, tu curso de revalidación de seguridad podrá ser agendada tanto en junio como en agosto, junto con la prórroga correspondiente. Esperamos que la respuesta te haya sido de gran ayuda."</t>
  </si>
  <si>
    <t>e9a6526d-LATAM-LP</t>
  </si>
  <si>
    <t>02/06/2026 15:20</t>
  </si>
  <si>
    <t>Buenas tardes actualmente me encuentro con DM hasta el dia 4/06, por ello mi consulta sobre la reprogramacion de mi EM que esta agendado por rol para este 08/06, quedo atenta a los comentarios.</t>
  </si>
  <si>
    <t>"¡Gracias por la información! Te comentamos que verificamos la asignación ME por rol, por lo que entendemos que llegaste a asistir a tu apto médico. Estaremos atentos a tu reporte. Esperamos que la respuesta te haya sido de gran ayuda."</t>
  </si>
  <si>
    <t>bea2bd99-LATAM-LP</t>
  </si>
  <si>
    <t>02/06/2026 18:27</t>
  </si>
  <si>
    <t>Buenos días, envié correos anteriormente a RH y soporte, quienes me indicaron que tenia el día adicional de vacaciones ya que tengo más de 6 años en SAB, me indicaron que lo programarian esta segundo semestre. La programación solo me llego por 23 días, más los 7 días que tome en marzo, seria un total de 30 días. Agradecería me informen porque no me están asignando el día adicional según me corresponde. Gracias</t>
  </si>
  <si>
    <t>"Hola, Stephani, Esperamos que te encuentres muy bien. Muchas gracias por comunicarte con nosotros y por hacernos llegar tu consulta para verificar tu estado en el sistema. En relación con tu meta anual, cuentas con un total de 32 días de vacaciones para el periodo del 01-feb-2026 al 31-ene-2027. A la fecha, has gozado o programado descansos en marzo (7 días), julio (7 días) y diciembre (16 días). Por lo tanto, tu saldo restante de 2 días se integrará al último bloque programado para que cumplas al 100% con tu plan establecido. Saludos cordiales,"</t>
  </si>
  <si>
    <t>dfa85b41-LATAM-LP</t>
  </si>
  <si>
    <t>11/04/2026 13:28</t>
  </si>
  <si>
    <t>Perdi linecheck el dia 01 del presente mes me lo van a reprogramar para el siguiente mes? Quedo atenta.</t>
  </si>
  <si>
    <t>¡Gracias por la información! Te informamos que, dado que tu mes base es Abril y según lo establecido en la RAP 63, esta actividad puede ser programada dentro de un período de elegibilidad que comprende 30 días antes, durante y después de tu mes base. Por lo tanto, tu curso de LCK A320 podrá ser agendado tanto en Abril como en Mayo, junto con la prórroga correspondiente.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</si>
  <si>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8a602584-LATAM-LP</t>
  </si>
  <si>
    <t>02/06/2026 21:13</t>
  </si>
  <si>
    <t>Buenos días tengo apto médico y examen médico ocupacional el día 03/06/2026. En mi rol sale RIT . Aviso para el cambio necesario. De igual forma notifico que yo pasé apto médico y ocupacional en noviembre. Quedo atento. Saludos!</t>
  </si>
  <si>
    <t>"¡Gracias por la información! Te comentamos que verificamos con la clínica que llegaste a asistir a tu apto médico. Agradecemos tu comunicación."</t>
  </si>
  <si>
    <t>2f1ba2d2-LATAM-LP</t>
  </si>
  <si>
    <t>02/06/2026 22:28</t>
  </si>
  <si>
    <t>En el examen de primeros auxilios marque las 10 preguntas correctamente. Al enviar el examen hubo una falla en el sistema y la última pregunta no aparece marcada, lo que no me permitio sacar 100 en el examen. Les pido por favor la correción del caso. Adjunto foto de la pregunta marcada antes de enviar el examen, el mensaje de error que salio en la pantalla y la pregunta sin marcar que figura en el resumen del examen. Gracias.</t>
  </si>
  <si>
    <t>7dfb529b-LATAM-LP</t>
  </si>
  <si>
    <t>24/04/2026 16:06</t>
  </si>
  <si>
    <t>08986a84-LATAM-LP</t>
  </si>
  <si>
    <t>03/06/2026 09:09</t>
  </si>
  <si>
    <t>Buen día , ya tengo pre publicada mi s vacaciones del 2 semestre y con ellas completo 30 día calendario.Tengo en servicio a bordo 16 años y sé tengo días restantes que no han sido considerados para este 2 semestre.Quiero saber cuantos días me quedan por tomar antes de Marzo 2027 que es cuando empieza mi año.</t>
  </si>
  <si>
    <t>"Hola, Lesly, Esperamos que te encuentres muy bien. Muchas gracias por comunicarte con nosotros y por hacernos llegar tu consulta para verificar tu estado en el sistema. En relación con tu periodo anual, cuentas con un total de 42 días de vacaciones para el ciclo del 01-mar-2026 al 28-feb-2027. A la fecha, has gozado o programado días en abril (8), mayo (7), octubre (8) y diciembre (8). Por lo tanto, te queda un saldo pendiente de 11 días que deberás disfrutar antes de tu fecha de aniversario. Saludos cordiales,"</t>
  </si>
  <si>
    <t>d603413a-LATAM-LP</t>
  </si>
  <si>
    <t>03/06/2026 10:56</t>
  </si>
  <si>
    <t>Recibí pre publicación de vacaciones ella detalla para el mes de diciembre dos semanas consecutivas dese el 1 al 07/ 08 al 15 . Sin embargo primera semana no fue parte de ninguna de las opciones que registré. Por lo que solicito se evalúe que se pueda asignarme del 8 al 23 como solicité en mi registro. Gracias por el tiempo</t>
  </si>
  <si>
    <t>"Hola Patricia, Esperamos que te encuentres muy bien. Muchas gracias por comunicarte con nosotros y por hacernos llegar tu consulta para verificar tu estado en el sistema. Te pedimos por favor realizar un intercambio de vacaciones con otro compañero para que puedan salir de vacaciones en el bloque deseado e ingresarlo a través del formulario de vacaciones SAB LP que se encuentra en el site LP. Saludos cordiales,"</t>
  </si>
  <si>
    <t>2e0c348b-LATAM-LP</t>
  </si>
  <si>
    <t>03/06/2026 11:40</t>
  </si>
  <si>
    <t>Observación en Apto médico: Me enviaron un correo donde mi apto médico pasa a observación hasta dar una nueva evaluación con el médico de la especialidad indicada, para lo cual yo ya tengo un sustento, el cual se lo he enviado a la clínica con copia a mi CPL para que esté enterada del proceso, porque hoy pensaba llevar el Formulario 001 de la DGAC, a mesa de partes en el Olivar, para renovar el apto médico, pero debido a la observación aún no se va a poder dar, por lo cual les pido su ayuda poniendo el proceso en stand by hasta que se levante la observación y pueda ir a entregar el formulario. Saludos y muy buenos días Carlos Castañeda Infante Bp: 4678306 El mié, 3 de jun de 2026, 11:05 a.m., Carlos Alejandro Castañeda Infante (LATAM) &lt;carlos.castaneda@latam.com&gt; escribió: Buenos días estimados, Como les comenté en el apto médico a las doctoras, los exámenes que me hice dieron positivo para TB Inactiva, esto quiere decir que yo no tengo TB, para lo cual adjunto los exámenes y de ser necesario tengo en un CD las radiografías realizadas. Espero con estos documentos sea suficiente para levantar la observación. Quedo atento a sus comentarios y de igual manera pongo en copia a mi jefa para que tenga conocimiento de la observación. Saludos Carlos Castañeda</t>
  </si>
  <si>
    <t>¡Gracias por la información! Te comentamos que hemos recibido el reporte de tu apto médico, y gestionaremos la emisión del nuevo apto. En cuanto esté finalizado, te contactaremos por correo para su recojo. Esperamos que la respuesta te haya sido de gran ayuda.</t>
  </si>
  <si>
    <t>991c3768-LATAM-LP</t>
  </si>
  <si>
    <t>03/06/2026 14:03</t>
  </si>
  <si>
    <t>Activación cursos online. Buenas tardes se me reprogramó la revalidación de abril al mes de junio. Sin embargo, veo que los cursos cargados se encuentran vencidos. Quisiera me pudieran ayudar para informarme cuándo estarían cargados los cursos vigentes. muchísimas gracias.</t>
  </si>
  <si>
    <t>"¡Gracias por la información! Te comentamos que se solicitó la asignación de los elearning desde el inicio de mes, en este caso puedes realizar los que figuran y quedaran registrados con la fecha en que los realices. Considera que en caso de algún inconveniente con la plataforma puedes acceder al formulario mediante el siguiente link: https://sites.google.com/latam.com/sscap-ssc/soporte-academia-corporativa ¡Agradecemos mucho tu colaboración y comprensión!"</t>
  </si>
  <si>
    <t>56d8b8f6-LATAM-LP</t>
  </si>
  <si>
    <t>03/06/2026 15:09</t>
  </si>
  <si>
    <t>stimados, En relación con el apto médico programado para mañana, quisiera informar que recientemente he estado bajo tratamiento médico. Tomé Augmentin hasta el día antes de ayer y Bequium hasta hace cuatro días por un cuadro de faringitis. Asimismo, debido a una reacción gastrointestinal asociada al tratamiento, acudí a emergencia por gastritis, motivo por el cual hasta el día de ayer estuve tomando sucralfato, esomeprazol y simeticona con enzimas pancreáticas y sales biliares. Considerando la indicación de no haber recibido medicación durante la semana previa al examen, agradecería me indiquen si es posible realizar el apto médico en la fecha programada o si corresponde reprogramarlo. Quedo atenta a sus comentarios. Saludos cordiales,</t>
  </si>
  <si>
    <t>a866920b-LATAM-LP</t>
  </si>
  <si>
    <t>25/04/2026 18:49</t>
  </si>
  <si>
    <t>2c772a29-LATAM-LP</t>
  </si>
  <si>
    <t>03/06/2026 20:35</t>
  </si>
  <si>
    <t>Buenas noches, en una anterior consulta soporte sab me confirmo que tenia 46 dias de vacaciones, las cuales solicite con el comentario indicado en el correo, pero en cuadro de las vacaciones prepublicadas solo me consideraron 30, el 24 de mayo la compañera Mayra Ruiz me cedio sus vacaciones del 8 al 15 de agosto, ya lo ingresamos por el link correspondiente,y el 29 de mayo la compañera Monica Castillo me brindo sus vacaciones del 8 al 15 de julio,tambien lo ingresamos por el medio correspondiente, cumpliendo asi los 46 dias pendientes que tenia de vacaciones, por favor considerar esos 16 dias adicionales que tengo pendientes del area anterior. Muchas gracias</t>
  </si>
  <si>
    <t>"Hola, Andrea, Esperamos que te encuentres muy bien. Muchas gracias por comunicarte con nosotros y por hacernos llegar tu consulta para verificar tu estado en el sistema. En relación con tu cesión de vacaciones con tu compañera Monica Castillo va a proceder con el objetivo consumir al 100% tus 16 días de vacaciones extras por movilidad interna. Saludos cordiales,"</t>
  </si>
  <si>
    <t>09e9e120-LATAM-LP</t>
  </si>
  <si>
    <t>03/06/2026 23:09</t>
  </si>
  <si>
    <t>3f7e3a8b-LATAM-LP</t>
  </si>
  <si>
    <t>04/06/2026 11:10</t>
  </si>
  <si>
    <t>1ab27e8d-LATAM-LP</t>
  </si>
  <si>
    <t>04/06/2026 19:21</t>
  </si>
  <si>
    <t>Realice el examen de Airbus 319/320/321 com nota aprobatori de 80, por favor quisiera saber cuales son las dos preguntas en las que tuve error. Gracias.</t>
  </si>
  <si>
    <t>8a22dcc9-LATAM-LP</t>
  </si>
  <si>
    <t>04/06/2026 20:29</t>
  </si>
  <si>
    <t>57b41036-LATAM-LP</t>
  </si>
  <si>
    <t>05/06/2026 09:09</t>
  </si>
  <si>
    <t>Hubo una falla sistema elearning .Este haciendo mi exámen de Primeros Auxilios estab en la pregunta 2 y se cerró la pantalla tuve que volver a hacer el exámen. Yo no lo terminé. Se cerró.</t>
  </si>
  <si>
    <t>fc1ef72d-LATAM-LP</t>
  </si>
  <si>
    <t>05/06/2026 14:52</t>
  </si>
  <si>
    <t>Buen día, el motivo de mi consulta es debido a que este mes se me ha programado reva por rol. Yo ya tuve reva en el mes de febrero y asumo que la de este mes es para revalidar la flota que no se me evaluó en febrero (B767), sin embargo, quisiera saber si de igual forma debo ingresar a los dias virtuales los cuales corresponden a la flota de airbus y asistir al exámen médico ocupacional el cual también ya tuve en el mes de febrero. Agradecería pudieran resolver mis dudas, muchas gracias.</t>
  </si>
  <si>
    <t>¡Gracias por la información! Te informamos que, dado que tu revalidación se encuentra agendada para este mes y a fin de homologar las fechas de ambas flotas se debe cumplir con toda la programación de revalidación, así como el agendamiento de exámen médico. Esperamos que la respuesta te haya sido de gran ayuda.</t>
  </si>
  <si>
    <t>4d227f88-LATAM-LP</t>
  </si>
  <si>
    <t>05/06/2026 16:59</t>
  </si>
  <si>
    <t>¡Gracias por la información! Respecto a la fecha de vencimiento, te confirmamos que no hay errores. La clínica reportó el vencimiento del apto médico para el 31 de julio de 2026. Dado que acabas de terminar el curso y retornarás a la línea, se deberá agendar un nuevo examen para renovar el documento antes de su próximo vencimiento. Considera que el apto lo tuviste en enero y la clínica está dando una validez solo de 6 meses, en este caso en el próximo agendamiento de apto debes considerar lo indicado por la clínica y llevar la documentación necesaria en caso te hayan solicitado presentar. Esperamos que la respuesta te haya sido de gran ayuda.</t>
  </si>
  <si>
    <t>cee14056-LATAM-LP</t>
  </si>
  <si>
    <t>05/06/2026 21:40</t>
  </si>
  <si>
    <t>Tengo descanso medico por un corte en el dedo que fue suturado, motivo por el cual no puedo rendir la reva que tenia programada del 8 al 11 de junio. Solicito su apoyo para que me la puedan reprogramar este mes.</t>
  </si>
  <si>
    <t>"¡Gracias por la información! Te informamos que, dado que tu mes base es julio y según lo establecido en la RAP 63, esta actividad puede ser programada dentro de un período de elegibilidad que comprende 30 días antes, durante y después de tu mes base. Por lo tanto, tu curso de revalidación de seguridad podrá ser agendada tanto en junio como en agosto, junto con la prórroga correspondiente.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</si>
  <si>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11aafe6e-LATAM-LP</t>
  </si>
  <si>
    <t>27/04/2026 17:00</t>
  </si>
  <si>
    <t>2d6ceb13-LATAM-LP</t>
  </si>
  <si>
    <t>06/06/2026 15:57</t>
  </si>
  <si>
    <t>33832fde-LATAM-LP</t>
  </si>
  <si>
    <t>29/04/2026 23:50</t>
  </si>
  <si>
    <t>Mi último vuelo en BOEING fue el 15 de febrero, estoy regresando de Descanso Medico prolongado,ya esta por cumplirse los 90 dias</t>
  </si>
  <si>
    <t>Hola, Kelly: Esperamos que hayas tenido un excelente día. Muchas gracias por comunicarte con nosotros y por informarnos sobre tu fecha de último vuelo. Valoramos mucho tu proactividad al monitorear tus tiempos de vigencia tras tu descanso médico. Al respecto, te confirmamos que, para asegurar tu correcta reincorporación, ya se te ha programado Experiencia Reciente (EXP REC) para el día 15 de mayo. Esperamos haberte ayudado!</t>
  </si>
  <si>
    <t>a2dd0bdb-LATAM-LP</t>
  </si>
  <si>
    <t>07/06/2026 12:16</t>
  </si>
  <si>
    <t>Estimados buenastardes. Junto con saludarlos, les comento que el día miércoles 3 de junio acudí a realizar mi evaluación para el Apto Médico y el día de hoy recibí el resultado, el cual figura como “No Apto”. Quisiera consultar cuál sería el procedimiento a seguir en mi caso, ya que dentro del informe emitido por el otorrino aeronáutico se indica que debo completar un tratamiento de tres meses. Actualmente recién me encuentro en el primer mes de tratamiento, por lo que aún me faltarían dos meses adicionales para culminarlo. Adjunto a este correo el informe médico del especialista y también el resultado del Apto Médico donde figura la condición de “No Apto”, para su revisión. Agradeceré me puedan indicar cuáles son los pasos a seguir o el procedimiento correspondiente. Cómo ingormacion, no me dieron nada en físico, solamente este informe virtual. No me envió un descanso médico ni documentos que tengo que presentar a people manager.</t>
  </si>
  <si>
    <t>"Hola Rocio, Esperamos que te encuentres muy bien. Muchas gracias por comunicarte con nosotros y por hacernos llegar tu consulta para verificar tu estado en el sistema. Te pedimos por favor ingresar tu consulta en la categoría correcta: "Apto médico" para que te puedan dar mayor detalle de los pasos a seguir debido a tu "No apto". Saludos cordiales,"</t>
  </si>
  <si>
    <t>760ba006-LATAM-LP</t>
  </si>
  <si>
    <t>07/06/2026 22:12</t>
  </si>
  <si>
    <t>Diego fornoni bp 2963130 - El dia de mañana tengo examen medico ocupacional en la clinica del trabajador, hay dos archivos adjuntos en el correo de invitacion, en consideraciones dice que no debo haber tomado "ningun" medicamento dentro de la semana y que no este resfriado, y en indicaciones, el cual lleva el logo de la clinica, dice que si tengo medicacion para alguna enfermedad no deje de tomarla. Desde ayer estoy resfriado, hoy es mas leve los sintomas y solo ayer tome medicacion. Debo reportarlo via ossa para la reprogramacion del emo y tendria que adjuntar algun descanso medico? O las consideraciones son solo para Apto medico</t>
  </si>
  <si>
    <t>3780533f-LATAM-LP</t>
  </si>
  <si>
    <t>08/06/2026 06:14</t>
  </si>
  <si>
    <t>Buenos dias, siendo las 6:13 del dia 8 de junio, infirmo que mi cuadro de refrio, rinorrea y malestar general, se intensificaron por lo que siguiendo las consideraciones e indicaciones de la clinica, solicito porfavor la reprogramacion de mi EMO. Diego fornoni bp 2963130</t>
  </si>
  <si>
    <t>f107caf0-LATAM-LP</t>
  </si>
  <si>
    <t>08/06/2026 10:09</t>
  </si>
  <si>
    <t>Consulta sobre vacaciones</t>
  </si>
  <si>
    <t>"Hola Briana, Esperamos que te encuentres muy bien. Muchas gracias por comunicarte con nosotros y por hacernos llegar tu consulta para verificar tu estado en el sistema. Te pedimos por favor profundizar en una siguiente consulta tu duda de vacaciones. Saludos cordiales,"</t>
  </si>
  <si>
    <t>fefaf89b-LATAM-LP</t>
  </si>
  <si>
    <t>08/06/2026 10:44</t>
  </si>
  <si>
    <t>Buen dia, me han programado el 22/06 examen medico ocupacional en la clinica del trabajador, mi licencia por maternidad termina el 20/06 y quiero saber si necesito lavantar mi apto medico del.post natal para poder realizar el chequeo medico. gracias</t>
  </si>
  <si>
    <t>"¡Gracias por la información! Te comentamos que se debe realizar el apto médico en la clínica; sin embargo, se debe realizar en la clínica Los Andes para que se levante el no apto. Recuerda que para el día del apto médico debes llevar toda la documentación de tu alta médica. Esperamos que la respuesta te haya sido de gran ayuda."</t>
  </si>
  <si>
    <t>f56865af-LATAM-LP</t>
  </si>
  <si>
    <t>08/06/2026 11:33</t>
  </si>
  <si>
    <t>Deseo el detalle de vale de alimentacion de los meses correspondientes de abril y mayo 2026 ya que no está disponible en la plataforma, adjunto el error que figura.</t>
  </si>
  <si>
    <t>0e3234fb-LATAM-LP</t>
  </si>
  <si>
    <t>18/05/2026 16:08</t>
  </si>
  <si>
    <t>Quisiera saber cuándo me toca o hasta cuándo tengo plazo para que me programen mi linecheck en B767? Para no venderme. Gracias</t>
  </si>
  <si>
    <t>Hola, Aldo: Esperamos que te encuentres muy bien. Muchas gracias por comunicarte con nosotros. Respecto a tu consulta sobre los plazos para la programación de tu Line Check (LCK) en material B767, te brindamos la información correspondiente: Te confirmamos que tu mes base de vencimiento es julio. Con el fin de asegurar la vigencia de tus habilitaciones operativas, la solicitud para esta actividad ya ha sido enviada para ser considerada dentro de la planificación del mes de junio. Te sugerimos mantenerte atento a la actualización de tu rol. Esperamos haberte ayudado</t>
  </si>
  <si>
    <t>7623fa9e-LATAM-LP</t>
  </si>
  <si>
    <t>27/05/2026 21:32</t>
  </si>
  <si>
    <t>Programación vuelo 767 por vencimiento</t>
  </si>
  <si>
    <t>Es una consulta duplicada y que ya se respondió el 1-junio.</t>
  </si>
  <si>
    <t>61cba8b8-LATAM-LP</t>
  </si>
  <si>
    <t>08/06/2026 12:18</t>
  </si>
  <si>
    <t>05e2d2c4-LATAM-LP</t>
  </si>
  <si>
    <t>28/05/2026 10:32</t>
  </si>
  <si>
    <t>Buenos dias, por medio de la presente quisiera comentarles que el dia de hoy tenia programado por rol linecheck en B767, el mismo que fue cancelado hoy por la mañana como pueden ver en el correo adjunto por cambio de avión. Cabe comentar que mi vencimiento es el 30/06 y ese mes estaré como HR. Les comento para que lo puedan tener en consideración.</t>
  </si>
  <si>
    <t>Consulta duplicada y ya respondida anteriormente</t>
  </si>
  <si>
    <t>472d2563-LATAM-LP</t>
  </si>
  <si>
    <t>28/05/2026 10:36</t>
  </si>
  <si>
    <t>El día de hoy por temas operativos perdí mi LCK en B767 el cual tiene como fecha de vencimiento 31.05.2026. Quisiera solicitar se me pueda programar en el mes de junio un LCK como prórroga para no perder la licencia de este avión y tener que recalificarme. Quedo atenta a las modificaciones que me puedan hacer en el rol ya publicado de junio para no perder esta licencia.</t>
  </si>
  <si>
    <t>Informativo del 29-mayo. Se envío propuesta de recuperación el 28-mayo y tripulante aceptó cambios el 29-mayo.</t>
  </si>
  <si>
    <t>8f94a0c9-LATAM-LP</t>
  </si>
  <si>
    <t>Con relación al correo que me enviaron el 26/05/26 sobre re programación de Reentrenamiento B787, Estimados SAB: Ok no hay problema pueden reprogramarme el RET B787 para el día 26 de Junio, una consulta a propósito de ello si tengo RET B787 porque el día 30 de Junio vuelo 2696/2697 LIM-SCL también tengo programado Chequeo de Competencia en esa flota, al tener un RET programado en esa flota así como tampoco lo tuve después de mi RET AF320, creo ya no tendría que tener Line Check en la misma flota B787, quedo a espera de respuesta por favor, muchas gracias Saludos Cordiales Eduardo Garavello(TCS)</t>
  </si>
  <si>
    <t>¡Gracias por la información! Te informamos que, dado que tu mes base de LCK A320F es julio y sólo tenías vencido la experiencia reciente A320F, te correspondía sólo realizar el reentrenamiento A320F. Con respecto a B787, tu experiencia reciente se encuentra vencida por lo que debes realizar reentrenamiento B787. Asimismo, el mes base de tu LCK B787 es mayo y según lo establecido en la RAP 63, esta actividad puede ser programada dentro de un período de elegibilidad que comprende 30 días antes, durante y después de tu mes base. Por lo tanto, tu verificación de competencia de LCK B787 se está agendado en junio, junto con la prórroga correspondiente. En conclusión, te corresponde realizar el reentrenamiento B787 + LCK B787.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</si>
  <si>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822616c6-LATAM-LP</t>
  </si>
  <si>
    <t>08/06/2026 15:17</t>
  </si>
  <si>
    <t>6d0e9a48-LATAM-LP</t>
  </si>
  <si>
    <t>08/06/2026 23:17</t>
  </si>
  <si>
    <t>Buenas noches, Por medio del presente, informo que no podré asistir al examen médico ocupacional el día 09 de Junio, debido a que no cumplo con la condición requerida en respecto a mi periodo menstrual según las indicaciones adjuntas en el correo. Actualmente tengo el código RTI. Gracias</t>
  </si>
  <si>
    <t>107e4df1-LATAM-LP</t>
  </si>
  <si>
    <t>09/06/2026 06:48</t>
  </si>
  <si>
    <t>Buen Dia, hoy tengo asignado examen médico ocupacional(rti) pero veo en las indicaciones que no se debe asistir si se tiene menos de 5 dias de haber culminado el periodo de menstruación. En mi caso, llevo 2 dias de haber culminado. Por favor, su apoyo para poder tener mi examen en otro fecha. Gracias. Saludos</t>
  </si>
  <si>
    <t>acd250e7-LATAM-LP</t>
  </si>
  <si>
    <t>09/06/2026 10:41</t>
  </si>
  <si>
    <t>Recibí repuesta a consulta previa código: d603413a-LATAM-LP. Sin embargo la información ahí plasmada no resuelve mi consulta. Yo ingresé diversas semanas como intenciones de vacaciones me otorgaron una semana que no es parte de ninguna de mis 08 diversas opciones. La del 1 al 07 de diciembre. Me indican que cambie con otro compañero sin embargo no tengo un registro de quienes salen en ese mes .al no tener acceso a esa información primero me resulta improbable consultar . Y luego mi consulta va a saber porque estas fechas fueron otorgadas y ala vez se pueda analizar cambiar mi publicación del 8 al 23/12/2026. Como las solicité atenta a tu respuesta . Gracias</t>
  </si>
  <si>
    <t>"Hola Patricia, Esperamos que te encuentres muy bien. Muchas gracias por comunicarte con nosotros y por hacernos llegar tu consulta para verificar tu estado en el sistema. Informarte que no se te pudo asignar el bloque del 16 al 23-dic y 24 al 31-dic porque JSB con mejor escalafón han cubierto dicho bloque de vacaciones. Dado que deseabas salir en bloques de vacaciones consecutivas, se te asignó del 01 al 15-dic. En caso que desees gozar de vacaciones del 16 al 23-dic, te pedimos por favor coordinar con otro compañero que tuviera el bloque deseado e ingresarlo por el formulario de vacaciones SAB LP. Te recomendamos coordinar con tu CPL, porque se le ha enviado la lista de vacaciones pre publicadas 2026 02 de su equipo, el cual es confidencial. Saludos cordiales,"</t>
  </si>
  <si>
    <t>d35d0457-LATAM-LP</t>
  </si>
  <si>
    <t>09/06/2026 14:19</t>
  </si>
  <si>
    <t>e07c0d85-LATAM-LP</t>
  </si>
  <si>
    <t>28/05/2026 10:53</t>
  </si>
  <si>
    <t>Con relación al correo que me enviaron el 26/05/26 para re programación de Reentrenamiento B787, Estimados SAB: Ok no hay problema pueden reprogramarme el RET B787 para el día 26 de Junio, una consulta a propósito de ello si tengo RET B787 porque el día 30 de Junio vuelo 2696/2697 LIM-SCL también tengo programado Chequeo de Competencia en esa flota, al tener un RET programado en esa flota así como tampoco lo tuve después de mi RET AF320, creo ya no tendría que tener Line Check en la misma flota B787, quedo a espera de respuesta por favor, muchas gracias Saludos Cordiales Eduardo Garavello(TCS) BP 1713541</t>
  </si>
  <si>
    <t>La consulta se repite y se respondió anteriormente.</t>
  </si>
  <si>
    <t>25c390af-LATAM-LP</t>
  </si>
  <si>
    <t>09/06/2026 20:42</t>
  </si>
  <si>
    <t>Buenas noches, me gustaría hacer la consulta sobre mi apto medico, ya que hace unos meses lo hice, sin embargo aun no recibo el correo para saber si ya lo puedo recoger y en dónde, cabe resaltar que mi apto medico actual está vigente hasta febrero del 2027.</t>
  </si>
  <si>
    <t>54f85db4-LATAM-LP</t>
  </si>
  <si>
    <t>28/05/2026 20:25</t>
  </si>
  <si>
    <t>Tenia programado mi chequeo en linea de Boeing para el dia de mañana 29 de mayo, el vuelo se ha cancelado y hare la ruta pero en airbus. Queria saber como se va a proceder en este caso ya que mi fecha limite de chequeo es el dia 30 de junio.</t>
  </si>
  <si>
    <t>198bba8a-LATAM-LP</t>
  </si>
  <si>
    <t>01/06/2026 13:22</t>
  </si>
  <si>
    <t>Estimados En el mes de mayo tenia asignado un vuelo en el equipo 767 y por movimiento del rol perdí el vuelo. Este mes de Junio no tengo asignado ningún vuelo en 767 y mi experiencia reciente se vence el 20 de junio. Tengo cuatro reservas seguidas los días 15,16,17,18 de Junio. Porfavor si pudiese ser posible me activen o programen un vuelo en el equipo 767 para no perder mi habilitación en el equipo 67. Muchas gracias</t>
  </si>
  <si>
    <t>a82bec74-LATAM-LP</t>
  </si>
  <si>
    <t>01/06/2026 16:14</t>
  </si>
  <si>
    <t>Buen día, Quisiera realizar una consulta respecto a mi vuelo de reentrenamiento y recalificación. He notado que en iFlight mi programación figura como operando; sin embargo, considerando que mi REVA fue el 11 de marzo del año pasado y que actualmente me encuentro retornando de mi licencia por maternidad, quería confirmar cómo quedaría mi condición para dicho vuelo. ¿Podrían indicarme, por favor, si correspondería realizarlo operando o si iría como pasajera? Quedo atenta a su orientación. Muchas gracias de antemano. Saludos cordiales, Thatiana Rios.</t>
  </si>
  <si>
    <t>¡Gracias por la información! Te comentamos que los vuelos asignados están con el Act Rank "CST", por lo que no operas el vuelo, ya que es un vuelo de entrenamiento. Asimismo, ten presente que el vuelo lo realizarás con una provisional y códigos de reserva que se enviarán con la anticipación correspondiente. Esperamos que la respuesta te haya sido de gran ayuda.</t>
  </si>
  <si>
    <t>3fc15bf0-LATAM-LP</t>
  </si>
  <si>
    <t>01/06/2026 14:44</t>
  </si>
  <si>
    <t>50ae6f9e-LATAM-LP</t>
  </si>
  <si>
    <t>10/06/2026 09:53</t>
  </si>
  <si>
    <t>Buenos días, escribo a consultar ya que mi Reva se encuentra vencida, por un tema de DM prolongado y soy médico, ayer me comunicaron que el 11 de este mes regreso a línea pero quisiera saber si puedo regresar igual sin la Reva que ya está programada para el 22, puedo volar antes de eso?.</t>
  </si>
  <si>
    <t>"¡Gracias por la información! Te informamos que cuentas con una prorroga en curso revalidación hasta el 30 de junio del 2026, por lo que puedes operar sin inconvenientes y llevar tu curso en el mes de junio.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</si>
  <si>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840384a7-LATAM-LP</t>
  </si>
  <si>
    <t>02/06/2026 12:03</t>
  </si>
  <si>
    <t>Mi chequeo latam B787 fué el 30abril2025 y mi chequeo DGAC fué el 27 de junio 2025, mi consulta es la siguiente, me programaron chequeo para el 22 de mayo pero me lo quitaron y éste mes no tengo chequeo, podrían decirme cuando podría ser mi chequeo B787</t>
  </si>
  <si>
    <t>1711811b-LATAM-LP</t>
  </si>
  <si>
    <t>10/06/2026 11:27</t>
  </si>
  <si>
    <t>72f5e088-LATAM-LP</t>
  </si>
  <si>
    <t>10/06/2026 11:31</t>
  </si>
  <si>
    <t>a50e0c41-LATAM-LP</t>
  </si>
  <si>
    <t>02/06/2026 20:50</t>
  </si>
  <si>
    <t>Comentarles que el día 1ro me activaron para Madrid, perdiendo así mi LCK del día 05/06, para que lo tomen en cuenta para el prox mes, gracias!</t>
  </si>
  <si>
    <t>6df9b04b-LATAM-LP</t>
  </si>
  <si>
    <t>12/06/2026 11:49</t>
  </si>
  <si>
    <t>Quisiera su apoyo para re programación para julio ya que el 09 tenia linecheck y por motivos operacional se cancelo el vuelo.</t>
  </si>
  <si>
    <t>d088bbec-LATAM-LP</t>
  </si>
  <si>
    <t>12/06/2026 18:40</t>
  </si>
  <si>
    <t>Estimados favor de solicitar prórroga para el mes de Julio, mi linecheck de B-767 se vence éste mes de junio y no tengo linecheck programado este mes, Gracias.</t>
  </si>
  <si>
    <t>¡Gracias por la información! Te informamos que, dado que tu mes base es junio y según lo establecido en la RAP 63, esta actividad puede ser programada dentro de un período de elegibilidad que comprende 30 días antes, durante y después de tu mes base. Por lo tanto, tu verificación de competencia podrá ser agendada en julio, junto con la prórroga correspondiente (la cual ya fue solicitada).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</si>
  <si>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0855e6dc-LATAM-LP</t>
  </si>
  <si>
    <t>11/06/2026 00:44</t>
  </si>
  <si>
    <t>Consulta días adicionales. Buenas noches quisiera saber su para esta año podría tomar lps 20 días que me indicaron tenia como pendientes para tomar. Verifico que tengo programación para setiembre 15 días. Quería saber si puedo solicitar los. 5 días para tomarlos en agosto. Muchas gracias</t>
  </si>
  <si>
    <t>"Hola Veronica, Esperamos que te encuentres muy bien. Muchas gracias por comunicarte con nosotros y por hacernos llegar tu consulta para verificar tu estado en el sistema. Informarte que cuentas con saldo disponibles de vacaciones y puedes gozarlo en un bloque mínimo de 7 días de vacaciones pero debes ingresarlo como un pedidos adicional de vacaciones para tenerlo mapeado y evaluado. Saludos cordiales,"</t>
  </si>
  <si>
    <t>7b87eb7c-LATAM-LP</t>
  </si>
  <si>
    <t>08/06/2026 10:54</t>
  </si>
  <si>
    <t>f8e102f3-LATAM-LP</t>
  </si>
  <si>
    <t>08/06/2026 13:21</t>
  </si>
  <si>
    <t>Buenos días estimados, el día de ayer ingresé mi solicitud de devolución de multa electoral. En el formulario solicitan el comprobante de pago y foto del fotocheck, sin embargo en el correo indican que se debe adjuntan el dni. Yo seguí lo que solicitaba el formulario ya que no dejaban adjuntar más documentos. Me queda la duda si es que el reembolso será válido. En todo caso me podrían confirmar si es que debo ingresar otra solicitud colocando el dni el lugar del fotocheck? Quedo atenta, gracias.</t>
  </si>
  <si>
    <t>Estimada Caroline, Te pedimos volver a ingresar el formulario adjuntando tu DNI Esperamos haberte ayudado</t>
  </si>
  <si>
    <t>7b17d193-LATAM-LP</t>
  </si>
  <si>
    <t>11/06/2026 16:04</t>
  </si>
  <si>
    <t>El mes de mayo tuve vacaciones que iniciaban el día 16, antes de mis vacaciones me dieron 4 días libres por legalidad ya que volaba hasta mi sexto día. Un día antes de mis 4 días libres tuve Mendoza y por un tema con un pasajero el vuelo salió demorado y por temas de descanso de la tripulación tuvimos que quedarnos en cusco , otra tripulación tuvo que llevar a los pasajeros a Lima. Agarrando mi día libre por legalidad y corriendo mis 4 días libres agarrando un día de mis vacaciones . Te adjunto pantallazos. Tenía entendido que por agarrar un día de tus vacaciones tenían que realizarme un pago a mi cuenta de viáticos y por un día libre por legalidad un pago a mi edenred es así o me estoy equivocando . Espero me puedas ayudar con esta duda . Gracias Alejandra Alzamora Azabache</t>
  </si>
  <si>
    <t>"Hola Alejandra Esperamos que te encuentres muy bien. Muchas gracias por comunicarte con nosotros y por hacernos llegar tu consulta para verificar tu estado en el sistema. Informarte que efectivamente te corresponde el pago de tu bono de cancelación de vacaciones, el cual se le ha reportado al equipo de Nómina para que sea reflejado en su boleta de mayo como "bono extraordinario". Te pedimos por favor validarlo mediante el canal de RH Connect. Saludos cordiales,"</t>
  </si>
  <si>
    <t>d43fb1f9-LATAM-LP</t>
  </si>
  <si>
    <t>11/06/2026 16:08</t>
  </si>
  <si>
    <t>Estimada Claudia , Espero te encuentres bien . Quería comentarte lo que me ocurrió en mayo , no lo tengo muy claro . El mes de mayo tuve vacaciones que iniciaban el día 16, antes de mis vacaciones me dieron 4 días libres por legalidad ya que volaba hasta mi sexto día. Un día antes de mis 4 días libres tuve Mendoza y por un tema con un pasajero el vuelo salió demorado y por temas de descanso de la tripulación tuvimos que quedarnos en cusco , otra tripulación tuvo que llevar a los pasajeros a Lima. Agarrando mi día libre por legalidad y corriendo mis 4 días libres agarrando un día de mis vacaciones . Te adjunto pantallazos. Tenía entendido que por agarrar un día de tus vacaciones tenían que realizarme un pago a mi cuenta de viáticos y por un día libre por legalidad un pago a mi edenred es así o me estoy equivocando . Espero me puedas ayudar con esta duda . Gracias Alejandra Alzamora Azabache</t>
  </si>
  <si>
    <t>Estimada, Sobre el pago por el libre afectado, se consideró el día para el pago de mayo (que se efectúa en junio), dicho pago se debe visualizar en tu edenred.</t>
  </si>
  <si>
    <t>a38d69b6-LATAM-LP</t>
  </si>
  <si>
    <t>11/06/2026 17:56</t>
  </si>
  <si>
    <t>Buenas tardes. Tuve programada mi reva de seguridad del 18/05 al 21/05, pero la perdí debido a un proceso interno por el que estuve pasando en esas fechas. Tengo entendido que la fecha de vencimiento es hasta el 30/06, pero no me programaron este mes. Le consulté a mi CPL y me indicó que envíe la consulta a soporte para que me ayuden a programar en Julio. Quedo atenta, gracias!</t>
  </si>
  <si>
    <t>"¡Gracias por la información! Te informamos que, dado que tu mes base es Junioy según lo establecido en la RAP 63, esta actividad puede ser programada dentro de un período de elegibilidad que comprende 30 días antes, durante y después de tu mes base. Por lo tanto, tu curso de revalidación de seguridad podrá ser agendada tanto en mayo como en julio, junto con la prórroga correspondiente.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</si>
  <si>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db274360-LATAM-LP</t>
  </si>
  <si>
    <t>11/06/2026 20:12</t>
  </si>
  <si>
    <t>Debido a que me comenzó mi período el día de hoy lamentablemente no podré pasar el apto médico programado para el 12/06/2026; ya que esa es una de las consideraciones a tomar en cuenta antes de pasar el apto. Gracias.</t>
  </si>
  <si>
    <t>Se respondió a TC y se programó apto para el 19 de junio.</t>
  </si>
  <si>
    <t>27708097-LATAM-LP</t>
  </si>
  <si>
    <t>30/05/2026 09:26</t>
  </si>
  <si>
    <t>Por favor solicito se me pudiera otorgar una licencia durante el mes de julio debido a que actualmente no cuento con apoyo para el cuidado de mi bebé en casa. Este período me permitirá dedicar el tiempo necesario para buscar, evaluar y seleccionar a la persona idónea que pueda asumir dicha responsabilidad, garantizando así el bienestar y la adecuada atención de mi hijo. Contar con este tiempo adicional me permitirá organizar esta transición de manera responsable y regresar a mis labores de vuelo con la tranquilidad y concentración que las funciones de mi cargo requieren. Agradezco de antemano su comprensión y quedo atenta a cualquier información adicional que se requiera.</t>
  </si>
  <si>
    <t>Estimada Yuli, Espero que te encuentres muy bien junto a tu bebé y disfrutando de esta etapa de su crecimiento. Queremos agradecerte la confianza al compartirnos tu situación. Respecto a tu solicitud, te pedimos por favor canalizar este caso directamente con tu CPL. Asimismo, te comentamos que por el momento las plazas no se encuentran habilitadas; sin embargo, en caso de que se abran nuevos cupos para una siguiente convocatoria de Licencia sin Goce, lo estaremos informando de manera oportuna a toda la tripulación. Esperamos haberte ayudado</t>
  </si>
  <si>
    <t>e471b5c0-LATAM-LP</t>
  </si>
  <si>
    <t>12/06/2026 20:20</t>
  </si>
  <si>
    <t>Buenas noches. El día 02/05 tuve una asignación de 2 piernas adicionales en mi jornada y me salio que podía solicitar un dia adicional para el mes de julio. Y yo envie el formulario el 20.05 solicitando el 21.07 libre sin embargo no lo veo en pbs queria que me confirmen que se me asignara o lo programo para agosto. Me confirman por favor porque los pedifos se terminan el 15.06 muchas gracias</t>
  </si>
  <si>
    <t>Estimada Verónica Espero que te encuentres muy bien. Comprendemos tu preocupación por asegurar la programación de tu día libre Queremos darte la tranquilidad de que tu solicitud para el 21 de julio ya fue enviada correctamente al equipo de roles como fecha pedida de días libres. Respecto a que aún no lo visualices, te comentamos que en la ventana de PBS solo se muestra el 90% de las preasignaciones; por esta razón, te pedimos esperar a la publicación oficial del Rol para poder revisar la totalidad de tus asignaciones. Esperamos haberte ayudado</t>
  </si>
  <si>
    <t>ead09604-LATAM-LP</t>
  </si>
  <si>
    <t>12/06/2026 09:17</t>
  </si>
  <si>
    <t>Hola buen día escribo para informar que tengo pendiente la reva de seguridad , tengo fecha de vencimiento el 31 de julio , solicito porfavor que me consideren ya que revisando el PBS no cuento con la reva programada , gracias !</t>
  </si>
  <si>
    <t>"¡Gracias por la información! Te informamos que, dado que tu mes base es Julio y según lo establecido en la RAP 63, esta actividad puede ser programada dentro de un período de elegibilidad que comprende 30 días antes, durante y después de tu mes base. Por lo tanto, tu curso de revalidación de seguridad podrá ser agendada tanto en junio como en agosto, junto con la prórroga correspondiente.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</si>
  <si>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c2e3a25a-LATAM-LP</t>
  </si>
  <si>
    <t>12/06/2026 10:28</t>
  </si>
  <si>
    <t>Recibí mi licencia Chilena que vence este mes pero mi segundo apellido está mal escrito, siendo lo correcto BLASENDORFF, por favor corregirlo, muchas gracias.</t>
  </si>
  <si>
    <t>Estimada, Espero que te encuentres bien. Comentarte que hemos enviado su licencia chilena corregida. La DGAC nos ha sugerido solo colocar dos nombres para que aparezcan sus apellidos completos. Quedamos atentos a otra inquietud.</t>
  </si>
  <si>
    <t>b28bcde3-LATAM-LP</t>
  </si>
  <si>
    <t>13/06/2026 12:37</t>
  </si>
  <si>
    <t>Buenas tardes, El motivo de la presente es para solicitar información sobre mi reprogramación de mi verificación de competencia en la flota Airbus la cual estaba programada para el dìa 09 del presente mes. Quería saber cuando serà reprogramada o si la tienen en cuenta oara el mea de Julio. Verificando el PBS no figura ninguna asignación programada para el siguiente mes. Saludos.</t>
  </si>
  <si>
    <t>85e41c73-LATAM-LP</t>
  </si>
  <si>
    <t>15/06/2026 02:42</t>
  </si>
  <si>
    <t>Estimados por favor les escribo ya que aproximadamente el 10 de julio se estará venciendo en mi experiencia reciente en boing 767 les adjunto foto de mi último vuelo en dicha flota por favor tlmar en cuenta mi solicitud, ya que vengo pidiendo vuelo en 767 ya dos veces para evitar esta situación</t>
  </si>
  <si>
    <t>¡Gracias por la información! Te comentamos que la asignación de tu último vuelo para la flota B767 se realizará antes de la fecha de vencimiento 13-julio-2026). Asimismo, considerar que no se te asignó vuelo anteriormente por lo que te encontrabas con Protección de Rol por renovación de documentación (pasaporte).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</si>
  <si>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8d73a25e-LATAM-LP</t>
  </si>
  <si>
    <t>12/06/2026 15:39</t>
  </si>
  <si>
    <t>2bfa5cca-LATAM-LP</t>
  </si>
  <si>
    <t>15/06/2026 10:29</t>
  </si>
  <si>
    <t>Buenos días, me encuentro en el mes de vencimiento de mi chequeo de 767 y me lo programaron para el 12/06 lamentablente lo perdí ya que me encontraba con descanso médico, en este momento me encuentro de vacaciones hasta el 30/06. Les escribo por favor para que me puedan tener en cuenta para la programación de mi chequeo de 767 para el mes de Julio que sería el mes de prórroga. Muchas gracias.</t>
  </si>
  <si>
    <t>9d76e307-LATAM-LP</t>
  </si>
  <si>
    <t>15/06/2026 16:57</t>
  </si>
  <si>
    <t>Hace unos dias iba a tener un Rt Scl de experiencia reciente para no vencerme y la noche anterior al vuelo me quitan la asignación y por ende me he vencido. En esros momentos me encuentro de vacaciones fuera del pais retornando el dia 30 de junio. Agradeceré puedan programarmw wl reentrenamiento de lo posible a partie de la 15na de Julio para poder prepararme adecuadamente, muchas gracias.</t>
  </si>
  <si>
    <t>¡Gracias por la información! Te informamos que estamos coordinando la asignación de tu reentrenamiento 767, en base a la disponibilidad de los instructores y la holgura operativa. Asimismo, te estaremos notificando por correo la información de tu asignación con la debida anticipación para que puedas prepararte adecuadamente. Esperamos que la respuesta te haya sido de gran ayuda.</t>
  </si>
  <si>
    <t>79ed9c42-LATAM-LP</t>
  </si>
  <si>
    <t>12/06/2026 23:19</t>
  </si>
  <si>
    <t>Me llego un primer correo pre publicación de vacaciones donde me ponían que me daban las fechas del 16 al 23 de julio, y una semana en diciembre. Les envié un formulario porque necesitaba dos semanas en julio, fechas que ingrese al momento de hacer mi pedido de vacaciones. En esa solicitud les preguntaba porque no me otorgaron la semana que pedí. Porque me era necesaria. Pedí un adelanto a base de ese correo enviado. Al día siguiente me envían otro correo con título fe de erratas, y me ponen fechas 08 al 23 de julio y una en diciembre por vencimiento. Ahora revisando el pbs me sale off dutu del 08 al 23 de julio. Por favor si es que me están dando las dos semanas que pedí de julio, no deseo las adicionales. Ya que me base en su primer correo. Les agradecía me puedan ayudar por favor.</t>
  </si>
  <si>
    <t>"Hola Lorena, Esperamos que te encuentres muy bien. Muchas gracias por comunicarte con nosotros y por hacernos llegar tu consulta para verificar tu estado en el sistema. Informarte que se cancelará tu pedido adicional de vacaciones para el mes de julio (24 al 31-jul). Saludos cordiales,"</t>
  </si>
  <si>
    <t>3bb4b389-LATAM-LP</t>
  </si>
  <si>
    <t>13/06/2026 14:10</t>
  </si>
  <si>
    <t>Estimados, Por medio del presente deseo informar que he sido programado para realizar mi Line Check inmediatamente despues de mi periodo vacacional. Sin embargo, mi vencimiento de competencia se encuentra vigente hasta finales de agosto, por lo que agradeceria puedan revisar la programación asignada y confirmar si corresponde mantener dicha evaluacion en la fecha programada para el mes de julio o reprogramarla dentro del periodo de vigencia establecido. Agradezco de antemano su apoyo y quedo atento a sus comentarios.</t>
  </si>
  <si>
    <t>¡Gracias por la información! Te informamos que, dado que tu mes base de LCK B767 es agosto y según lo establecido en la RAP 63, esta actividad puede ser programada dentro de un período de elegibilidad que comprende 30 días antes, durante y después de tu mes base. Por lo tanto, tu verificación de competencia podrá ser agendada tanto en julio como en septiembre,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</si>
  <si>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9289ff78-LATAM-LP</t>
  </si>
  <si>
    <t>16/06/2026 15:56</t>
  </si>
  <si>
    <t>5a31fec9-LATAM-LP</t>
  </si>
  <si>
    <t>14/06/2026 17:23</t>
  </si>
  <si>
    <t>Examen medico ocupacional</t>
  </si>
  <si>
    <t>0f9a9783-LATAM-LP</t>
  </si>
  <si>
    <t>14/06/2026 19:29</t>
  </si>
  <si>
    <t>Buenas noches estimados, me acaba de llegar la confirmación de mis vacaciones del 24/07/26 al 07/08/26. Había solicitado hasta el día 15/07/26 y en el correo de pre publicación se mostraban esas fechas incluidas. Me gustaría saber si para ese último bloque debo esperar un siguiente correo de confirmación o estos dos únicos bloques serán los únicos confirmados? Agradezco mucho su atención</t>
  </si>
  <si>
    <t>"Hola Cindy, Esperamos que te encuentres muy bien. Muchas gracias por comunicarte con nosotros y por hacernos llegar tu consulta para verificar tu estado en el sistema. Informarte que tus vacaciones pre publicadas del 08 al 15-ago serán confirmadas con 22 días de anticipación al inicio de las mismas. Saludos cordiales,"</t>
  </si>
  <si>
    <t>402da50e-LATAM-LP</t>
  </si>
  <si>
    <t>14/06/2026 20:32</t>
  </si>
  <si>
    <t>Confirmación de vacaciones. El día 3 de junio envie un correo a Julio Cesar Auccaise con copia a Luis Bacigalupo. El mes de abril tenía vacaciones del 8 al 22 a abril. Por descanso médico se me quitaron los días del 8 al 15 de abril. Y luego se me extendieron las vacaciones del 23 al 30 para recuperar los 8 días perdidos. Sin embargo, en mi boleta del mes de abril solo se han considerado 7 días de vacaciones no los 15 que se otorgaron, al extenderlas luego del descanso médico inicial, días que se recuperaron del 23 al 30 de abril, reflejados en rol recién el 21 de abril. De igual manera, en el correo enviado el 23 de mayo sobre la prepublicación de vacaciones 2026-2 se consignaron 7 días (los cuales son los únicos pendientes) del 16/07 al 23/07. Sin embargo, luego se envió un fe de erratas ampliando estas vacaciones del 08 al 23. Y hoy me acaba de llegar un correo de confirmación de vacaciones que estan son del 8 al 23 bloqueando además el pedido de pbs, cuando las vacaciones solo deberían ser del 16/07 al 23/07. Espero me puedan ayudar con esos temas.</t>
  </si>
  <si>
    <t>"""Hola Alain, Esperamos que te encuentres muy bien. Muchas gracias por comunicarte con nosotros y por hacernos llegar tu consulta para verificar tu estado en el sistema. Te informo que, inicialmente, tenías vacaciones confirmadas del 8 al 22 de abril. Debido a que presentaste un descanso médico, el periodo efectivo de vacaciones quedó del 16 al 22 de abril. Para el corte de la prepublicación SAB 202602, se tomó la información inicial para programar 16 días de vacaciones por vencimiento antes de tu fecha de aniversario (1 de septiembre). Posteriormente a este corte, logramos recuperar los días que no gozaste en abril (del 23 al 30 de abril); sin embargo, debido a los tiempos del proceso, ya no fue posible actualizar este cambio para la prepublicación del siguiente semestre. Dado que se te han prepublicado 8 días de vacaciones extra (del 8 al 15 de julio), estas no afectarán tu meta 2026-2027. Tu nueva meta de 30 días se mantendrá con normalidad a partir del 1 de septiembre (F. Aniversario). Si deseas cancelar las vacaciones programadas del 8 al 15 de julio, te solicitamos por favor registrar la solicitud a través del formulario de consultas para poder regularizarlo una vez que se publique el rol de julio. Te ofrecemos una sincera disculpa por los inconvenientes ocasionados con este incidente puntual. Quedamos a tu disposición si tienes alguna duda adicional. Saludos cordiales,"""</t>
  </si>
  <si>
    <t>a644f2aa-LATAM-LP</t>
  </si>
  <si>
    <t>14/06/2026 20:34</t>
  </si>
  <si>
    <t>Hola, buen día. El día de hoy recibí un correo de confirmación de vacaciones para agosto; sin embargo, anteriormente realicé un cambio con una compañera y prioricé una solicitud para septiembre, la cual fue aceptada. Ambos cambios fueron preconfirmados y posteriormente aprobados, por lo que actualmente mis vacaciones corresponden al mes de septiembre. No estoy segura por qué se me ha enviado la confirmación de agosto, ya que entiendo que esa fecha le corresponde a mi compañera. Adjunto evidencia de los cambios realizados y aceptados</t>
  </si>
  <si>
    <t>"""Hola Denissa Esperamos que te encuentres muy bien. Muchas gracias por comunicarte con nosotros y por hacernos llegar tu consulta para verificar tu estado en el sistema. Informarte que se te notificó la aprobación del intercambio de vacaciones el 09-jun posteriormente a nuestro corte de la programación de las vacaciones de julio y la primera semana de agosto. Te peidmos por favor hacer caso omiso al correo enviado anteriormente, ya que gozarías el nuevo bloque del 01 al 07-sep. Saludos cordiales,"""</t>
  </si>
  <si>
    <t>d88fc56e-LATAM-LP</t>
  </si>
  <si>
    <t>16/06/2026 13:47</t>
  </si>
  <si>
    <t>Experiencia reciente equipo Boing</t>
  </si>
  <si>
    <t>¡Gracias por la información! Te comentamos que debido a que tienes Rol Especial se evaluará en julio la asignación de tu último vuelo para la flota B767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</si>
  <si>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95a6c5db-LATAM-LP</t>
  </si>
  <si>
    <t>15/06/2026 08:23</t>
  </si>
  <si>
    <t>Estimados, para su conocimiento no pude asistir al examen médico ocupacional por no cumplir alguna de las condiciones para rendirlo, quedo atenta para la reprogramación.</t>
  </si>
  <si>
    <t>94eebae8-LATAM-LP</t>
  </si>
  <si>
    <t>26/05/2026 18:38</t>
  </si>
  <si>
    <t>Tengo una consulta respecto al procedimiento para la activación de vale (bono) en casos de esperas no programadas. En situaciones donde se genera una espera mayor a 1 hora con 45 minutos (ya sea por llegada anticipada a un vuelo o por demoras operativas), quisiera confirmar cuál es el canal correcto para realizar la solicitud: ¿Debe gestionarse mediante el módulo de “consultas en SAP “ o a través del “reporte de demoras?” Esto debido a que anteriormente se me indicó realizarlo por el módulo de consultas; sin embargo, recientemente se me ha informado que debe hacerse mediante el reporte de demoras. Agradeceré su orientación para proceder correctamente en futuros casos. (Adjunto foto de dichos módulos)</t>
  </si>
  <si>
    <t>Estimada, El reporte debe gestionarse mediante el reporte de demoras. Saludos,</t>
  </si>
  <si>
    <t>4ea30b43-LATAM-LP</t>
  </si>
  <si>
    <t>17/06/2026 18:42</t>
  </si>
  <si>
    <t>Tenia line check de Boeing 787 el dia de mañana 18 de Junio y fue cancelado ,solicito por favor se me pueda reprogramar a la brevedad y evitar el vencimiento , muchas gracias</t>
  </si>
  <si>
    <t>¡Gracias por la información! Te informamos que, dado que tu mes base de LCK B787 es julio y según lo establecido en la RAP 63, esta actividad puede ser programada dentro de un período de elegibilidad que comprende 30 días antes, durante y después de tu mes base. Por lo tanto, tu verificación de competencia podrá ser agendada en agosto,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</si>
  <si>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6c459f7b-LATAM-LP</t>
  </si>
  <si>
    <t>15/06/2026 15:58</t>
  </si>
  <si>
    <t>actualización de domicilio licencia chilena, hoy me acerque al olivar y estuve con Maria Paula viendo esto, por favor quisiera que puedan actualizar mi domicilio en la licencia chilena con esta dirección: Jr. El mástil 527 dpto. 201 Urb. Club campestre las lagunas distrito la molina - Lima adjunto mi dni para q pueda ser igual muy agradecido</t>
  </si>
  <si>
    <t>Estimado Se procesó su solicitud y se envió su convalidación licencia chilena. Gracias</t>
  </si>
  <si>
    <t>04efe149-LATAM-LP</t>
  </si>
  <si>
    <t>15/06/2026 17:34</t>
  </si>
  <si>
    <t>Estimados, buenas tardes, el motivo de la presente es consultar el vencimiento de mi habilitación en el B767 debido a que en el Iflight me figura que expiró el 31/05, pero mi licencia fue entrega el 21/05. Quedo atenta a su pronta respuesta. Muchas gracias de antemano.</t>
  </si>
  <si>
    <t>Estimada, Espero que te encuentres bien. Comentarte que hemos revisado iFLight y se visualiza su convalidación de licencia chilena con vencimiento 29 de febrero 2028 al igual que su apto médico. Su licenica peruana no caduca Quedamos atentos a otra inquietud.</t>
  </si>
  <si>
    <t>92533722-LATAM-LP</t>
  </si>
  <si>
    <t>15/06/2026 17:40</t>
  </si>
  <si>
    <t>Estimados, buenas tardes, el motivo de la presente es consultar sobre el vencimiento de mi habilitación en el B767, debido a que en el Iflight me figura que vencio el 31/05, pero mi licencia fue otorgada el 21/05. Quedo atenta a su pronta respuesta. Muchas gracias de antemano.</t>
  </si>
  <si>
    <t>ea42add0-LATAM-LP</t>
  </si>
  <si>
    <t>15/06/2026 17:47</t>
  </si>
  <si>
    <t>Estimados, buenas tardes, el motivo de la presente es consultar sobre el vencimiento de mi habilitación en el B767, debido a que en el Iflight me figura que vencio el 31/05, pero mi licencia fue otorgada el 21/05. Quedo atenta a su pronta respuesta. Muchas gracias de antemano</t>
  </si>
  <si>
    <t>45680531-LATAM-LP</t>
  </si>
  <si>
    <t>15/06/2026 17:28</t>
  </si>
  <si>
    <t>AM99</t>
  </si>
  <si>
    <t>2b1314c0-LATAM-LP</t>
  </si>
  <si>
    <t>15/06/2026 19:28</t>
  </si>
  <si>
    <t>Buenas noches, el 2 de junio tenía mi emo la cual tuve que reprogramar por dm. Solicito programación de mi nueva fecha de examen médico ocupacional, ya que según el pbs para el mes de julio no tengo programado nada. Me informaron que esté atenta al correo pero no me llega nada. Quedo atenta. Saludos.</t>
  </si>
  <si>
    <t>e2098fd0-LATAM-LP</t>
  </si>
  <si>
    <t>16/06/2026 10:33</t>
  </si>
  <si>
    <t>7a5ac93d-LATAM-LP</t>
  </si>
  <si>
    <t>16/06/2026 10:36</t>
  </si>
  <si>
    <t>holat67rdxft76fcgyt76igcfv y</t>
  </si>
  <si>
    <t>hjbbjhblioubjhuiuhjb</t>
  </si>
  <si>
    <t>42edef87-LATAM-LP</t>
  </si>
  <si>
    <t>18/06/2026 12:39</t>
  </si>
  <si>
    <t>Buenas tardes, para informales que por motivo de salud tuve estoy con descanso médico desde el 17 hasta el 18 de junio y perdí mi verificación de competencia de Airbus que tenia programada el 17 de junio ,les comento para que por favor si es posible programarme para julio, verificando mi vencimiento ea en Julio muchas gracias que tengan un excelente día</t>
  </si>
  <si>
    <t>¡Gracias por la información! Te informamos que, dado que tu mes base de LCK A320F es julio y según lo establecido en la RAP 63, esta actividad puede ser programada dentro de un período de elegibilidad que comprende 30 días antes, durante y después de tu mes base. Por lo tanto, tu verificación de competencia podrá ser agendada en agosto,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</si>
  <si>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a2e7a2c0-LATAM-LP</t>
  </si>
  <si>
    <t>16/06/2026 15:15</t>
  </si>
  <si>
    <t>00a82c16-LATAM-LP</t>
  </si>
  <si>
    <t>16/06/2026 15:22</t>
  </si>
  <si>
    <t>Quisiera saber cuantos dias de vacaciones tendria disponible si necesitaria salir el otro año en enero</t>
  </si>
  <si>
    <t>"""Hola Luz Esperamos que te encuentres muy bien. Muchas gracias por comunicarte con nosotros y por hacernos llegar tu consulta para verificar tu estado en el sistema. Informarte que cuentas con una meta de 30 días de vacaciones del 01-may-2026 al 30-abr-2027. Si consideramos tus vacaciones pre publicadas de agosto y diciembre, te quedaría un saldo disponible de 16 días de vacaciones que lo puedes gozar hasta el 30-abr-2027. Saludos cordiales,"""</t>
  </si>
  <si>
    <t>b71ed563-LATAM-LP</t>
  </si>
  <si>
    <t>18/06/2026 15:46</t>
  </si>
  <si>
    <t>El dia 9 e junio, me asignaron, mi chequeo de verificacificacion de competencia, en el vuelo lim-cuz-lim (2007-2008), el vuelo fue cancelado, perdiendo asi mi chequeo, mi fecha de vencimiento es en julio 2026, en el PBS del mes de Julio no figura nueva fecha. Es por esto que, solicito tengan en cuenta programarme mi chequeo. Atentamente Maria Seoane</t>
  </si>
  <si>
    <t>3054417b-LATAM-LP</t>
  </si>
  <si>
    <t>18/06/2026 19:33</t>
  </si>
  <si>
    <t>ER07</t>
  </si>
  <si>
    <t>5810bc04-LATAM-LP</t>
  </si>
  <si>
    <t>16/06/2026 21:39</t>
  </si>
  <si>
    <t>El dia de hoy 16JUN no pudimos entrar a TPP por mal tiempo lo que hizo que regresemos a lima. Nos quitaron el TPP dejándonos con nuestro siguiente vuelo CJA teniendo mas de 2hrs de espera.</t>
  </si>
  <si>
    <t>47af3eb4-LATAM-LP</t>
  </si>
  <si>
    <t>17/06/2026 12:10</t>
  </si>
  <si>
    <t>Estimados, quisiera saber si alguien que no desee sus vacaciones podrías cedermelas? En una semana que no tengo pero podrían devolver otra que tengo en otra fecha a la bolsa?</t>
  </si>
  <si>
    <t>d4a4f237-LATAM-LP</t>
  </si>
  <si>
    <t>17/06/2026 16:15</t>
  </si>
  <si>
    <t>Por favor les solicito actualizar las fechas de los cursos de la revalidacion de seguridad, ha que aún tiene el vencimiento anterior de la programación inicial.</t>
  </si>
  <si>
    <t>"¡Gracias por la información! Te informamos que puedes realizar los elearning sin inconvenientes, la fecha que se registrará será el día en que realices cada elarning. Esperamos que la respuesta te haya sido de gran ayuda."</t>
  </si>
  <si>
    <t>174d7132-LATAM-LP</t>
  </si>
  <si>
    <t>17/06/2026 16:46</t>
  </si>
  <si>
    <t>Estimados tardes segun PBS verifico que me programaron apto para el 30.07, asi mismo comentarles que mi apto actual vence el dia 31.07. Asi mismo comentarles que por esas fechas tambien me encontrare con mi periodo, es posible que se pueda reprogramar a 15cena de mes.</t>
  </si>
  <si>
    <t>"¡Gracias por la información! Te comentamos que la programación de tu apto médico se realizará antes de la fecha de vencimiento, esperemos la publicación del rol a fin de validar la fecha y cambiarla para la primera quincena. Esperamos que la respuesta te haya sido de gran ayuda."</t>
  </si>
  <si>
    <t>33bc3857-LATAM-LP</t>
  </si>
  <si>
    <t>22/06/2026 18:20</t>
  </si>
  <si>
    <t>Buenas noches, en el correo de confirmación que me acaban de enviar para mi chequeo dgac 767, no aparezco en la lista para conocer mi código de reserva y para poder imprimir mi licencia provisional. Estoy atenta a la confirmación por favor, ya que mi chequeo es el 25 de junio. Muchas gracias!</t>
  </si>
  <si>
    <t>-</t>
  </si>
  <si>
    <t>01775d1a-LATAM-LP</t>
  </si>
  <si>
    <t>18/06/2026 03:12</t>
  </si>
  <si>
    <t>Buenos Dias , agradecere se sirvan ayudarme, aún no recibo los correos con los link = enlaces de los cursos y examenes que tengo por rendir para mi REVA este 22/6/26 y ya estamos dia 18. Agradeceré me puedan ayudar con ello a la brevedad ya que son varios cursos por favor y no podré empezar mi REVA si no cumplo con ello anticipadamente. Agradecere su comprensión. Quedo atenta.</t>
  </si>
  <si>
    <t>"¡Gracias por la información! Te informamos que en la plataforma LMS se encuentran todos los elearning correspondientes a la revalidación cargados correctamente, en cuanto al enlace a la clase por google classroom ya fue enviada la invitación para unirse. En Soporte SAB, llevamos el control y seguimiento de todas las licencias y habilitaciones, por lo que no es necesario que te preocupes. Solo te pedimos que nos contactes si faltan menos de 72 horas para el vencimiento y aún no recibes novedades. Esperamos que la respuesta te haya sido de gran ayuda."</t>
  </si>
  <si>
    <t>bd199be7-LATAM-LP</t>
  </si>
  <si>
    <t>18/06/2026 10:50</t>
  </si>
  <si>
    <t>Día de vacaciones tocado, hace unas semanas , ingrese un reclamo por mi día libre tocado en vacaciones y día libre tocado normal y no me habían depositado lo correspondiente, me han enviado una respuesta diciéndome que el bono extraordinario se verá reflejado en la boleta de mayo y estamos junio y tengo entendido que ese abono se hace en dólares, en la tarjeta de viáticos</t>
  </si>
  <si>
    <t>Estimada, Por este canal sólo contamos información sobre el abono por pago variable (edenred). Los abonos de viáticos puedes consultarlos directamente con RH.</t>
  </si>
  <si>
    <t>4bace17b-LATAM-LP</t>
  </si>
  <si>
    <t>22/06/2026 06:55</t>
  </si>
  <si>
    <t>Buenos días el día de hoy tenia asignado mi chequeo de competencia en la flota Airbus, el cual fue retirado por cambio de vuelo debido a temas operacionales, por la presente pido por favor lo puedan tener en cuenta para que este sea re programado.</t>
  </si>
  <si>
    <t>¡Gracias por la información! Te informamos que, dado que tu mes base de LCK A320F es julio y según lo establecido en la RAP 63, esta actividad puede ser programada dentro de un período de elegibilidad que comprende 30 días antes, durante y después de tu mes base. Por lo tanto, tu verificación de competencia podrá ser agendada en agosto, junnto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</si>
  <si>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1fa8de38-LATAM-LP</t>
  </si>
  <si>
    <t>18/06/2026 13:45</t>
  </si>
  <si>
    <t>064aefd0-LATAM-LP</t>
  </si>
  <si>
    <t>22/06/2026 17:11</t>
  </si>
  <si>
    <t>Colocar vuelo de line check para julio ya que vence mi chequeo el 31 /07,gracias</t>
  </si>
  <si>
    <t>6fa38d3b-LATAM-LP</t>
  </si>
  <si>
    <t>18/06/2026 16:50</t>
  </si>
  <si>
    <t>Buenas tardes, me llego la licencia chilena sin mi cambio de dirección. Adjunto mi DNI para que lo tomen en cuenta</t>
  </si>
  <si>
    <t>Estimada Nelly: Vamos a proceder con la gestión del cambio de dirección. Mientras el equipo de Soporte realiza la actualización, puedes mantener tu rol activo con la dirección que aparece actualmente en tu licencia chilena. Esperamos haberte ayudado</t>
  </si>
  <si>
    <t>76113f04-LATAM-LP</t>
  </si>
  <si>
    <t>23/06/2026 08:30</t>
  </si>
  <si>
    <t>El dia jueves 18 tebia por rol chequeo en 787, por operacion el instructor no se pudo presentar. Quedando el chequeo pemdiente. Queria indicar para que en el mes de julio se me pueda peogramar el chequeo y no tener problema de vencimiento.</t>
  </si>
  <si>
    <t>¡Gracias por la información! Te informamos que, dado que tu mes base de LCK B787 es julio y según lo establecido en la RAP 63, esta actividad puede ser programada dentro de un período de elegibilidad que comprende 30 días antes, durante y después de tu mes base. Por lo tanto, tu verificación de competencia podrá ser agendada en agosto, junnto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</si>
  <si>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dedc269c-LATAM-LP</t>
  </si>
  <si>
    <t>24/06/2026 17:22</t>
  </si>
  <si>
    <t>Me cancelaron mi lck de boing 767</t>
  </si>
  <si>
    <t>¡Gracias por la información! Te informamos que, dado que tu mes base de LCK B767 es julio y según lo establecido en la RAP 63, esta actividad puede ser programada dentro de un período de elegibilidad que comprende 30 días antes, durante y después de tu mes base. Por lo tanto, tu verificación de competencia podrá ser agendada en agosto, junnto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</si>
  <si>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c776f6db-LATAM-LP</t>
  </si>
  <si>
    <t>24/06/2026 22:26</t>
  </si>
  <si>
    <t>Buenas tardes hoy 24/6/26 mi asignación se prolongó debido a la contingencia en el aeropuerto Jorge Chávez con la falla de los sistemas de GPS. Producto de ello he perdido mi chequeo de competencia (linecheck) en Boeing 767 el día de mañana 25/6/26. Solicito su ayuda para que me puedan programar mi linecheck en B767 en el mes de julio ya que me vendería a fin de ése mes.</t>
  </si>
  <si>
    <t>930ab505-LATAM-LP</t>
  </si>
  <si>
    <t>19/06/2026 10:01</t>
  </si>
  <si>
    <t>AM14</t>
  </si>
  <si>
    <t>80397f1f-LATAM-LP</t>
  </si>
  <si>
    <t>19/06/2026 16:19</t>
  </si>
  <si>
    <t>Buenas tardes, quería verificar si estaba bien el abono a mi tarjeta Edenred, me depositaron S/. 425 y el monto es mucho menor con respecto a compañeros que al igual que yo tuvieron vacaciones, comentaron de unos pagos retroactivos porque los montos eran más altos que otras veces, agradecería si se pudiera verificar mi caso. Muchas gracias</t>
  </si>
  <si>
    <t>Estimada, Para el pago de consideraron los siguientes bonos Cumplimiento: 16% (de su rem. básica) 191 soles Operación NB: 168 soles (lo cuál puede consultar con Osmar Neves) Para la regularización se consideraron los siguientes bonos Cumplimiento: 46,40 soles Demoras: 10,59 soles Afectación Libres: 10 soles</t>
  </si>
  <si>
    <t>24c9c9cd-LATAM-LP</t>
  </si>
  <si>
    <t>19/06/2026 16:27</t>
  </si>
  <si>
    <t>39064457-LATAM-LP</t>
  </si>
  <si>
    <t>19/06/2026 19:12</t>
  </si>
  <si>
    <t>8e67d652-LATAM-LP</t>
  </si>
  <si>
    <t>20/06/2026 07:16</t>
  </si>
  <si>
    <t>af72f285-LATAM-LP</t>
  </si>
  <si>
    <t>21/06/2026 15:40</t>
  </si>
  <si>
    <t>Hola estamos 20 y no se me ha depositado el total del bono de cumplimento de rol, solo la variable del convenio, verifiquen por favor, tengo accidente de trabajo y no deberia verse afectado el abono, estare atento a la subsanacion, gracias</t>
  </si>
  <si>
    <t>Estimada, Se han considerado 158 soles por cumplimiento de rol, entiendo que por su accidente de trabajo es un error y se debería considerar el 20% (bono completo), se gestionará la regularización por el monto de S/. 545</t>
  </si>
  <si>
    <t>0ec06c35-LATAM-LP</t>
  </si>
  <si>
    <t>21/06/2026 20:57</t>
  </si>
  <si>
    <t>Quisiera que me cedan las vacaciones de mi compañero José Chavez del 24 al 31 octubre que el no las desea y yo devolver a la bolsa las vacaciones que tengo del 8 al 15 octubre. Mi cpl me comento que si no son por vencimiento no habría problema en devolverlas muchas gracias.</t>
  </si>
  <si>
    <t>"""Hola Mayra, Esperamos que te encuentres muy bien. Muchas gracias por comunicarte con nosotros y por hacernos llegar tu consulta para verificar tu estado en el sistema. Informarte que la solicitud de cesion de vacaciones con tu compañero debes ingresarlo por el formulario de vacaciones SAB LP que se encuentra en el site LP para su revisión respectiva. Por otro lado, si deseas cancelar tus vacaciones pre publicadas del 08 al 15-oct debes cederlo a otro compañero porque ese es el flujo normal. Saludos cordiales,"""</t>
  </si>
  <si>
    <t>c37a6741-LATAM-LP</t>
  </si>
  <si>
    <t>12/06/2026 15:03</t>
  </si>
  <si>
    <t>Buenas tardes, el día de hoy recibí correo de confirmación de actualización de visa y ifn. Tenía dos consultas. Si para el mes de julio se va considerar para no estar protegido, y segundo si me podían ayudar con la actualización del mensaje en ifn, aún figura el mensaje "crew without passport" quedo atento. Saludos</t>
  </si>
  <si>
    <t>Estimado Diego, junto con saludar, damos respuesta a tu consulta: Hemos solicitado formalmente la eliminación de la observación 'Without Passport' en el sistema. Adicionalmente, te informamos que la protección de rol fue considerada para el periodo de julio y se retira para el mes de agosto sin ninguna restricción. Saludos cordiales, Soporte SAB LP."</t>
  </si>
  <si>
    <t>4f97ecc6-LATAM-LP</t>
  </si>
  <si>
    <t>18/06/2026 19:06</t>
  </si>
  <si>
    <t>Buenas noches, una consulta, ya recibieron y se actualizó lo de mi visa de tripulante, también se va a modificar automáticamente lo de tripulante sin pasaporte en iflight? Gracias.</t>
  </si>
  <si>
    <t>Hola, Nicolle: Esperamos que te encuentres muy bien. Te escribimos para comentarte que hemos recibido la actualización de tu visa de turista conforme. Ya hemos validado esta información y se encuentra actualizada en nuestra base de datos. Por otro lado, te informamos que en los próximos días solicitaremos formalmente el retiro de la anotación Without Passport de nuestro sistema. Quedamos atentos ante cualquier otra duda que pudieras tener. Cordialmente, Equipo de Soporte SAB</t>
  </si>
  <si>
    <t>c27d498a-LATAM-LP</t>
  </si>
  <si>
    <t>22/06/2026 09:08</t>
  </si>
  <si>
    <t>Estimados, para comentar que éste mes el depósito de edenred fue menor al que regularmente me depositan, tengo entendido que mi anterior CPL ( Maria paula Céspedes) había enviado un correo para que el pago de edenred se realice de manera regular con el monto que indica en la foto adjunta de 452.60 , sin embargo en ésta ocasión recibí 190.73</t>
  </si>
  <si>
    <t>Estimada, Se considerará la regularización por el monto de S/. 262</t>
  </si>
  <si>
    <t>cfb78cc9-LATAM-LP</t>
  </si>
  <si>
    <t>22/06/2026 06:06</t>
  </si>
  <si>
    <t>Vencimiento de Licencia Chilena</t>
  </si>
  <si>
    <t>Estimada, Espero que te encuentres bien. Comentarte que efectivamente lo enviamos el 25 de junio.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Quedamos atentos a otra inquietud.</t>
  </si>
  <si>
    <t>d24c2943-LATAM-LP</t>
  </si>
  <si>
    <t>18/06/2026 14:07</t>
  </si>
  <si>
    <t>Rechazo de visa crew</t>
  </si>
  <si>
    <t>Hola, Alessander: Esperamos que te encuentres muy bien. Te escribimos para comentarte que hemos recibido la información de VISA Rechazada y hemos procedido a retirar tu protección de ROL para el mes de Agosto y a soliictar formalmente sea retirada la anotación "Whithout Passport del sistema". Quedamos atentos ante cualquier otra duda que pudieras tener. Cordialmente, Equipo de Soporte SAB</t>
  </si>
  <si>
    <t>d7a7b69f-LATAM-LP</t>
  </si>
  <si>
    <t>22/06/2026 07:45</t>
  </si>
  <si>
    <t>Buenos días. El día de ayer por la noche empecé con mi periodo de menstruación por lo que según las consideraciones adjuntas no cumplo con los requisitos para ir el día de mañana (23/06) a realizar el apto médico. Yo confirme mi asistencia ya que tengo mapeado fechas con este tema pero por la lactancia y el embarazo aun mi organismo no se regulariza al 100%. Según el adjunto estoy apta para realizar el apto médico desde el 30 de junio por lo que por favor pido la reprogramación del apto para esa fecha o la más pronta a partir de ese día. Quedo atenta a su respuesta. Saludos cordiales.</t>
  </si>
  <si>
    <t>"¡Gracias por la información! Te comentamos que tenemos mapeado tu caso, por lo que te enviamos por correo la programación de tu nueva fecha de apto médico. Esperamos que la respuesta te haya sido de gran ayuda."</t>
  </si>
  <si>
    <t>90e42cf7-LATAM-LP</t>
  </si>
  <si>
    <t>22/06/2026 10:02</t>
  </si>
  <si>
    <t>Vuelos con espera no programada de 1'45" es necesario llenar un formulario si es que no estaba por rol esa espera pero se llego antes y la sumatoria de tiempos es mayor a 1'45" para el abono en la edenred? Gracias</t>
  </si>
  <si>
    <t>Estimado, Para los vuelos con demora no programada no se debe llenar formulario, solo cuando el primer vuelo tiene una demora mayor a 1:45 y cuando se quiere gestionar el bono Hotel. Ambos se deben ingresar por el Reporte de Demoras.</t>
  </si>
  <si>
    <t>8e1769a5-LATAM-LP</t>
  </si>
  <si>
    <t>22/06/2026 10:38</t>
  </si>
  <si>
    <t>Estimados. Buenos días , escribía ya que me encuentro a la espera de mi línea de tiempo para mi reincorporación ,junto con eso saber acerca de la expiración en agosto 2026 de mi apto médico y licencia chilena . Estaré muy agradecida de recibir la información para poder planificarme .</t>
  </si>
  <si>
    <t>cea4a408-LATAM-LP</t>
  </si>
  <si>
    <t>22/06/2026 14:03</t>
  </si>
  <si>
    <t>Buenas tardes, tengo mi apto médico próximo a vecer con fecha 31/08/2026. Quisiera saber cual sería el procedimiento para renovación de apto médico. Gracias</t>
  </si>
  <si>
    <t>"¡Gracias por la información! Te comentamos que la programación de tu apto médico se realizará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</si>
  <si>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57d1b6a3-LATAM-LP</t>
  </si>
  <si>
    <t>21/06/2026 23:13</t>
  </si>
  <si>
    <t>Buenas noches, porfavor solicito tener un vuelo en B767 para el mes de julio ya que estoy por perder mi habitación en ese mes y llevo dos meses consecutivos con vaciones de medio mes que no me permiten tener muchas horas voladas,les agradecería me puedan ayudar con mi solicitud, gracias.</t>
  </si>
  <si>
    <t>¡Gracias por la información! Te comentamos que la asignación de tu último vuelo para la flota B767 se realizará antes de la fecha de vencimiento (21-julio-2026)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</si>
  <si>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92dc1d41-LATAM-LP</t>
  </si>
  <si>
    <t>21/06/2026 21:08</t>
  </si>
  <si>
    <t>Por tema de salud, no podré realizar el curso programado en el 767, presenté mi descanso médico que abarca desde el 21 hasta el 23, sin embargo el 24 según rol tengo las prácticas calificadas, pero comprendo que no podría rendirlas por no haber llevado el curso y las prácticas anteriores.</t>
  </si>
  <si>
    <t>25e288a1-LATAM-LP</t>
  </si>
  <si>
    <t>22/06/2026 19:51</t>
  </si>
  <si>
    <t>Buenas tardes, estimados. El motivo de mi consulta es el depósito realizado el 18/06 a mi tarjeta Edenred por concepto de vale de alimentación. He observado que el monto abonado fue de S/ 179.69, el cual difiere de los importes depositados en meses anteriores. Por ello, quisiera consultar si dicho monto corresponde a algún ajuste o criterio específico, o si podría tratarse de un error. Quedo atenta a sus comentarios, saludos cordiales.</t>
  </si>
  <si>
    <t>Estimada, Se ha revisado el caso, el depósito se debe a un error, en el siguiente reporte estaremos regularizando el monto de 348 soles por el Concepto de Bono Cumplimiento de Rol. Saludos,</t>
  </si>
  <si>
    <t>72004a2b-LATAM-LP</t>
  </si>
  <si>
    <t>23/06/2026 00:18</t>
  </si>
  <si>
    <t>a9d80358-LATAM-LP</t>
  </si>
  <si>
    <t>23/06/2026 07:07</t>
  </si>
  <si>
    <t>Bue os dias, Según correo electrónico enviado, tengo examen medico ocupacional, pero en el rol sale RTI, y en las indicaciones del correo dice que hay que avisar si salen esas siglas, lo tengo asignado el día 30.06.26,quedo atenta a sus indicaciones, saludos</t>
  </si>
  <si>
    <t>"¡Gracias por la información! Te comentamos que la indicación es en caso de no cumplir con las condiciones adjuntas y mencionadas en el correo. En este caso se mantendrá la asignación RTI y se te enviará la información de tu programación. Esperamos que la respuesta te haya sido de gran ayuda"</t>
  </si>
  <si>
    <t>c7f26e07-LATAM-LP</t>
  </si>
  <si>
    <t>25/06/2026 15:45</t>
  </si>
  <si>
    <t>Vencimiento 767</t>
  </si>
  <si>
    <t>1b9bda7a-LATAM-LP</t>
  </si>
  <si>
    <t>23/06/2026 09:35</t>
  </si>
  <si>
    <t>Holaa, hace unas semanas envié una consulta sobre mi apto medico ocupacional que no pude asistir ya que me encontraba con mi periodo, me dijeron que me lo iban a repogramar. Pero hasta el momento no tengo reprogramacion</t>
  </si>
  <si>
    <t>"¡Gracias por la información! Te comentamos que tenemos mapeado tu caso, por lo que te estaremos enviando por correo la programación de tu nueva fecha de apto médico. considera que de no agendarse este mes, se asignará en el siguiente o subsiguiente mes. Esperamos que la respuesta te haya sido de gran ayuda."</t>
  </si>
  <si>
    <t>2efc5bf5-LATAM-LP</t>
  </si>
  <si>
    <t>23/06/2026 12:39</t>
  </si>
  <si>
    <t>Hola solicité vacaciones mes de agosto de empalme licencia de maternidad pero quisiera que me envíen el esquema para poder organizarme con las fechas que tienen sobre mi retorno a línea. Muchas gracias</t>
  </si>
  <si>
    <t>2489f606-LATAM-LP</t>
  </si>
  <si>
    <t>23/06/2026 12:41</t>
  </si>
  <si>
    <t>Se solicitó en el mes de junio vacaciones adelantadas para el mes de agosto para empalme de licencia de maternidad pero aún no tengo respuesta muchas gracias</t>
  </si>
  <si>
    <t>"""Hola Valeria, Esperamos que te encuentres muy bien. Muchas gracias por comunicarte con nosotros y por hacernos llegar tu consulta para verificar tu estado en el sistema. Te informamos que el día de hoy te hemos enviado el avance de tu línea de retorno. Para la programación del rol de agosto, se incluirán tus días de lactancia restantes, vacaciones y, de ser necesario, vuelos de capacitación, con el objetivo de que puedas reincorporarte a la línea con todas las habilitaciones vigentes. Saludos cordiales,"""</t>
  </si>
  <si>
    <t>7ba30916-LATAM-LP</t>
  </si>
  <si>
    <t>23/06/2026 13:27</t>
  </si>
  <si>
    <t>Buenas tardes, quisiera saber si me van a dar mis vacaciones del mes de agosto. Pedí todo el mes de agosto, en la pre publicación me mandaron las 4 semanas pero solo me llegó un correo de confirmación de la primera semana de agosto. Quedo atenta, muchas gracias de antemano.</t>
  </si>
  <si>
    <t>"""Hola Valeria, Esperamos que te encuentres muy bien. Muchas gracias por comunicarte con nosotros y por hacernos llegar tu consulta para verificar tu estado en el sistema. Te informamos que tienes vacaciones pre publicadas del 01 al 31-ago, el primer bloque ya se encuentra confirmado y el bloque del 08 al 31-ago será confirmado con 22 días de anticipación al inicio de las mismas. Saludos cordiales,"""</t>
  </si>
  <si>
    <t>48925e7f-LATAM-LP</t>
  </si>
  <si>
    <t>23/06/2026 21:57</t>
  </si>
  <si>
    <t>Quisiera ir el jueves 25 que tengo libre</t>
  </si>
  <si>
    <t>"¡Gracias por la información! Te comentamos que tenemos mapeado tu caso, por lo que te estaremos enviando por correo la programación de tu nueva fecha de apto médico. En relación a la fecha que indicas verificamos que tienes chequeo de competencia programado. Esperamos que la respuesta te haya sido de gran ayuda."</t>
  </si>
  <si>
    <t>a535fb58-LATAM-LP</t>
  </si>
  <si>
    <t>24/06/2026 15:00</t>
  </si>
  <si>
    <t>Disculpen me equivoque de fecha es el viernes 26 q tengo libre porfa podría ir ese dia?</t>
  </si>
  <si>
    <t>e64a19d1-LATAM-LP</t>
  </si>
  <si>
    <t>25/06/2026 22:58</t>
  </si>
  <si>
    <t>¡Gracias por la información! Te informamos que, dado que tu mes base de LCK B767 es julio y según lo establecido en la RAP 63, esta actividad puede ser programada dentro de un período de elegibilidad que comprende 30 días antes, durante y después de tu mes base. Por lo tanto, tu verificación de competencia podrá ser agendada en agosto,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</si>
  <si>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1eab9d2e-LATAM-LP</t>
  </si>
  <si>
    <t>24/06/2026 21:59</t>
  </si>
  <si>
    <t>Reprogramar mi apto médico, ya que tengo cita con mi médico tratante el 3 de julio donde me dará el informe para presentar a la clínica del trabajador, ya que hoy me confirmaron por mail la cita del apto para mañana . Hoy tuve mi chequeo en vuelo y también hay que llevar formularios no da tiempo. Estoy tratando de que me adelanten la cita con mi médico, me han quedado en contestar. No tengo ME en rol ya que no tengo todavía rol de vuelos , tampoco tengo ME en el i flight. Apenas me contesten si se puede adelantar aviso, si no es posible quedaría para el 3 de julio, una vez tenga el informe médico a más tardar el 3 podrían ponerme la cita para el apto médico. Gracias.</t>
  </si>
  <si>
    <t>999fdd46-LATAM-LP</t>
  </si>
  <si>
    <t>26/06/2026 05:01</t>
  </si>
  <si>
    <t>Buenos días. Tengo una consulta respecto a mi programación, ya que es mi primera revalidación desde que ingresé a la empresa. He sido programada para realizar el Line Check el 8 de julio y el curso de revalidación del 20 al 24 de julio. Mi consulta es sobre el orden de estas actividades. Tenía entendido que primero se realiza el curso de revalidación y posteriormente el Line Check, por lo que quisiera saber por qué, en mi caso, el Line Check ha sido programado antes de la revalidación. Asimismo, mi chequeo DGAC fue realizado el 29 de agosto de 2025, por lo que también agradecería si pudieran explicarme por qué mi programación se ha realizado durante el mes de julio y no en agosto. Agradeceré mucho si pudieran orientarme y explicarme cómo funciona este proceso en mi caso, ya que es mi primera revalidación. Muchas gracias por su apoyo.</t>
  </si>
  <si>
    <t>¡Gracias por la información! Te informamos que no hay incoveniente en el orden de las capacitaciones (Revalidación de Seguridad y Linecheck). Por otro lado, dado que tu mes base de LCK A320F es agosto y según lo establecido en la RAP 63, esta actividad puede ser programada dentro de un período de elegibilidad que comprende 30 días antes, durante y después de tu mes base. Por lo tanto, tu verificación de competencia podrá ser agendada tanto en julio como en septiembre,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</si>
  <si>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a6f546be-LATAM-LP</t>
  </si>
  <si>
    <t>25/06/2026 10:35</t>
  </si>
  <si>
    <t>Buen dia, quería comunicar que el dia de hoy he realizado mi chequeo de reentrenamiento pero mi licencia chilena vence el 30 de Junio de 2026</t>
  </si>
  <si>
    <t>Estimada, Espero que te encuentres bien. Comentarte que efectivamente lo enviamos el 30 de junio.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Quedamos atentos a otra inquietud.</t>
  </si>
  <si>
    <t>650f7f5e-LATAM-LP</t>
  </si>
  <si>
    <t>26/06/2026 19:03</t>
  </si>
  <si>
    <t>Perdí mi verificación de competencia el 22 de Junio de A320</t>
  </si>
  <si>
    <t>44a4d38e-LATAM-LP</t>
  </si>
  <si>
    <t>25/06/2026 13:53</t>
  </si>
  <si>
    <t>Buenas tardes a 5 días para el vencimiento de mi licencia Chilena aún no me llega corregida</t>
  </si>
  <si>
    <t>3591571a-LATAM-LP</t>
  </si>
  <si>
    <t>30/06/2026 20:20</t>
  </si>
  <si>
    <t>Buenas noches, tenia programado un line check el dia de mañana en el vuelo 2694 (Lim-Mia) pero fue cancelado. Como fecha límite tengo el mes de Agosto para ser evaluado, les comunico esto para que consideren la programación para el otro mes. Muy agradecido.</t>
  </si>
  <si>
    <t>¡Gracias por la información! Te informamos que, dado que tu mes base de LCK B767 es agosto y según lo establecido en la RAP 63, esta actividad puede ser programada dentro de un período de elegibilidad que comprende 30 días antes, durante y después de tu mes base. Por lo tanto, tu verificación de competencia podrá ser agendada en septiembre,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</si>
  <si>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4640556c-LATAM-LP</t>
  </si>
  <si>
    <t>Buenas noches, tenía programado mi chequeo en 767 en el vuelo 2694 el día 1 de Julio,el cual está cancelado, gracias quedo atenta porqués me vence en Agosto</t>
  </si>
  <si>
    <t>b493aa04-LATAM-LP</t>
  </si>
  <si>
    <t>25/06/2026 16:42</t>
  </si>
  <si>
    <t>Buenas tardes, podrían ayudarme a esclarecer mi programación de RTI de la semana del 20 al 24 por favor, pareciera una REVA, pero tengo programado solo 3 días y no son consecutivos, están cortados por un libre (22jul) y vuelos (23jul), teniendo como último día de RTI el 24 de julio. Podrían ayudarme con este tema por favor.</t>
  </si>
  <si>
    <t>"¡Gracias por la información! Te informamos que se ha solicitado el cambio de asignación del 22 de julio por RTI a fin de completar los 4 días de revalidación. En los siguientes días verás reflejado el cambio en tu programación. En Soporte SAB, llevamos el control y seguimiento de todas las licencias y habilitaciones, por lo que no es necesario que te preocupes. Solo te pedimos que nos contactes si faltan menos de 72 horas para el vencimiento y aún no recibes novedades. Esperamos que la respuesta te haya sido de gran ayuda."</t>
  </si>
  <si>
    <t>c7b9152f-LATAM-LP</t>
  </si>
  <si>
    <t>25/06/2026 19:13</t>
  </si>
  <si>
    <t>Buenas tardes estimados, esperando se encuentren bien, quería hacerles una consulta.. En el mes de Abril del presente año tuve Reva de seguridad y todo bien, nuevamente me están programando la Reva para el mes de Julio.. a que se debe ?? Espero me puedan ayudar por favor, quedo atenta a su respuesta. Gracias</t>
  </si>
  <si>
    <t>"¡Gracias por la información! Te informamos que, dado que tu revalidación B767 se encuentra próxima a vencer, y a fin de homologar las fechas de ambos cursos, se ha visto necesario agendar la revalidación. En Soporte SAB, llevamos el control y seguimiento de todas las licencias y habilitaciones, por lo que no es necesario que te preocupes. Solo te pedimos que nos contactes si faltan menos de 72 horas para el vencimiento y aún no recibes novedades. Esperamos que la respuesta te haya sido de gran ayuda."</t>
  </si>
  <si>
    <t>c839af71-LATAM-LP</t>
  </si>
  <si>
    <t>25/06/2026 19:16</t>
  </si>
  <si>
    <t>3e824e66-LATAM-LP</t>
  </si>
  <si>
    <t>No Apto</t>
  </si>
  <si>
    <t>"""Hola María, Esperamos que te encuentres muy bien. Muchas gracias por comunicarte con nosotros y por hacernos llegar tu consulta para verificar tu estado en el sistema. Te pedimos por favor profundizar un poco más sobre tu consulta para poderte ayudar. Saludos cordiales,"""</t>
  </si>
  <si>
    <t>a9fcbdf4-LATAM-LP</t>
  </si>
  <si>
    <t>30/06/2026 18:47</t>
  </si>
  <si>
    <t>Buenas noches el dia de mañana 01/07/26 tenia programado mi linecheck de 767 sin embargo el vuelo se cancelo , dejo constancia para que me puedan considerar el proximo mes la verificacion de competencia ya que mi fecha limite es el 31/08/26 gracias.</t>
  </si>
  <si>
    <t>c473bd41-LATAM-LP</t>
  </si>
  <si>
    <t>26/06/2026 07:07</t>
  </si>
  <si>
    <t>2faa970f-LATAM-LP</t>
  </si>
  <si>
    <t>26/06/2026 06:16</t>
  </si>
  <si>
    <t>Buenos dias. Quería consultar acerca de mi reva ya hace un mes consulte sobre esto y me informaron que para julio recién se me venció y por lo tanto lo tendría ese mes. Pero ayer que enviaron el rol me doy cuenta que no tengo asignado mi reva. Quwria saber si lo van a postergar para agosto? Se puede tener prorroga? Saludos</t>
  </si>
  <si>
    <t>"¡Gracias por la información! Te informamos que, dado que tu mes base es julio y según lo establecido en la RAP 63, esta actividad puede ser programada dentro de un período de elegibilidad que comprende 30 días antes, durante y después de tu mes base. Por lo tanto, tu curso de revalidación de seguridad podrá ser agendada tanto en Junio como en Agosto, junto con la prórroga correspondiente.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</si>
  <si>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ea2ca52e-LATAM-LP</t>
  </si>
  <si>
    <t>27/06/2026 23:21</t>
  </si>
  <si>
    <t>Estimados, Por medio del presente, solicito de manera cordial la posibilidad de reprogramar mi curso de transición Boeing 767, el cual estaba programado para este mes. Debido a temas médicos, me fue imposible asistir y llevarlo dentro de las fechas establecidas. Agradecería mucho si pudieran considerar una reprogramación y quedo atenta a cualquier información o indicación adicional. Saludos cordiales, Jimena</t>
  </si>
  <si>
    <t>eeb98687-LATAM-LP</t>
  </si>
  <si>
    <t>26/06/2026 08:23</t>
  </si>
  <si>
    <t>Buenos días. Quisiera realizar una consulta respecto al rol publicado. Sin querer me colocaron hasta el 1 de Agosto y aparece con la sigla VC, como si fuera a salir de vacaciones . Sin embargo, anteriormente solicité el cambio de mis vacaciones y este fue aprobado. Incluso recibí la confirmación por correo indicando que debía hacer caso omiso a la programación anterior y que mis vacaciones quedaron programadas para septiembre. Por ese motivo, me preocupa que en el rol actual figure el 1 de agosto como día de vacaciones, ya que podría generar confusiones. Adjunto la captura del correo donde se confirma el cambio y agradecería, por favor, que puedan revisar y realizar la corrección correspondiente para que mi programación refleje lo aprobado. Muchas gracias por su apoyo. Quedo atenta a sus comentarios.</t>
  </si>
  <si>
    <t>"""Hola Denissa, Esperamos que te encuentres muy bien. Muchas gracias por comunicarte con nosotros y por hacernos llegar tu consulta para verificar tu estado en el sistema. Te informó que tu intercambio de vacaciones está programado del 1 al 15 de septiembre. Asimismo, te aclaramos que para la programación de agosto no disfrutarás de vacaciones a partir del día 1. Saludos cordiales,"""</t>
  </si>
  <si>
    <t>ed354e4f-LATAM-LP</t>
  </si>
  <si>
    <t>26/06/2026 09:57</t>
  </si>
  <si>
    <t>Estimados, esperando que se encuentren bien, quería pedirles su apoyo ya que rn mi rol fe junio y julio no se vee reglejado mis cursos fel 50% que vengo realizando. Favor solicito su apoyo para su actualización. Gracias</t>
  </si>
  <si>
    <t>Estimada, Espero que te encuentres bien. Comentarte que actualizaremos tu rol para que se vean reflejadas tus asignaciones durante la semana. Gracias Quedamos atentos a otra inquietud.</t>
  </si>
  <si>
    <t>cb882498-LATAM-LP</t>
  </si>
  <si>
    <t>26/06/2026 12:35</t>
  </si>
  <si>
    <t>Días pendientes de Vacaciones + pedido de 3 días adicionales</t>
  </si>
  <si>
    <t>06588fd5-LATAM-LP</t>
  </si>
  <si>
    <t>26/06/2026 12:37</t>
  </si>
  <si>
    <t>Buenos días: Mi consulta es por los 5 días pendientes de Vacaciones que aún no me han sido asignados. Quería saber si puedo solicitarlos más 3 días adicionales a fin de poder gozar de un bloque de 8 días del 1 al 8 de diciembre. Muchas gracias.</t>
  </si>
  <si>
    <t>""Hola Nicolas Esperamos que te encuentres muy bien. Muchas gracias por comunicarte con nosotros y por hacernos llegar tu consulta para verificar tu estado en el sistema. Te informo que cuentas con un saldo disponible para disfrutar de 8 días de vacaciones en diciembre. Te solicitamos registrar tu pedido adicional a través del formulario SAB LP (disponible en el sitio LP). Esto nos permitirá mapear tu solicitud, la cual quedará sujeta a los cupos que habiliten el equipo de planificación. Saludos cordiales,"""</t>
  </si>
  <si>
    <t>fc068f8e-LATAM-LP</t>
  </si>
  <si>
    <t>26/06/2026 16:25</t>
  </si>
  <si>
    <t>Tengo examen médico ocupacional para el día martes 30 de junio pero me ha venido la regla el día de hoy viernes 26, quisiera que me reprogramen el examen ocupacional en mis siguientes días libres según mi rol no hay problema.</t>
  </si>
  <si>
    <t>4d0bf485-LATAM-LP</t>
  </si>
  <si>
    <t>30/06/2026 11:20</t>
  </si>
  <si>
    <t>06f03776-LATAM-LP</t>
  </si>
  <si>
    <t>27/06/2026 15:52</t>
  </si>
  <si>
    <t>Un gran favor, estoy planificando vacacion con mi esposa es hijo para el mes de setiembre, podria apoyarme brindandome vacaciones desde el dia 5 al 15 de setiembre por favor</t>
  </si>
  <si>
    <t>""Hola Moises, Esperamos que te encuentres muy bien. Muchas gracias por comunicarte con nosotros y por hacernos llegar tu consulta para verificar tu estado en el sistema. Te informo que cuentas con un saldo disponible para disfrutar de 11 días de vacaciones en septiembre. Te solicitamos registrar tu pedido adicional a través del formulario de vacaciones SAB LP (disponible en el sitio LP). Esto nos permitirá mapear tu solicitud, la cual quedará sujeta a los cupos que habiliten el equipo de planificación. Saludos cordiales,"""</t>
  </si>
  <si>
    <t>b40967c8-LATAM-LP</t>
  </si>
  <si>
    <t>27/06/2026 14:01</t>
  </si>
  <si>
    <t>Apto médico no programado</t>
  </si>
  <si>
    <t>"¡Gracias por la información! Te comentamos que la programación de tu apto médico se realizará el 06 de Julio.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</si>
  <si>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0722b52f-LATAM-LP</t>
  </si>
  <si>
    <t>27/06/2026 14:05</t>
  </si>
  <si>
    <t>Hola! Lleve mi Reva de validación hace 1 mes y aún no me llega la revalidación de mi licencia chilena. Tener que en cuenta que se vencen el 31/07/2026.</t>
  </si>
  <si>
    <t>27cc9a77-LATAM-LP</t>
  </si>
  <si>
    <t>27/06/2026 19:00</t>
  </si>
  <si>
    <t>Buenas noches realice el cambio de vacaciones con mi compañero y me llego un correo que si se habia realizado el cambio de fechas pero quiero saber si con ello ya estan confirmadas ya que mis nuevas vacaciones son para el 1 al 7 de agosto, adjunto tambien el correo para validar si las vacaciones ya estan confirmadas muchas gracias</t>
  </si>
  <si>
    <t>""Hola Valeria, Esperamos que te encuentres muy bien. Muchas gracias por comunicarte con nosotros y por hacernos llegar tu consulta para verificar tu estado en el sistema. Te informamos que tus vacaciones aprobadas por intercambio de vacaciones serán programadas del 01 al 07-ago, ya que por secuencia operacional no habría inconvenientes con los libres legales de julio. El correo de confirmación de vacaciones será el lunes 13-jul donde se confirmarán todas las vacaciones de agosto. Saludos cordiales,"""</t>
  </si>
  <si>
    <t>7ae90236-LATAM-LP</t>
  </si>
  <si>
    <t>16/06/2026 15:37</t>
  </si>
  <si>
    <t>Hace algunos días subí en más de una oportunidad ya que al final me mostraba error, los formularios para reembolso por ambas votaciones (con dni, constancias de pago, fotocheck y número de cuenta) y ayer recibí un correo pidiéndome que lo haga de nuevo porque no había adjuntado mi dni, cosa que verifique si hice. Hoy he vuelto a subir el formulario esta vez con uno solo por ambas votaciones pero para mi tranquilidad quisiera recibir confirmación de recepción y conformidad para solamente esperar mis reembolsos. Muchas gracias.</t>
  </si>
  <si>
    <t>7c180494-LATAM-LP</t>
  </si>
  <si>
    <t>28/06/2026 11:11</t>
  </si>
  <si>
    <t>Por no programarme con anticipación y priorizar vuelos operacionales sobre los de instrucción mis chequeos de RET y Line Check B787 y por negligencia del Instructor, teniendo en cuenta que contaba con una extensión de la DGAC para realizarlos solo en Junio,terminé perdiendo mi Line Check y ahora tendré que realizar Recalificación B787. En primer lugar modificaron por problemas “operacionales”el RET B787 que en primera instancia tenia para el día 18/06 y me terminaron poniendo un vuelo Regional LIM-BOG hasta ahora no entiendo por qué? Según tengo entendido el instructor ese día hizo el vuelo normal a SCL y al único que sacaron de ese vuelo fue a mi y por eso me lo programan para el 26/06 y lamentablemente otra vez por una contingencia, Instructor SICK el mismo día del vuelo,termino perdiendo la instrucción,además el Line Check lastimosamente siempre fue programado el ultimo día del mes 30/06 algo que también ajustaba mi mes de recalificación, entiendo y soy consciente que se pueden presentar contingencias pero también entiendo que se puede priorizar Vuelos de Instrucción por sobre vuelos operacionales teniendo en cuenta los márgenes de fechas de vencimiento, agradezco su comprensión y pido por favor en la medida de lo posible si pudieran modificar alguna fecha del Rol de Julio para poder tener mi Recalificación B787 y estar lo antes posible operativo en esa flota,muchas gracias.Saludos Cordiales</t>
  </si>
  <si>
    <t>Reclamo por vencimiento de habilitación</t>
  </si>
  <si>
    <t>Gracias por tu información. Entendemos lo sucedido y lamentamos los inconvenientes relacionados a tu vuelo de capacitación LCK 787. Te comentamos que no se realizó un vuelo de instrucción en la ruta LIM-SCL-LIM (2697/2696) del 18-junio, debido a motivos operacionales (el vuelo anterior de la instructora se retrasó por lo que no abordó el vuelo del 18-junio). Recibimos tu feedback sobre la priorización de vuelos de instrucción y te aseguramos que lo tenemos presente en la programación de estos mismos, considerando también asegurar la continuidad operacional. Finalmente, queremos informarte que estamos realizando las gestiones correspondientes para programar tu recalificación 787 en julio por lo que en los siguientes días te estaremos enviando una propuesta de cambio de rol para la programación de este chequeo. Muchas gracias de antemano por tu comprensión. Saludos cordilaes,</t>
  </si>
  <si>
    <t>d027839b-LATAM-LP</t>
  </si>
  <si>
    <t>28/06/2026 13:00</t>
  </si>
  <si>
    <t>Buenas tardes pase mi examen ocupacional y apto médico el día 08/06/2026, mi apto actual vence el día 31 de julio de este año y a la fecha no cuento con ninguna información de la clínica sobre dichos exámenes, espero puedan revisar mi caso desde ya gracias.</t>
  </si>
  <si>
    <t>cb4ef7c8-LATAM-LP</t>
  </si>
  <si>
    <t>28/06/2026 14:31</t>
  </si>
  <si>
    <t>Buenas tardes, Los saluda Allison Florian. Les scribo porque tengo una consulta. En mi rol de julio figuran la REVA de Seguridad los días 20, 21, 22 y 24. (RTI) Antes que llegara el rol, yo pensé que esas fechas serían para mi reprogramación del curso de Boeing, ya que aún estoy a la espera después de no haber aprobado la evaluación. Además, también ya cuento con la visa desde la última semana de abril. Hablando con algunos compañeros, me comentaron que en esa REVA también incluye la evaluación de Boeing 767. Quisiera que me orienten. De igual modo yo sigo estudiando. Quedo atenta y muchas gracias🙌🏻✈️</t>
  </si>
  <si>
    <t>"¡Gracias por la información! Te informamos que, dado que tu mes base es agosto y según lo establecido en la RAP 63, esta actividad puede ser programada dentro de un período de elegibilidad que comprende 30 días antes, durante y después de tu mes base. Por lo tanto, tu curso de revalidación de seguridad podrá ser agendada tanto en julio como en septiembre, junto con la prórroga correspondiente. En relación a las flotas se considera las vigentes a la fecha para tu revalidación A319/320/321.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</si>
  <si>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83cf31e0-LATAM-LP</t>
  </si>
  <si>
    <t>28/06/2026 16:41</t>
  </si>
  <si>
    <t>Buenas tardes, por rol tengo programado RTI el dia 20/06. Pero me acaban de enviar un correo informandome que ese dia tengo ME.</t>
  </si>
  <si>
    <t>"¡Gracias por la información! Te comentamos que la programación de tu apto médico y/o EMO se agendará dentro de tu revalidación de seguridad. Esperamos que la respuesta te haya sido de gran ayuda."</t>
  </si>
  <si>
    <t>148ade24-LATAM-LP</t>
  </si>
  <si>
    <t>28/06/2026 22:05</t>
  </si>
  <si>
    <t>434c0234-LATAM-LP</t>
  </si>
  <si>
    <t>Buenas noches, hoy me a llegado un correo informándole que el 13/07 tengo programado exámen médico ocupacional. Pero yo ya tuve EMO el 20/03 y el 13/04 me enviaron mis resultados donde indica que estoy Apto (adjunto imágenes). El error de la programación repetida de EMO se podría deber a que yo tenia reva programada para fines de Mayo pero me la tuvieron que retirar x motivos de legalidad y me la han reprogramado para Julio. Quedo atento a su respuesta, saludos.</t>
  </si>
  <si>
    <t>¡Gracias por la información! Estamos gestionando el retiro del EMO del 13 de Julio. Considera que la revalidación de seguridad se llevará con normalidad. Esperamos que la respuesta te haya sido de gran ayuda.</t>
  </si>
  <si>
    <t>95272340-LATAM-LP</t>
  </si>
  <si>
    <t>28/06/2026 22:11</t>
  </si>
  <si>
    <t>En este caso en mi rol esa fecha me figura como RTI , quisiera saber que procede ya que se me indicó que informara a sab</t>
  </si>
  <si>
    <t>e951ca5f-LATAM-LP</t>
  </si>
  <si>
    <t>28/06/2026 23:30</t>
  </si>
  <si>
    <t>Buenas noches, les escribo porque hoy me ha venido el periodo, y segun el correo que enviaron indican que mujeres que esten en su periodo no pueden realizar el apto medico y deberá ser reagendado. Quedo atenta a cualquier información o indicación que deba seguir. Muchas gracias.</t>
  </si>
  <si>
    <t>683183bd-LATAM-LP</t>
  </si>
  <si>
    <t>28/06/2026 23:32</t>
  </si>
  <si>
    <t>Buenas noches, pido su apoyo para reprogramarme el examen médico ocupacional, el cual está programado para este martes 30/06/2026. No podré asistir ya que me encuentro con cuadro de resfrío el cual me ha causado también dolor de oído, aparte de la congestión nasal. Me han mandado medicación sintomática para el resfrío, por lo que entiendo también me inhabilita de dar el examen médico según las indicaciones que me enviaron. Agradezco de antemano su ayuda con la reprogramación.</t>
  </si>
  <si>
    <t>164225f4-LATAM-LP</t>
  </si>
  <si>
    <t>29/06/2026 09:49</t>
  </si>
  <si>
    <t>Buenos días, escribo para informar que el día 02/07/26 tengo por Rol RTI exámen medico ocupacional en la clínica del Trabajador, pero me encuentro atravesando un proceso respiratorio (otitis media aguda y faringitis aguda) y para la tos, flema y demás sintomas me están recetando antibiótico, antiinflamatorio y jarabe antitusigeno y espectorante; además de en Emergencias inyectarme dexametasona y diclofenaco para bajar la inflamación. Entiendo que tanto por el diagnóstico que es un tema respiratorio y como por la medicación que tengo que tomar hasta dentro de 5 días más que puede dar falsos positivos a los exámenes no podría realizar el acto. Informo para que se me pueda reprogramar esta actividad en semanas posteriores. Muchas gracias y quedo atenta a sus respuesta.</t>
  </si>
  <si>
    <t>627d5f79-LATAM-LP</t>
  </si>
  <si>
    <t>29/06/2026 12:07</t>
  </si>
  <si>
    <t>Buenos días. Para informar que el 10 de Junio me acerqué para mi Apto Médico + Médico ocupacional sin embargo el 10 de Julio tengo programado por rol otra vez Apto Médico. También para informar que a la fecha no recibo el correo para recoger mi Apto Médico.</t>
  </si>
  <si>
    <t>¡Gracias por la información! Estamos gestionando la emisión de tu nuevo apto. En cuanto esté finalizado, te contactaremos por correo para su recojo. En referencia a la fecha del 10 de Julio, se solicitará el retiro de la asignación y se pedirá colocar reserva, el cambio se verá reflejado en los siguientes días. Esperamos que la respuesta te haya sido de gran ayuda.</t>
  </si>
  <si>
    <t>4405a183-LATAM-LP</t>
  </si>
  <si>
    <t>29/06/2026 13:09</t>
  </si>
  <si>
    <t>Estimados, Me encuentro cursando desde hace unos días un proceso viral (resfrío). De acuerdo con las consideraciones médicas correspondientes, solicito por favor la reprogramación de mi examen médico ocupacional para una nueva fecha.Lo tenia programado para el 30/06. Quedo atenta a su respuesta. Saludos cordiales,</t>
  </si>
  <si>
    <t>87d8a849-LATAM-LP</t>
  </si>
  <si>
    <t>30/06/2026 05:06</t>
  </si>
  <si>
    <t>Buenos días estimados. Recibí un correo para asistir el día 16 al apto médico, sin embargo ese día tengo asignado RTI. Cumplo con informar, quedo atenta. Saludos.</t>
  </si>
  <si>
    <t>ff9cd05d-LATAM-LP</t>
  </si>
  <si>
    <t>30/06/2026 11:08</t>
  </si>
  <si>
    <t>Buenos días, hace unas semanas comenté que no podría realizar el apto médico debido a ciertos requisitos que indicaban (el periodo) sin embargo, ya que culminó el día 26 de junio quisiera que porfavor me puedan reprogramar mi apto médico (tal vez considerar algunas reservas) , quedo atenta</t>
  </si>
  <si>
    <t>4d6951ea-LATAM-LP</t>
  </si>
  <si>
    <t>30/06/2026 11:07</t>
  </si>
  <si>
    <t>Buenas tardes, mi consulta es referente a qué procedimiento debo seguir para una reprogramación de mi exámen médico ocupacional, el cual tengo programado para el día 2 de julio, puesto que el día de hoy me he encontrado indispuesta (Periodo menstrual) lo cual usualmente me dura 4 días apróximadamente. Al revisar las instrucciones que me enviaron para rendir mi exámen, se indica que si me encuentro en este periodo, no puedo rendir el exámen correctamente, envío una captura del correo como referencia. Agradezco por su ayuda y quedo atenta a sus indicaciones, gracias.</t>
  </si>
  <si>
    <t>2c8d9fe1-LATAM-LP</t>
  </si>
  <si>
    <t>30/06/2026 13:20</t>
  </si>
  <si>
    <t>Estoy en mi mes de prorroga. Me programaron para el 02 de julio SCL rt. Sin embargo, hoy cambiaron de flota a un A320. Por favor, tomarlo en cuenta para reprogramación.</t>
  </si>
  <si>
    <t>¡Gracias por la información! Te informamos que, dado que tu mes base de LCK 767 es junio y según lo establecido en la RAP 63, esta actividad puede ser programada dentro de un período de elegibilidad que comprende 30 días antes, durante y después de tu mes base. Por lo tanto, tu verificación de competencia debe ser agendadada en julio, junto con la prórroga correspondiente. En ese sentido, en los próximos días te estaremos enviando un correo con la propuesta de cambio en tu rol para la recuperación de LCK 767. Si tienes alguna otra consulta, estamos aquí para ayudarte.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</si>
  <si>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88a4cf0a-LATAM-LP</t>
  </si>
  <si>
    <t>02/07/2026 12:50</t>
  </si>
  <si>
    <t>Reprogramación chequeo 767</t>
  </si>
  <si>
    <t>e87e30f6-LATAM-LP</t>
  </si>
  <si>
    <t>Buenas tardes , tuve por rol programado chequeo el 2 de julio para 767, el cual fue canceladl por cambio de matricula a 320. Vuelo LA2413. Mi vencimento es el 31 de agosto. Agradezco la reprogramación para evitar vencerme. Muchas Gracias</t>
  </si>
  <si>
    <t>24657786-LATAM-LP</t>
  </si>
  <si>
    <t>03/07/2026 10:37</t>
  </si>
  <si>
    <t>Reprogramación de linecheck de Boeing 76</t>
  </si>
  <si>
    <t>5308eb19-LATAM-LP</t>
  </si>
  <si>
    <t>30/06/2026 20:52</t>
  </si>
  <si>
    <t>No me permite continuar el curso de avsec y primeros auxilos me sale como página colgada y no carga el siguiente modulo</t>
  </si>
  <si>
    <t>1868bcd2-LATAM-LP</t>
  </si>
  <si>
    <t>06/07/2026 08:49</t>
  </si>
  <si>
    <t>Buenos días, perdi mi Chequeo airbus debido a un descanso medico. Espero puedan reprogramarlo para el siguiente mes, ya que he revisado y mi fecha de vencimiento en esa flota es el 31/08/2026. Muchas gracias por su comprensión. Saludos</t>
  </si>
  <si>
    <t>¡Gracias por la información! Te informamos que, dado que tu mes base de LCK A320F es agosto y según lo establecido en la RAP 63, esta actividad puede ser programada dentro de un período de elegibilidad que comprende 30 días antes, durante y después de tu mes base. Por lo tanto, tu verificación de competencia podrá ser agendada en septiembre,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</si>
  <si>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f21698de-LATAM-LP</t>
  </si>
  <si>
    <t>30/06/2026 22:06</t>
  </si>
  <si>
    <t>Hoy 30/06/26 me ha llegado el sgte mensaje al iFlight: Qualification R767 expired for EDUARDO RAUL GARAVELLO ALTAMIRANO . Expiry date was on 30-May-2026 19:00 pero esto es erróneo porque el día 23/06/26 tuve mi vuelo de Recalificación B767 aprobado satisfactorio, por favor si pudieran corroborar esa información y rectificar por favor si fuera necesario, muchas gracias. Saludos Cordiales.</t>
  </si>
  <si>
    <t>"Estimad@; Gracias por la información! Te comentamos que se encuentran actualizadas en IFN tus qualifications. Esperamos que la respuesta te haya sido de gran ayuda."</t>
  </si>
  <si>
    <t>47bf483d-LATAM-LP</t>
  </si>
  <si>
    <t>01/07/2026 08:29</t>
  </si>
  <si>
    <t>Se me programó Exámen Médico Ocupacional en la clínica Tezza en fecha 15/07/2026. Sin embargo, ese día tengo capacitación (RTI). Solicito reprogramación.</t>
  </si>
  <si>
    <t>93805603-LATAM-LP</t>
  </si>
  <si>
    <t>01/07/2026 08:43</t>
  </si>
  <si>
    <t>Cursos y exámenes virtuales</t>
  </si>
  <si>
    <t>c85a456c-LATAM-LP</t>
  </si>
  <si>
    <t>01/07/2026 08:44</t>
  </si>
  <si>
    <t>Estimados muy buenos dias. El dia de hoy recibí un correo de un curso asignado en la plataforma virtual (equipos) los cursos de la reva ya los realice, ya que yo tenia la reva en mayo, pero no hice el curso presencial por fallecimiento de mi mamita, pero los cursos en la academia ya los hice todos. Por favor podrían verificarlo, muchas gracias.</t>
  </si>
  <si>
    <t>"¡Gracias por la información! Te comentamos que la programación de la revalidación de seguridad es completa ya que en mayo se perdieron los 4 días de revalidación, considera que debido a ello es que se activan los elearning correspondientes. Esperamos que la respuesta te haya sido de gran ayuda."</t>
  </si>
  <si>
    <t>5e2d87d5-LATAM-LP</t>
  </si>
  <si>
    <t>01/07/2026 11:45</t>
  </si>
  <si>
    <t>4af75030-LATAM-LP</t>
  </si>
  <si>
    <t>01/07/2026 20:01</t>
  </si>
  <si>
    <t>Estimados, el 28 de junio pasado recibí un correo de Confirmación Apto Médico + Exámen Médico Ocupacional - Clínica Los Andes para el viernes 24 de julio que se supone es el ultimo día de mi REVA (presencial en el CAE), podrían ayudarme con este caso por favor. Gracias por la atención y quedomatento a sus comentarios.</t>
  </si>
  <si>
    <t>"¡Gracias por la información! Te comentamos que la programación de tu revalidación de seguridad está pendiente de envío, de igual forma considera que las prácticas de tu grupo será el día 22 de Julio. Esperamos que la respuesta te haya sido de gran ayuda."</t>
  </si>
  <si>
    <t>0b38e163-LATAM-LP</t>
  </si>
  <si>
    <t>01/07/2026 17:00</t>
  </si>
  <si>
    <t>El 20 de junio hice una solicitud de cambio de vacaciones con una compañera, quisiera saber si el cambio fue aceptado o no, por favor.</t>
  </si>
  <si>
    <t>add47e52-LATAM-LP</t>
  </si>
  <si>
    <t>02/07/2026 13:23</t>
  </si>
  <si>
    <t>EXAMEN REVA MMPP: Al tratar de iniciar mi examen de Reva mercancías peligrosas, me apareció el mensaje de la foto adjunta. Me gustaría saber qué procede ahora</t>
  </si>
  <si>
    <t>6b104652-LATAM-LP</t>
  </si>
  <si>
    <t>25/06/2026 10:59</t>
  </si>
  <si>
    <t>Solicito se evalúe el otorgamiento de una Licencia Sin Goce de Haber por motivos personales, de ser posible cuando la programación y las necesidades operacionales lo permitan. Presento esta solicitud con anticipación a fin de que pueda ser considerada en caso exista disponibilidad para su aprobación. Agradeceré se me tenga en cuenta cuando haya holgura operacional que permita otorgar este tipo de licencia.</t>
  </si>
  <si>
    <t>Estimada Lua Respecto a tu solicitud, te pedimos por favor canalizar este caso directamente con tu CPL. Asimismo, te comentamos que por el momento las plazas no se encuentran habilitadas; sin embargo, en caso de que se abran nuevos cupos para una siguiente convocatoria de Licencia sin Goce, lo estaremos informando de manera oportuna a toda la tripulación. Esperamos haberte ayudado</t>
  </si>
  <si>
    <t>cfb7c164-LATAM-LP</t>
  </si>
  <si>
    <t>07/07/2026 10:50</t>
  </si>
  <si>
    <t>Buenos días. El día de ayer no pude asistir a mi chequeo de competencia, ya que me encontraba con descanso médico. Quisiera solicitar, por favor, si fuera posible, que se me pueda asignar una nueva fecha, ya que mi chequeo de competencia vence este mes y me gustaría poder realizarlo dentro del plazo correspondiente. Cuento con reserva en el Turno 2 el día 16 del presente. Asimismo, si fuera necesario realizar algún ajuste en mi rol para poder programar el chequeo, no tendría inconveniente. Quedo atenta a cualquier información, indicación o procedimiento que deba seguir para gestionar la reprogramación. Muchas gracias por su apoyo.</t>
  </si>
  <si>
    <t>69F99139-LATAM-LP</t>
  </si>
  <si>
    <t>08/07/2026 15:34</t>
  </si>
  <si>
    <t>Escribo porque en el Iflight me aparece una notificación que me he vencido en los 3 aviones, estoy con Dm pero solo x 21 días, y el lunes pasado he volado los 3 aviones y estoy current. Quisiera saber si tienen esto mapeado? Gracias</t>
  </si>
  <si>
    <t>¡Gracias por la información! Te comentamos que debido a que tienes un DM mayor o igual a 21 días, se considera como DMP (descanso médico prolongado) por lo cual no puedes operar vuelos y se han expirado las Quals en iflight. Esperamos que la respuesta te haya sido de gran ayuda.</t>
  </si>
  <si>
    <t>8e1621df-LATAM-LP</t>
  </si>
  <si>
    <t>02/07/2026 16:18</t>
  </si>
  <si>
    <t>Quisiera saber si están confirmadas mis vacaciones que empiezan el 1 de Agosto; aún no recibo información y en la pre publicación indica que as vacaciones que comienzan en la primera, tercera y cuarta semana del mes se confirmarán con 30 días de anticipación</t>
  </si>
  <si>
    <t>""Hola Lucia, Esperamos que te encuentres muy bien. Muchas gracias por comunicarte con nosotros y por hacernos llegar tu consulta para verificar tu estado en el sistema. Se te acaba de confirmar tus vacaciones programadas del 01 al 07-ago, que vienen de un intercambio de vacaciones. El bloque del 08 al 31-ago serán confirmados a quincena de julio. Saludos cordiales,"""</t>
  </si>
  <si>
    <t>e986e850-LATAM-LP</t>
  </si>
  <si>
    <t>02/07/2026 18:45</t>
  </si>
  <si>
    <t>Buenas tardes, mi consulta se refiere a que el día de hoy se me iba a realizar un pago por demora de mas de 4 hrs en EZE sin hotel, el pago aun no se realiza y quisiera saber si lo abonarán a la cuenta de haberes o de viáticos. Muchas gracias</t>
  </si>
  <si>
    <t>Estimado, puede realizar su consulta a Osmar Neves o directamente con RH.</t>
  </si>
  <si>
    <t>638547ce-LATAM-LP</t>
  </si>
  <si>
    <t>02/07/2026 21:57</t>
  </si>
  <si>
    <t>Quisiera realizar una consulta respecto a la REVA que me ha sido programada para finales del presente mes. En abril de este año realicé la REVA correspondiente únicamente a Airbus, ya que en ese momento aún no contaba con la licencia del B767. Posteriormente, en mayo obtuve dicha licencia, en junio estuve de vacaciones y recién este mes tendría mi primer vuelo en B767. Por ello, quisiera saber cómo se desarrollará la REVA en mi caso: ¿estará enfocada únicamente en el B767 o también será necesario repetir la evaluación de Airbus? Asimismo, quisiera consultar si corresponde realizar nuevamente el apto médico, considerando que ya lo realicé en abril. Recibí un correo con la programación de un nuevo apto médico y me gustaría confirmar si este aplica en mi situación. Agradezco de antemano su orientación y quedo atenta a su respuesta.</t>
  </si>
  <si>
    <t>¡Gracias por la información! Te informamos que, dado que tu revalidación B767 tiene como vencimiento Agosto 2026, se agenda de todas las flotas a fin de homologar las fechas de vencimiento de tu curso de revalidación de seguridad. En referencia a la evaluación médica considera que se agenda solo el EMO (Exámen Médico Ocupacional) a fin de homologarlo con tus vencimientos. Esperamos que la respuesta te haya sido de gran ayuda.</t>
  </si>
  <si>
    <t>d2d00d06-LATAM-LP</t>
  </si>
  <si>
    <t>02/07/2026 22:19</t>
  </si>
  <si>
    <t>Buenas noches, ayer me a llegado un correo informándole que tengo un curso disponible en Academia Latam de Mercancias Peligrosas y al ingresar veo que me han vuelto a habilitar todos los cursos de la Reva. Yo ya rendi este y los demás exámenes de la Reva en Mayo, solo días antes de mi Reva programada pero la cuál me tuvieron que retirar x motivos de legalidad y me la han reprogramado para Julio. Al igual que con la asignación del EMO por error ( por el cual ya ingrese una solicitud y ya me respondieron que lo estaban retirando) tambien me han vuelto a programar los exámenes por error? Quedo atento a sus comentarios, saludos.</t>
  </si>
  <si>
    <t>¡Gracias por la información! Te informamos que, dado que ha transcurrido más de un mes desde los elearning, corresponde que los realices para que quede uniforme con la fecha de tu revalidación. Esperamos que la respuesta te haya sido de gran ayuda.</t>
  </si>
  <si>
    <t>07287d14-LATAM-LP</t>
  </si>
  <si>
    <t>03/07/2026 07:59</t>
  </si>
  <si>
    <t>Hola el día 21 de junio me respondieron que efectivamente había un error en mi abono y que se regularizaría pero no me dieron fecha, ya pasó 13 días y aún no se ha hecho, saben la fecha en que se haría efectiva la subsanación? Gracias.</t>
  </si>
  <si>
    <t>Seguimiento de una regularización de pago pendiente</t>
  </si>
  <si>
    <t>Estimada, la regularización se realizará en el siguiente abono, el 20 de este mes</t>
  </si>
  <si>
    <t>58DB20D4-LATAM-LP</t>
  </si>
  <si>
    <t>08/07/2026 15:25</t>
  </si>
  <si>
    <t>Me desasignaron mi Verificación de Competencia. Queria notificar que eso fue el 22 de Junio y no se me programó en Julio y mi vencimiento es este fin de mes de Julio.</t>
  </si>
  <si>
    <t>4da6a2b5-LATAM-LP</t>
  </si>
  <si>
    <t>04/07/2026 11:03</t>
  </si>
  <si>
    <t>No pedí vacaciones este semestre, porfavor reconsiderar, no deseo salir 4 semanas que me pusieron sin solicitarlas en Agosto, Setiembre y Noviembre inclusive w semanas en Noviembre de manera separada , yo quiero salir en Enero y Febrero, por favor ayuda en no sacarme tantas vacaciones me perjudico con mis planes y económicamente, ayuda compañeros por favor</t>
  </si>
  <si>
    <t>""Hola Marietta, Esperamos que te encuentres muy bien. Muchas gracias por comunicarte con nosotros y por hacernos llegar tu consulta para verificar tu estado en el sistema. Informarte que tienes vacaciones pre publicadas por vencimiento para este segundo semestre porque tu fecha de aniversario es el 15-ene-2027. De los 4 bloques pre publicados, la programación de vacaciones de agosto ya se encuentra cerrada, te recomiendo ceder un bloque de vacaciones de septiembre o noviembre a otro compañero e ingresarlo a través del formulario de vacaciones SAB para realizar la evaluación respectiva. Saludos cordiales,"""</t>
  </si>
  <si>
    <t>64bf2d11-LATAM-LP</t>
  </si>
  <si>
    <t>04/07/2026 13:06</t>
  </si>
  <si>
    <t>Hola! Quisiera saber por favor cómo podría realizar lo siguiente: estoy buscando cambiar una semana de vacaciones, y una compañera me menciona que quiere cedermelas. En ese caso, yo cuento solo con 2 semanas de vacaciones para este semestre, al cederlas debería ceder una semana mia también? Porque de lo contrario tendría 3 semanas para este semestre. Para ese motivo, tendría que llenar el formulario? O hay algún proceso adicional? Muchas gracias por su respuesta, quedo atenta. Saludos!</t>
  </si>
  <si>
    <t>""Hola Lucia, Esperamos que te encuentres muy bien. Muchas gracias por comunicarte con nosotros y por hacernos llegar tu consulta para verificar tu estado en el sistema. Te informamos que para realizar un intercambio de vacaciones, ambas partes deben permutar sus bloques de vacaciones ingresando al formulario de vacaciones SAB bajo la categoría "Cambio de Vacaciones". Allí deberás registrar el bloque que deseas cambiar por el de tu compañero para su respectiva evaluación. Ten en cuenta que en un intercambio, ambos colaboradores deben permutar obligatoriamente sus dos bloques, no solo uno. Por otro lado, si tu compañero desea ceder sus vacaciones, esto significa que recibirás un bloque adicional que se descontará de tu saldo disponible. Para esto, los dos deberán ingresar la solicitud en el formulario bajo la categoría "Cesión de Vacaciones" para su revisión respectiva. Saludos cordiales,"""</t>
  </si>
  <si>
    <t>6aa60ab3-LATAM-LP</t>
  </si>
  <si>
    <t>04/07/2026 14:58</t>
  </si>
  <si>
    <t>Solicitud de vacaciones adicionales proceso, quisiera saber como podría tramitarlo muchas gracias</t>
  </si>
  <si>
    <t>""Hola Sandra, Esperamos que te encuentres muy bien. Muchas gracias por comunicarte con nosotros y por hacernos llegar tu consulta para verificar tu estado en el sistema. Te compartimos el formulario de vacaciones SAB LP para que puedas ingresar tu solicitud de pedido adicional de vacaciones: https://docs.google.com/forms/d/e/1FAIpQLSdmXt-iSndWo5_kb3Bithorzgp7OTZOBAa-lYgrbwGZuQBVcw/viewform Saludos cordiales,"""</t>
  </si>
  <si>
    <t>0DEA5CCB-LATAM-LP</t>
  </si>
  <si>
    <t>08/07/2026 16:25</t>
  </si>
  <si>
    <t>El día de hoy a las 00:15 tenía vuelo a Miami donde debía pasar linecheck pero por temas de salud me dieron DM ayer y hoy y lo perdí, por favor tenerlo en consideración para una próxima reprogramacion, gracias</t>
  </si>
  <si>
    <t>¡Gracias por la información! Te informamos que, dado que tu mes base es agosto y según lo establecido en la RAP 63, esta actividad puede ser programada dentro de un período de elegibilidad que comprende 30 días antes, durante y después de tu mes base. Por lo tanto, tu verificación de competencia podrá ser agendada tanto en agosto como en septiembre,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</si>
  <si>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3060ea1f-LATAM-LP</t>
  </si>
  <si>
    <t>05/07/2026 09:53</t>
  </si>
  <si>
    <t>Devolver vacaciones a mi bolsa</t>
  </si>
  <si>
    <t>""Hola Jose, Esperamos que te encuentres muy bien. Muchas gracias por comunicarte con nosotros y por hacernos llegar tu consulta para verificar tu estado en el sistema. Informarte que tienes vacaciones pre publicadas y no son por vencimiento. Si deseas cancelar tus vacaciones pre publicadas, el flujo correcto es cederlo a otro compañero e ingresarlo por el formulario de vacaciones SAB que se encuentra en el site LP. https://docs.google.com/forms/d/e/1FAIpQLSdmXt-iSndWo5_kb3Bithorzgp7OTZOBAa-lYgrbwGZuQBVcw/viewform Saludos cordiales,"""</t>
  </si>
  <si>
    <t>271c1e15-LATAM-LP</t>
  </si>
  <si>
    <t>05/07/2026 11:16</t>
  </si>
  <si>
    <t>Proximo vencimiento de licencia</t>
  </si>
  <si>
    <t>215b75a8-LATAM-LP</t>
  </si>
  <si>
    <t>25/06/2026 16:05</t>
  </si>
  <si>
    <t>Hola! Estuve con licencia por maternidad hasta el 30 de abril. Luego tuve mi reva y mi chequeo de reentrenamiento. Pero hasta la fecha no me programan mi chequeo de recalificacion. Sin Embargo ya me programaron vuelos desde el 3 de julio. También visualicé en el rol que el día 6 de julio me programaron un linecheck y salgo como parte de la tripulación que opera el vuelo. Quedo atenta a sus comentarios. Gracias!</t>
  </si>
  <si>
    <t>Estimada Daniela, espero que te encuentres muy bien. Te comentamos que se te asignaron vuelos debido a que el mes base de tu Verificación de la Competencia es junio. Por ello, durante el mes de julio (mes prórroga) aún te mantienes vigente y puedes continuar operando hasta que realices nuevamente tu Verificación de la Competencia. Esperamos haber resuelto tu consulta.</t>
  </si>
  <si>
    <t>4a5a1343-LATAM-LP</t>
  </si>
  <si>
    <t>06/07/2026 16:46</t>
  </si>
  <si>
    <t>Debo realizar mi visita para mi examen medico ocupacional para mi reva, sin embargo, debido a incumplimiento de las indicaciones (presento sintomas de gripe y e consumido medicamentos que estan prohibidios una semana antes del examen), no podré asistir.</t>
  </si>
  <si>
    <t>dab7e903-LATAM-LP</t>
  </si>
  <si>
    <t>06/07/2026 17:25</t>
  </si>
  <si>
    <t>Estimados, Muchas gracias por la información. Aprovecho la oportunidad para realizar las siguientes consultas: 1. En iFlight aún me aparece programada mi REVA. ¿Podrían indicarme si esta programación será actualizada o si debo realizar alguna gestión de mi parte? 2. Asimismo, tengo programado mi examen médico ocupacional para el día 22/07. Entiendo que este examen forma parte de la REVA, por lo que quisiera saber si debo asistir en la fecha indicada o, de corresponder su reprogramación, con quién debo coordinar este trámite. 3. Finalmente, agradeceré me confirmen cuál es la vestimenta requerida para el chequeo de reentrenamiento: ¿debo asistir con uniforme o con sastre? Quedo atento a sus comentarios. Saludos cordiales,</t>
  </si>
  <si>
    <t>¡Gracias por la información! Te comentamos que la actividad RTI ya fue pedida y debe verse reflejada en los siguientes días. El EMO se retira por lo que no consideres el correo enviado. Con respecto a la vestimenta, tener presente que es un vuelo de instrucción por lo que debes asistir con uniforme. Esperamos que la respuesta te haya sido de gran ayuda.</t>
  </si>
  <si>
    <t>026e6ac8-LATAM-LP</t>
  </si>
  <si>
    <t>06/07/2026 17:55</t>
  </si>
  <si>
    <t>Estimados buenas tardes. El motivo de mi petición es si por favor me podrían ayudar mandándome mis vacaciones del 2026-2 ya que el correo de confirmación no lo encuentro en mi bandeja de correo!! Por favor espero contar con su apoyo para poder estar al tanto de mis vacaciones y programarme con tiempo. Muchas gracias por su ayuda.</t>
  </si>
  <si>
    <t>""Hola Giancarlo, Esperamos que te encuentres muy bien. Muchas gracias por comunicarte con nosotros y por hacernos llegar tu consulta para verificar tu estado en el sistema. Debido a que te encontrabas con descanso médico prolongado durante la programación de la prepublicación de vacaciones 2026-02, no se te pre publico en su momento. Si deseas salir de vacaciones en el segundo semestre, por favor ingresa tu solicitud en el formulario de vacaciones SAB LP, bajo la categoría "Pedido Adicional", para realizar la evaluación correspondiente. Saludos cordiales,"""</t>
  </si>
  <si>
    <t>1fb619ce-LATAM-LP</t>
  </si>
  <si>
    <t>06/07/2026 21:19</t>
  </si>
  <si>
    <t>Buenas noches, quisiera informar que no tengo vuelo en 767 y el 16 de Julio se cumplirían los 90 días sin volar la flota</t>
  </si>
  <si>
    <t>Se consultó por correo de Soporte SAB y al 09-julio ya se asignó vuelo 767 de exp reciente.</t>
  </si>
  <si>
    <t>6890B748-LATAM-LP</t>
  </si>
  <si>
    <t>08/07/2026 13:42</t>
  </si>
  <si>
    <t>Buenas tardes, el día de mañana 09 de Julio tengo programado linecheck (chequeo de competencia) pero no hay ningún instructor en los datos de la tripulación. Espero puedan ayudarme con este tema y poder tomar en cuenta mi solicitud. Muchas gracias!</t>
  </si>
  <si>
    <t>La CPL consultó por otro canal y se le indica que el chequeo lo realizará IPO.</t>
  </si>
  <si>
    <t>e418b4d0-LATAM-LP</t>
  </si>
  <si>
    <t>15/06/2026 19:23</t>
  </si>
  <si>
    <t>Buenas noches, aproximadamente en que fecha estaríamos recibiendo la licencia del 767 mil gracias</t>
  </si>
  <si>
    <t>Estimada, Espero que te encuentres bien. Comentarte que lo enviamos el 25 de junio, muchas gracias Quedamos atentos a otra inquietud.</t>
  </si>
  <si>
    <t>9037a5c5-LATAM-LP</t>
  </si>
  <si>
    <t>06/07/2026 21:14</t>
  </si>
  <si>
    <t>El día de mi apto médico, presente el informe de mi médico tratante a la Dra Gisela Andia , es el informe que tenía que llevar y lo hice. Termine el apto médico y pregunté si faltaba algo más y me dijeron que no, que ya me podía ir.</t>
  </si>
  <si>
    <t>"¡Gracias por la información! Te informamos que, el día de hoy la clínica nos ha reportado tu apto médico y se están realizando las gestiones para su emisión y próximo envío. En cuanto se encuentre listo se te notificará por este medio. Esperamos que la respuesta te haya sido de gran ayuda."</t>
  </si>
  <si>
    <t>CDECD806-LATAM-LP</t>
  </si>
  <si>
    <t>09/07/2026 11:08</t>
  </si>
  <si>
    <t>Quisiera realizar una consulta respecto a mi linecheck programado para el 30/07 en la ruta Lim-Scl–Lim en Boeing. En el mes de mayo me programaron este linecheck en la misma ruta y, lamentablemente, fue cancelado por cambio de avión. Actualmente me encuentro en mes de prórroga y mi chequeo ha sido reprogramado para el 30/07 en la misma ruta, por lo que temo que pueda ocurrir nuevamente la misma situación (como ya ha venido sucediendo). Por este motivo, quisiera saber si existe la posibilidad de adelantar el chequeo y otra ruta menos expuesta a cambios de flota, considerando que tengo reservas los días 25, 26, 27 y 28 de julio, para evitar pasar por la misma situación nuevamente. Agradezco desde ya su apoyo y quedo atenta a sus comentarios. Saludos</t>
  </si>
  <si>
    <t>Se envió correo a la tripulante para poder reprogramar su LCK 767 y ya se reprogramó para una nueva fecha.</t>
  </si>
  <si>
    <t>1eda1965-LATAM-LP</t>
  </si>
  <si>
    <t>07/07/2026 07:37</t>
  </si>
  <si>
    <t>Buenos dias, cuando mandaron la pre publicación de vacaciones en abril tenia 20 dias para vacaciones. Me asignaron 16 dias de vacaciones en octubre. Consulta: otro jsb me puede dar sus 8 dias de vacaciones o necesariamente necesito mínimo 8 dias adicionales para gestionar el cambio?</t>
  </si>
  <si>
    <t>""Hola Monica, Esperamos que te encuentres muy bien. Muchas gracias por comunicarte con nosotros y por hacernos llegar tu consulta para verificar tu estado en el sistema. Te informamos que tu saldo restante ha sido devuelto a tu bolsa de vacaciones del periodo 2026-2027. Respecto a la cesión de vacaciones, confirmamos que es factible realizarla ya que cuentas con saldo disponible. Ten en cuenta que el bloque mínimo permitido para ceder vacaciones es de 7 días. Por favor,te pedimos ingresar tu solicitud de cesión de vacaciones a través del formulario SAB LP para la evaluación respectiva. Saludos cordiales,"""</t>
  </si>
  <si>
    <t>6f0c152e-LATAM-LP</t>
  </si>
  <si>
    <t>07/07/2026 09:57</t>
  </si>
  <si>
    <t>Buen día, el mes de Mayo tuve un vuwlo a Cor como HR, segun las horas 7.25 no entiendo si elmpago es correcto, podrían explicarme cuanto es el monto de horas como.HR</t>
  </si>
  <si>
    <t>Estimada, por nuestro lado reportamos las 7.25 hrs, el monto depositado puedes consultarlo con Osmar Neves.</t>
  </si>
  <si>
    <t>4A55CAD5-LATAM-LP</t>
  </si>
  <si>
    <t>02/07/2026 13:29</t>
  </si>
  <si>
    <t>2f02225a-LATAM-LP</t>
  </si>
  <si>
    <t>07/07/2026 11:23</t>
  </si>
  <si>
    <t>Apto médico y examen médico ocupacional</t>
  </si>
  <si>
    <t>9fc49e8f-LATAM-LP</t>
  </si>
  <si>
    <t>07/07/2026 11:24</t>
  </si>
  <si>
    <t>Hola, buen día. Les escribo porque tengo programado mi examen médico para mañana. Sin embargo, desde ayer presento un cuadro gripal con congestión nasal y malestar. Revisando las consideraciones enviadas para el examen, veo que indican no acudir si se presentan síntomas respiratorios. Quisiera consultar si corresponde reprogramar mi cita para cuando me encuentre recuperada. Quedo atenta a sus indicaciones. Muchas gracias.</t>
  </si>
  <si>
    <t>Informativo - Se esta coordinando la nueva fecha 15Jul.</t>
  </si>
  <si>
    <t>83780694-LATAM-LP</t>
  </si>
  <si>
    <t>07/07/2026 17:23</t>
  </si>
  <si>
    <t>9CCB0CDB-LATAM-LP</t>
  </si>
  <si>
    <t>08/07/2026 13:12</t>
  </si>
  <si>
    <t>Buenas tardes, se necesita reprogramar el apto medico, ya que estoy con la menstruacion y las fechas disponibles serian a partir del lunes 13 de julio. Es necesario que sea ya este mes, ya que estoy proximo al vencimiento. Espero su respuesta.</t>
  </si>
  <si>
    <t>Informativo se agendó 17 de Julio</t>
  </si>
  <si>
    <t>19B9BEE0-LATAM-LP</t>
  </si>
  <si>
    <t>08/07/2026 15:43</t>
  </si>
  <si>
    <t>Buenas tardes, escribo para informarles sobre una situación relacionada con mi apto médico. Hace unos momentos recibí una llamada de Willy Zamora de la Clínica Los Andes, donde me indicó que hubo un error de digitación al emitir mi apto médico. En lugar de registrarlo como un apto médico de renovación, fue ingresado por error de la clínica como un apto médico de recalificación. Debido a este inconveniente, me informo que por el momento no podré volar hasta que la DGAC realice la corrección correspondiente. Sin embargo, desde la clínica me informaron que la rectificación podría quedar lista mañana. Aún debo esperar su confirmación para poder acercarme a la DGAC y recoger el nuevo apto médico corregido. Quería mantenerlos informados sobre esta situación y, apenas tenga la confirmación y el documento corregido, se los haré saber de inmediato. Muchas gracias por su comprensión y quedo atenta a cualquier indicación</t>
  </si>
  <si>
    <t>Informativo se verificó con CPL</t>
  </si>
  <si>
    <t>32CA11A3-LATAM-LP</t>
  </si>
  <si>
    <t>20/06/2026 20:29</t>
  </si>
  <si>
    <t>7eb412de-LATAM-LP</t>
  </si>
  <si>
    <t>14/06/2026 14:16</t>
  </si>
  <si>
    <t>CA5A85DD-LATAM-LP</t>
  </si>
  <si>
    <t>12/07/2026 17:38</t>
  </si>
  <si>
    <t>Hola, buenas tardes. Tengo una consulta respecto a mi vuelo de reentrenamiento programado para el martes 14 de julio. Mi licencia chilena venció en abril de 2026. Quisiera saber si es indispensable contar con la licencia chilena vigente para realizar el reentrenamiento o si, por el momento, puedo hacerlo presentando mi licencia peruana vigente, la licencia provisional que me enviaron y mi apto médico vigente, mientras culmino el proceso aprobación de mis chequeos. Agradeceré mucho su orientación. Muchas gracias.</t>
  </si>
  <si>
    <t>Estimada Espero que se encuentre muy bien. En relación con su consulta sobre los requisitos para los Chequeos de Reentrenamiento y Recalificación programados para mañana, martes 14 de julio, le confirmo que no es indispensable contar con la licencia chilena vigente en este momento. Para poder realizar el reentrenamiento, es suficiente con que presente la siguiente documentación válida: Autorización Provisional (que le fue enviada previamente). Apto Médico vigente. Con estos dos documentos y su licencia peruana actual, puede proceder con su programación sin inconvenientes mientras culmina su proceso de aprobación de chequeos. No olvide llevar su DNI Quedamos a su disposición si tiene alguna otra duda. ¡Mucho éxito en su reentrenamiento!</t>
  </si>
  <si>
    <t>CF3C8F3B-LATAM-LP</t>
  </si>
  <si>
    <t>13/07/2026 09:56</t>
  </si>
  <si>
    <t>El día 2 de julio tenía linecheck de 767 pero cambiaron a Airbus y cancelaron el chequeo. Para agosto en el pbs no figura ningún día de chequeo . Favor gestionar el linecheck ya que mi vencimiento es el 31 de agosto</t>
  </si>
  <si>
    <t>79528D2B-LATAM-LP</t>
  </si>
  <si>
    <t>13/07/2026 18:55</t>
  </si>
  <si>
    <t>Buenas tardes mu consulta seria por mi linecheck de b767 ya que em el pbs aparece para el mes siguiente marcado con morado, queria consultar si ese dia que registra es mi linechek , de lo contrario para emviar mi proteccion de rol con acticipacion y un correo para reforzar ya que tendre mi cita de mi visa de tyrista el dia 1 de octubre y en ese mes se vence mi mi licencia en 76 agradeceria saber la confirmacion para poder ayudar a agilazar con mi cpl</t>
  </si>
  <si>
    <t>¡Gracias por la información! Te informamos que, dado que tu mes base de LCK B767 es octubre y según lo establecido en la RAP 63, esta actividad puede ser programada dentro de un período de elegibilidad que comprende 30 días antes, durante y después de tu mes base. Por lo tanto, tu verificación de competencia podrá ser agendada tanto en septiembre como en noviembre, junto con la prórroga correspondiente y lo que observas en tu rol de agosto por PBS no correspondería a LCK B767. Si tienes alguna otra consulta, estamos aquí para ayudarte. Si tu actividad no fue agendada durante el mes base, aún puedes ser programado durante el mes de prórroga, sin que esto implique la pérdida de tu chequeo. Con relación a tu protección de rol, te pedimos por favor seguir con el procedimiento correspondiente.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</si>
  <si>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A3FB2CBF-LATAM-LP</t>
  </si>
  <si>
    <t>08/07/2026 10:26</t>
  </si>
  <si>
    <t>Buenos dias, me enviaron mi linea de retorno y solicite no tomar todos mis vacaciones juntas. Tengo pre publicadas 2 semanas octubre y diciembre para que puedan descontarlas y revisar mi retorno que seria antes . Gracias</t>
  </si>
  <si>
    <t>""Hola Paola, Esperamos que te encuentres muy bien. Muchas gracias por comunicarte con nosotros y por hacernos llegar tu consulta para verificar tu estado en el sistema. Te enviamos tu línea de retorno actualizada. Hemos ajustado los días de vacaciones solicitados, ya que se compensarán con tus vacaciones prepublicadas de octubre y diciembre. Saludos cordiales,"""</t>
  </si>
  <si>
    <t>479EB2F0-LATAM-LP</t>
  </si>
  <si>
    <t>15/06/2026 17:30</t>
  </si>
  <si>
    <t>26C2B0F5-LATAM-LP</t>
  </si>
  <si>
    <t>08/07/2026 20:51</t>
  </si>
  <si>
    <t>Buenas noches, quería consultar las fechas de programación de mi curso Revalidación de A320 y B767 ya que vence el 31 de Julio 2026</t>
  </si>
  <si>
    <t>"¡Gracias por la información! Te informamos que, dado que tu mes base es julio y según lo establecido en la RAP 63, esta actividad puede ser programada dentro de un período de elegibilidad que comprende 30 días antes, durante y después de tu mes base. Por lo tanto, tu curso de revalidación de seguridad podrá ser agendada en el mes de agosto, junto con la prórroga correspondiente.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</si>
  <si>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5963D312-LATAM-LP</t>
  </si>
  <si>
    <t>09/07/2026 13:25</t>
  </si>
  <si>
    <t>Reprogramacion de Reva por vencimiento</t>
  </si>
  <si>
    <t>F1F1D9EB-LATAM-LP</t>
  </si>
  <si>
    <t>09/07/2026 13:26</t>
  </si>
  <si>
    <t>2350AEC7-LATAM-LP</t>
  </si>
  <si>
    <t>D92B47EC-LATAM-LP</t>
  </si>
  <si>
    <t>09/07/2026 14:52</t>
  </si>
  <si>
    <t>Queria consultar, mi examen ocupacional es el dia 14, he estado consumiendo antiflamatorios y a su vez me encuentro con mi periodo. Dentro de los lineamientos para realizar el examen medico señalan que no puedo consumir ningun medicamento una semana antes y no estar menstruando. Queria consultar si se puede hacer de todas formas el examen medico o reprogramar el examen medico. Quedo atenta. Gracias</t>
  </si>
  <si>
    <t>99F44E14-LATAM-LP</t>
  </si>
  <si>
    <t>09/07/2026 17:48</t>
  </si>
  <si>
    <t>Buenas tardes. Espero que se encuentre muy bien. Quería comentarle que mi apto médico vigente vence el 31 de julio. El pasado 10 de junio tuve programado mi examen médico ocupacional y las evaluaciones correspondientes en la Clínica del Trabajador. Sin embargo, quisiera consultar si debo realizar algún trámite o gestión adicional para que se emita el nuevo apto y evitar que el vencimiento pueda afectar mi programación u horas de vuelo. Quedo atenta a sus indicaciones. Muchas gracias por su tiempo.</t>
  </si>
  <si>
    <t>¡Gracias por la información! Te comentamos que se verifica que el apto médico ya fue enviado. Esperamos que la respuesta te haya sido de gran ayuda.</t>
  </si>
  <si>
    <t>65B1964B-LATAM-LP</t>
  </si>
  <si>
    <t>10/07/2026 20:23</t>
  </si>
  <si>
    <t>Estimados, Junto con saludarles, les agradezco la información enviada. Lamentablemente, no podré asistir a la cita programada para el día 13 de julio de 2026, ya que me encontraré fuera del país por un viaje familiar que fue programado con anterioridad. Mi retorno está previsto para el 6 de agosto. Quisiera consultar si, por favor, es posible reprogramar mi Apto Médico y Examen Médico Ocupacional a partir del 6 de agosto o en la primera fecha disponible posterior a esa fecha. Quedo atenta a sus comentarios y agradezco de antemano su comprensión y apoyo con la reprogramación. Saludos cordiales,</t>
  </si>
  <si>
    <t>F5ADAD3E-LATAM-LP</t>
  </si>
  <si>
    <t>10/07/2026 20:25</t>
  </si>
  <si>
    <t>85364DA7-LATAM-LP</t>
  </si>
  <si>
    <t>10/07/2026 13:54</t>
  </si>
  <si>
    <t>C7FFD319-LATAM-LP</t>
  </si>
  <si>
    <t>13/07/2026 19:55</t>
  </si>
  <si>
    <t>Buenas noches, no pude asistir a mi verificación de competencia A320F debido a reporte medico. En agosto se vence. Quería que me lo programen para agosto. Gracias .</t>
  </si>
  <si>
    <t>3ec4ecd9-LATAM-LP</t>
  </si>
  <si>
    <t>02/07/2026 14:19</t>
  </si>
  <si>
    <t>aa05d394-LATAM-LP</t>
  </si>
  <si>
    <t>13/06/2026 10:40</t>
  </si>
  <si>
    <t>Buenas tardes quisiera saber cuando sería la fecha de la entrega de la licencia 767 quedo atenta o con quien podría comunicarme</t>
  </si>
  <si>
    <t>AB13F053-LATAM-LP</t>
  </si>
  <si>
    <t>10/07/2026 15:54</t>
  </si>
  <si>
    <t>0B29D17F-LATAM-LP</t>
  </si>
  <si>
    <t>09/07/2026 16:11</t>
  </si>
  <si>
    <t>el mes de junio tenía mi line check en Boeing (LIM–SCL–LIM), pero por temas operacionales cambiaron el vuelo de flota a Airbus y perdimos el chequeo. Este mes, ya con prórroga, me lo han programado para el 30/07 (la misma ruta), pero estoy un tanto preocupada porque a tres de mis compañeros con quienes inicialmente iba a hacer ese linecheck en mayo, y a quienes también se los programaron este mes, misma ruta pero fechas distinta, por temas operacionales, a ambos, les volvieron a cambiar la flota, cancelándoles una vez más el chequeo. Lo bueno es que, como a ellos se los cancelaron a inicios de mes, ya los están reprogramando en otros vuelos de WB. En mi caso, al tenerlo recién el 30/07, me preocupa que, si vuelve a ocurrir lo mismo, ya no tenga oportunidad de realizarlo en otro vuelo dentro del mes. Quería saber si existe la posibilidad de solicitar me adelante el linecheck, en una ruta que no pueda tener este problema de cambio de flota.</t>
  </si>
  <si>
    <t>¡Gracias por la información! Muchas gracias por la información. Entendemos la preocupación y ya te hemos enviado la propuesta de reprogrmación de LCK 767 para una fecha más cercan en julio. Esperamos que la respuesta te haya sido de gran ayuda.</t>
  </si>
  <si>
    <t>709C1F29-LATAM-LP</t>
  </si>
  <si>
    <t>10/07/2026 19:57</t>
  </si>
  <si>
    <t>Solicito Reprogramarción de Apto Medico y Examen ocupacional debido a que estoy próxima a tener mi período menstrual y no me permitirá tener los resultados adecuados en dichos exámenes. Los tenía programados el 15 de julio. Muchas gracias</t>
  </si>
  <si>
    <t>32E04B5C-LATAM-LP</t>
  </si>
  <si>
    <t>07/07/2026 19:29</t>
  </si>
  <si>
    <t>Realice un intercambio de vacaciones con mi compañero Kevin Yanac Heyssen, él me cedía la semana del 01 al 08 de Agosto y yo le cedía la última semana del mes de Agosto. Nos mandaron la confirmación del intercambio, sin embargo no le han permitido realizar un cambio de vuelo a la compañero por motivo de “vacaciones” y además le sale que el 01 de Agosto empiezan sus vacaciones en el sistema, le han enviado adicionalmente la confirmación de que saldrá el 01 y al 08, pero ya nos habían confirmado lo contrario. Agradecería nos puedan esclarecer lo antes mencionado. Gracias!</t>
  </si>
  <si>
    <t>""Hola Renata, Esperamos que te encuentres muy bien. Muchas gracias por comunicarte con nosotros y por hacernos llegar tu consulta para verificar tu estado en el sistema. Dado que te hemos aprobado el intercambio de vacaciones el 04-jun y por secuencia operacional tienes 3 días de libres legales del 01 al 03-agosto, se te ha confirmado vacaciones del 04 al 10 de agosto. Saludos cordiales,"""</t>
  </si>
  <si>
    <t>0716FDA7-LATAM-LP</t>
  </si>
  <si>
    <t>08/07/2026 12:27</t>
  </si>
  <si>
    <t>Mi compañera Jsb Gina Maria Valenzuela Casafranca me esta cediendo su semana del 16 de octubre al 23 de octubre. Ya que no desea esa semana y yo la quiero para asi tener mas dias de vacaciones. Por favor, espero nos puedan ayudar. Muchas gracias!</t>
  </si>
  <si>
    <t>""Hola Karin, Esperamos que te encuentres muy bien. Muchas gracias por comunicarte con nosotros y por hacernos llegar tu consulta para verificar tu estado en el sistema. Te pedimos por favor ingresar tu solicitud de cesión de vacaciones a través del formulario de vacaciones SAB LP que se encuentra en el site LP para realizar la evaluación respectiva. Saludos cordiales,"""</t>
  </si>
  <si>
    <t>14A3C909-LATAM-LP</t>
  </si>
  <si>
    <t>09/07/2026 13:50</t>
  </si>
  <si>
    <t>Buenas tardes quisiera saber el estado del tramite de solicitud adicional de vacaciones que hice el 01.07 para pedir vacaciones adicionales me llego el acuse de recibido pero no no lo veo como tramite pendiente en ossa. Agradecería me ayuden</t>
  </si>
  <si>
    <t>816735FD-LATAM-LP</t>
  </si>
  <si>
    <t>09/07/2026 14:29</t>
  </si>
  <si>
    <t>Buenas tardes quisiera que me ayuden porque el 01.07 ingrese una solicitud para vacaciones adicionales del 08.08 al 14.08 pero no me sale en trámite pero si me llego el recibido a mi correo. Me ayudan por favor</t>
  </si>
  <si>
    <t>CD4E21E4-LATAM-LP</t>
  </si>
  <si>
    <t>09/07/2026 16:15</t>
  </si>
  <si>
    <t>CC15EF62-LATAM-LP</t>
  </si>
  <si>
    <t>09/07/2026 19:39</t>
  </si>
  <si>
    <t>3610860C-LATAM-LP</t>
  </si>
  <si>
    <t>11/07/2026 08:57</t>
  </si>
  <si>
    <t>6CB800CB-LATAM-LP</t>
  </si>
  <si>
    <t>11/07/2026 09:53</t>
  </si>
  <si>
    <t>DF9AC73B-LATAM-LP</t>
  </si>
  <si>
    <t>12/07/2026 13:08</t>
  </si>
  <si>
    <t>Buenas tardes, escribi debido a que no pude asistir a mi apto medico el dia 1/07 porque me encontraba en mi periodo, escribí por este medio y me respondieron que soporte se iba a comunicar conmigo para reagendar el apto medico, pero aun no he recibido información y se me vence este mes el apto medico. Agradecería si pudieran ayudarme con eso.</t>
  </si>
  <si>
    <t>Hola Vanessa, Esperando te encuentres bien, por favor nos podrías indicar dado que presentaste SICK, cuando culmina tu tratamiento para poder agendar el apto médico. Quedamos atentos.</t>
  </si>
  <si>
    <t>12ABA0C8-LATAM-LP</t>
  </si>
  <si>
    <t>12/07/2026 11:13</t>
  </si>
  <si>
    <t>Reprogramacion de examen medico ocupacional, estoy en mi periodo de menstruación hoy día. Me podrían ayudar porfavor. Muchas gracias.</t>
  </si>
  <si>
    <t>B6E30F9E-LATAM-LP</t>
  </si>
  <si>
    <t>Quería saber si existe la posibilidad de solicitar me adelante el linecheck, en una ruta que no pueda tener este problema de cambio de flota.</t>
  </si>
  <si>
    <t>6B24F3BC-LATAM-LP</t>
  </si>
  <si>
    <t>12/07/2026 16:07</t>
  </si>
  <si>
    <t>Buenas tardes, su super apoyo, el dia hoy me vino mi periodo y tengo programado apto medico man̈ana 13 como podria reprogramarlo</t>
  </si>
  <si>
    <t>0F73951D-LATAM-LP</t>
  </si>
  <si>
    <t>10/07/2026 21:12</t>
  </si>
  <si>
    <t>Buenas noches. El día de mañana me habían programado un vuelo en 767 a SCL RT para no perder mi experiencia reciente pero ya no figura en mi rol. A toda la tripulación nos han quitado el vuelo y estoy próxima a vencerme en ese equipo. El día 14 tengo reva de servicios y el día 15 tengo reserva. Será posible que me pongan como extra en algún vuelo si es que aún sigo vigente en el 767 para no perder mi habilitación en ese avión, por favor?</t>
  </si>
  <si>
    <t>Se coordinó por correo de Soporte asignación de vuelo de exp rec 767</t>
  </si>
  <si>
    <t>1FFF1028-LATAM-LP</t>
  </si>
  <si>
    <t>12/07/2026 12:58</t>
  </si>
  <si>
    <t>Buenas tardes, tuve chequeo dgac y latam 767 mayo 2026. Hice mi pedido para agosto. Su gentil apoyo con el refuerzo de los vuelos a Estados unidos para no vencerme</t>
  </si>
  <si>
    <t>¡Gracias por la información! Te comentamos que la asignación de tu último vuelo para la flota B767 se realizará antes de la fecha de vencimiento (13-agosto-2026).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</si>
  <si>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46971EB2-LATAM-LP</t>
  </si>
  <si>
    <t>13/07/2026 00:08</t>
  </si>
  <si>
    <t>Mi consulta es porque aún no he recibido la pre-publicación de mis vacaciones del semestre 2026-2, a pesar de haber llenado en 2 ocasiones los formularios que se me mandaron para solicitar mis vacaciones, donde pedía por un motivo importante y personal vacaciones del 04 al 10 de agosto. Por el cual, me preocupa que al no recibir la pre-publicación, no pueda tampoco intercambiarlas con otro tc, en caso no reciba esas fechas. Muchas gracias.</t>
  </si>
  <si>
    <t>""Hola Xiomara, Esperamos que te encuentres muy bien. Muchas gracias por comunicarte con nosotros y por hacernos llegar tu consulta para verificar tu estado en el sistema. Informarte que no se te ha pre publicado tus vacaciones para el segundo semestre, ya que venías de descanso médico prolongado. Si en caso, deseas salir de vacaciones en los meses restantes del presente semestre, te pedimos por favor ingresarlo a través del formulario de vacaciones SAB mediante la categoría "pedido adicional" para realizar la evaluación respectiva. Saludos cordiales,"""</t>
  </si>
  <si>
    <t>E54855B9-LATAM-LP</t>
  </si>
  <si>
    <t>13/07/2026 18:24</t>
  </si>
  <si>
    <t>D786E6E0-LATAM-LP</t>
  </si>
  <si>
    <t>13/07/2026 11:20</t>
  </si>
  <si>
    <t>La presente es para informar el próximo vencimiento de mi licencia chilena (30JUL2026) por lo que quisiera se tome en consideración.</t>
  </si>
  <si>
    <t>""¡Gracias por la información! Te comentamos que lo enviaremos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</si>
  <si>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5B9B965E-LATAM-LP</t>
  </si>
  <si>
    <t>13/07/2026 11:41</t>
  </si>
  <si>
    <t>Estimados buenos dias el motivo de mi consulta es sobre la programación de mi chequeo LATAM y DGAC pendiente, el 17 de junio culminé mi curso de transición pero al momeno todavia no se me programan los chequeos correspondientes, vi en la programación de agosto que tampoco me estan considerando, yo ya cuento con licencia B767, quisiera saber si todavia hay posibilidad que puedan considerarme para agosto, muchas gracias.</t>
  </si>
  <si>
    <t>EFC2544D-LATAM-LP</t>
  </si>
  <si>
    <t>13/07/2026 17:24</t>
  </si>
  <si>
    <t>0D031DE9-LATAM-LP</t>
  </si>
  <si>
    <t>16/07/2026 16:22</t>
  </si>
  <si>
    <t>El día de ayer mande un formulario informando que se me vencia mi experiencia reciente el 18 de agosto verificando bien mis vuelos acabo de ver que me habían activado un vuelo a Miami y con ese.vuelo recién se me estarían venciendo mi experiencia reciente el 21 de setiembre y no el 18 de agosto como lo informe ayer pido las disculpas del caso quedo atento</t>
  </si>
  <si>
    <t>¡Gracias por la información! Te comentamos que la consulta ingresada el día de ayer ya fue respondida, confirmando que tu vencimiento de experiencia reciente B767 es el 21-09-2026.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</si>
  <si>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C643A5E7-LATAM-LP</t>
  </si>
  <si>
    <t>14/07/2026 13:22</t>
  </si>
  <si>
    <t>Me voy a vencer en el Boeing-767 en Agosto, me pueden ayudar en dándole mayor prioridad a estos vuelos que he solicitado en el PBS portador, espero su respuesta lo más pronto posible gracias!</t>
  </si>
  <si>
    <t>BAF07386-LATAM-LP</t>
  </si>
  <si>
    <t>15/07/2026 09:08</t>
  </si>
  <si>
    <t>Buenas tardes estimados, la presente para hacer un recordatorio sobre mi experiencia reciente en el Boeing 767. En el mes de agosto estoy cerca a perder mi experiencia reciente en Boeing 767. Debo estar mapeada pero me tranquiliza hacer este recordatorio.Gracias</t>
  </si>
  <si>
    <t>¡Gracias por la información! Te comentamos que la asignación de tu último vuelo para la flota B767 se realizará antes de la fecha de vencimiento (24-agosto-2026).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</si>
  <si>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DF69A5D7-LATAM-LP</t>
  </si>
  <si>
    <t>14/07/2026 12:34</t>
  </si>
  <si>
    <t>A1F2FD2A-LATAM-LP</t>
  </si>
  <si>
    <t>14/07/2026 11:36</t>
  </si>
  <si>
    <t>90CEF881-LATAM-LP</t>
  </si>
  <si>
    <t>16/07/2026 01:02</t>
  </si>
  <si>
    <t>Buenas noches para informar que el día 18 de agosto se vence mi experiencia reciente en 767 ya que mi último vuelo que realicé fue el 20 de mayo , les informo que tenia programado un vuelo a jfk para el 18 de julio pero me acaban de activar un vuelo en NB ,estoy informando para que me programen un vuelo antes del 18 de agosto, soy Carlos Bustamante Bravo BP 2434099 quedo atento gracias buenas noches</t>
  </si>
  <si>
    <t>¡Gracias por la información! Te comentamos que la asignación de tu último vuelo para la flota B767 se realizará antes de la fecha de vencimiento (21-septiembre-2026, considerando que tu último vuelo operado en B767 fue el 23-junio-2026)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</si>
  <si>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463D5A7E-LATAM-LP</t>
  </si>
  <si>
    <t>14/07/2026 13:52</t>
  </si>
  <si>
    <t>E4988F80-LATAM-LP</t>
  </si>
  <si>
    <t>14/07/2026 16:33</t>
  </si>
  <si>
    <t>Inasistencia para el examen medico ocupacional por temas de periodo</t>
  </si>
  <si>
    <t>"¡Gracias por la información! Te comentamos que tenemos mapeado tu caso, por lo que te estaremos enviando por correo la programación de tu nueva fecha de exámen médico ocupacional. Esperamos que la respuesta te haya sido de gran ayuda."</t>
  </si>
  <si>
    <t>1EA774B8-LATAM-LP</t>
  </si>
  <si>
    <t>14/07/2026 16:23</t>
  </si>
  <si>
    <t>hola mi nombre es Angelo Candela bp2959668 acabo de recoger mi apto medico peruano el cual vence este mes y ahora faltaria que puedan enviarme mi licencia chilena con la nueva fecha de vencimiento por favor, quedo atento. gracias</t>
  </si>
  <si>
    <t>1AF1E137-LATAM-LP</t>
  </si>
  <si>
    <t>14/07/2026 22:46</t>
  </si>
  <si>
    <t>Buenas noches, el día de mañana tengo programado por rol examen médico ocupacional (RTI). Pero me acaba de llegar el periodo y según el correo tengo que llenar formulario en soporte SAB. Me preocupa porque es en unas horas. Espero me puedan ayudar.</t>
  </si>
  <si>
    <t>1BC6EFAC-LATAM-LP</t>
  </si>
  <si>
    <t>15/07/2026 08:10</t>
  </si>
  <si>
    <t>Hola buenos días, quería consultar acerca de mis vacaciones del bloque 2026-2, ya que no me llegó ningún correo. Gracias</t>
  </si>
  <si>
    <t>""Hola Sheylla, Esperamos que te encuentres muy bien. Muchas gracias por comunicarte con nosotros y por hacernos llegar tu consulta para verificar tu estado en el sistema. Te informamos que no se han prepublicado tus vacaciones para el periodo 2026-02, debido a que ya has cumplido con el 100% de las programadas dentro de tu meta DGAC 2026-2027. Dado que te reincorporas de tu periodo de maternidad, la nueva bolsa de vacaciones gestionada por RR. HH. se generará durante este segundo semestre, otorgándote el derecho a gozar de 15 días. Si deseas tomar vacaciones en algún mes en específico (septiembre a diciembre), te solicitamos registrar tu solicitud a través del formulario de vacaciones SAB, seleccionando la categoría 'Pedidos adicionales'. Saludos cordiales,"""</t>
  </si>
  <si>
    <t>B73E5770-LATAM-LP</t>
  </si>
  <si>
    <t>16/07/2026 23:40</t>
  </si>
  <si>
    <t>Estimados, tenía programado por rol un vuelo SCL RT en 767 el día 11 de julio pero un día antes me quitaron la asignación porque el vuelo fue cancelado. Mi experiencia reciente en Boeing 767 vence el 4 de agosto. En lo que resta del mes de julio no tengo vuelos asignados en 767. Adicionalmente, comentarles que me encuentro a la espera de la devolución de mi pasaporte ya que realicé el trámite de renovación de visa crew. Quedo atenta a su respuesta ya que no me gustaría perder mi habilitación en 767.</t>
  </si>
  <si>
    <t>¡Gracias por la información! Te comentamos que la asignación de tu último vuelo para la flota B767 se realizará antes de la fecha de vencimiento, por lo cual te hemos enviado un correo con la propuesta de asignación de vuelo B767.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</si>
  <si>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2B3F828A-LATAM-LP</t>
  </si>
  <si>
    <t>15/07/2026 17:02</t>
  </si>
  <si>
    <t>Buenas tardes. Quisiera confirmar que la vigencia de mi apto medico se encuentra OK. Hoy en la reva salió el tema para los mayores de 40 años cuya revalidación es anual. Me confirman por favor cual es la fecha real de vigencia de mi apto? Rige desde la de expedición o de la fecha posterior del apto. Muchas gracias</t>
  </si>
  <si>
    <t>"¡Gracias por la información! Te comentamos que la vigencia de tu apto médico se mantiene de acuerdo al documento que tienes emitido. De igual forma considera que el procedimiento es cuando cumples 40 años y se te debe bajar de vuelo para realizar la renovación de apto médico. En tu caso no habría inconvenientes con tu documentación. Esperamos que la respuesta te haya sido de gran ayuda."</t>
  </si>
  <si>
    <t>18F0905E-LATAM-LP</t>
  </si>
  <si>
    <t>15/07/2026 18:11</t>
  </si>
  <si>
    <t>He tenido descanso medico este mes del 4 al 19. Quería saber si por esto se verá afectado mis depósitos de edenred. Si es así me gustaría saber el detalle para tenerlo mapeado. Gracias.</t>
  </si>
  <si>
    <t>Estimado, Los descansos médicos en si afectan al Bono Cumplimiento de Rol, pero la información la tendremos a inicios de agosto, por lo que por el momento no podríamos indicarle cuánto afectará a su depósito</t>
  </si>
  <si>
    <t>5B2F8B46-LATAM-LP</t>
  </si>
  <si>
    <t>15/07/2026 21:44</t>
  </si>
  <si>
    <t>Estimados, El año pasado tuve mi reva la primera semana de junio. Sin embargo por un tema medico no fue programado. Actualmente estoy de alta y ya se normalizó mi rol. Podrían ayudarme a saber si corro un riesgo de vencerme de la reva?</t>
  </si>
  <si>
    <t>2EBEFA25-LATAM-LP</t>
  </si>
  <si>
    <t>21/07/2026 09:24</t>
  </si>
  <si>
    <t>EL 09 DE JULIO TENIA PROGRAMADO MI LCK DE 767, SIN EMBARGO SE CANCELÓ POR TEMAS OPERACIONALES, REVISÉ PBS Y NO ME HAN REPROGRAMADO PARA AGOSTO, MI LICENCIA CON PRORROGA VENCE SEPTIEMBRE. POR LO QUE LES PEDIRIA POF FAVOR REPROGRAMARME LO ANTES POSIBLE PARA TENER TIEMPO Y EVITAR MI VENCIMIENTO</t>
  </si>
  <si>
    <t>8C3493CC-LATAM-LP</t>
  </si>
  <si>
    <t>16/07/2026 11:33</t>
  </si>
  <si>
    <t>Vencimiento de Curso en Tierra 30/06/26</t>
  </si>
  <si>
    <t>51DA0948-LATAM-LP</t>
  </si>
  <si>
    <t>20/07/2026 10:42</t>
  </si>
  <si>
    <t>BE6C7E3A-LATAM-LP</t>
  </si>
  <si>
    <t>16/07/2026 12:58</t>
  </si>
  <si>
    <t>CV01</t>
  </si>
  <si>
    <t>E38CFD6C-LATAM-LP</t>
  </si>
  <si>
    <t>21/07/2026 17:58</t>
  </si>
  <si>
    <t>Experiencia reciente en B767. Estimados, Espero que se encuentren bien. Les hago la siguiente consulta, el día 23 tengo agendadas citas médicas, lo comenté recientemente con mi CPL para saber si es posible alguna de las siguientes opciones: El día 29/07 tengo asignación de vuelos nacionales, si es posible, ese día podrían cambiarme la asignación y colocarme el vuelo SCL en B767. De lo contrario, asignarme el vuelo el día 24 que también tengo libre y no afecta mi secuencia ni asignaciones. Si no es posible ninguna de estas dos opciones, por favor me avisan para que como última opción se me asigne el vuelo el día 23. Quedo atenta a su respuesta. Muchas gracias por la atención y ayuda.</t>
  </si>
  <si>
    <t>Se coordina mediante correo de Soporte la asignción de vuelo 767</t>
  </si>
  <si>
    <t>386B3C5C-LATAM-LP</t>
  </si>
  <si>
    <t>16/07/2026 14:04</t>
  </si>
  <si>
    <t>Buenas tardes, quisiera consultar, si me podrian programar para el mes que viene Agosto, mi curso para la Habilitación del Boeing 767, espero me lo puedan programar lo mas pronto posible. Muchas gracías.</t>
  </si>
  <si>
    <t>B6B2C6D1-LATAM-LP</t>
  </si>
  <si>
    <t>16/07/2026 11:32</t>
  </si>
  <si>
    <t>E31C611B-LATAM-LP</t>
  </si>
  <si>
    <t>18/07/2026 23:50</t>
  </si>
  <si>
    <t>Mi licencia vence a fin de mes y he recibido un correo al cual ya respondí, en el que me pedían que me comunicara con soporte debido a que mi correo no estaba siendo aceptado. Aun no tengo respuesta</t>
  </si>
  <si>
    <t>Estimada, Espero que se encuentre bien. Enviamos un correo de un paso a paso para que pida a DGAC Chile en actualizar el correo que está en el sistema de ellos, luego de ello avisarnos cuando la Autoridad lo haya actualizado. Revisamos y DGAC ya hizo ese cambio, ya hicimos el pedido de su nueva convalidación licencia chilena por lo que estaremos enviando antes de su vencimiento. ¡Agradecemos mucho tu colaboración y comprensión!</t>
  </si>
  <si>
    <t>BF303847-LATAM-LP</t>
  </si>
  <si>
    <t>19/07/2026 15:44</t>
  </si>
  <si>
    <t>Recojo de documentación-APTO: TCS Joyce Apaza, consultar si aún puedo acercarme a recoger el apto en la oficina de EL OLIVAR ya que los dias qué me mandaron el correo para asistir estaba de pernocte en Miami.</t>
  </si>
  <si>
    <t>TC RECOGIÓ APTO MÉDICO 20/07</t>
  </si>
  <si>
    <t>709D843D-LATAM-LP</t>
  </si>
  <si>
    <t>19/07/2026 15:47</t>
  </si>
  <si>
    <t>18E2C500-LATAM-LP</t>
  </si>
  <si>
    <t>19/07/2026 22:07</t>
  </si>
  <si>
    <t>F7B1D308-LATAM-LP</t>
  </si>
  <si>
    <t>20/07/2026 01:05</t>
  </si>
  <si>
    <t>Buenos días, quisiera realizar una consulta respecto a la reprogramación de mi examen ocupacional, ya que no pude cumplir con las consideraciones e indicaciones de la clínica debido a que hoy inició mi menstruación. ¿Cómo se realizaría la reprogramación en este caso?</t>
  </si>
  <si>
    <t>7C3D3A7E-LATAM-LP</t>
  </si>
  <si>
    <t>24/07/2026 10:22</t>
  </si>
  <si>
    <t>Buenos días, el tema es experiencia reciente en 767 que vence el 18 de Agosto 2026</t>
  </si>
  <si>
    <t>¡Gracias por la información! Te comentamos que debido al status de no apto, no se te puede asignar vuelos operando hasta que pases por el proceso respectivo de levantamiento de no apto. Ten presente que una vez tengas el apto se evaluaría la asignación de un vuelo 767 antes de tu vencimiento de experiencia reciente 767 (15-agosto-2026).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</si>
  <si>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BB67968E-LATAM-LP</t>
  </si>
  <si>
    <t>20/07/2026 15:49</t>
  </si>
  <si>
    <t>Programación para la renovación del apto</t>
  </si>
  <si>
    <t>Se agendo apto para el 27/07</t>
  </si>
  <si>
    <t>5602A6EC-LATAM-LP</t>
  </si>
  <si>
    <t>20/07/2026 20:29</t>
  </si>
  <si>
    <t>Me equivoqué solo en una pregunta en el exámen de primeros auxilios y me pusieron 80% de nota cuando correspondía 90%. Solo tuve el error en la pregunta en la que la respuesta era hiperventilación</t>
  </si>
  <si>
    <t>A2591ADE-LATAM-LP</t>
  </si>
  <si>
    <t>21/07/2026 08:23</t>
  </si>
  <si>
    <t>Reprogramación del apto médico</t>
  </si>
  <si>
    <t>¡Gracias por la información! Hemos verificado que haz asistido a tu apto médico programado y nos encontrariamos al pendiente del envío del nuevo documento. Esperamos que la respuesta te haya sido de gran ayuda.</t>
  </si>
  <si>
    <t>DBCB9740-LATAM-LP</t>
  </si>
  <si>
    <t>24/07/2026 16:49</t>
  </si>
  <si>
    <t>¡Gracias por la información! Te comentamos que se debido al vencimiento de experiencia reciente A320F sólo corresponde realizar reentrenamiento A320F.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</si>
  <si>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A4D090D8-LATAM-LP</t>
  </si>
  <si>
    <t>21/07/2026 10:55</t>
  </si>
  <si>
    <t>C478EE56-LATAM-LP</t>
  </si>
  <si>
    <t>24/07/2026 13:47</t>
  </si>
  <si>
    <t>Buenas tardes recibi una actualizacion en mi iflight el cual no enriendo, he tenido dm pero no paso ños 3 meses de habee dejado de volar adjunto foto, espero sus comentarios</t>
  </si>
  <si>
    <t>¡Gracias por la información! Te comentamos que se te ha asignado el vuelo de experiencia reciente debido a que tu vencimiento es el 10-septiembre y para evitar cualquier cambio en tu rol por contingencia operacional durante la primera semana del mes subsiguiente (empalme) y un posible riesgo de pérdida de experiencia reciente, se asigna dicho vuelo con anticipación.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</si>
  <si>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7FD74BF7-LATAM-LP</t>
  </si>
  <si>
    <t>21/07/2026 14:18</t>
  </si>
  <si>
    <t>Buen dia, actualmente estoy fuera del rol operativo. Me encuentro laborando en el área administrativa, apoyo al OTP SAB en el HCC. Deseo usar un bloque de 7 dias de mis vacaciones desde el 30 de julio al 5 de agosto. Gracias</t>
  </si>
  <si>
    <t>""Hola Tenor, Esperamos que te encuentres muy bien. Muchas gracias por comunicarte con nosotros y por hacernos llegar tu consulta para verificar tu estado en el sistema. Se va a proceder a registrar tu solicitud de pedido adicional de vacaciones del 30-jul al 05-ago (7 días), el cual será reflejado por rol. Saludos cordiales,"""</t>
  </si>
  <si>
    <t>4267065C-LATAM-LP</t>
  </si>
  <si>
    <t>22/07/2026 01:56</t>
  </si>
  <si>
    <t>Solicitud de vacaciones en noviembre</t>
  </si>
  <si>
    <t>""Hola Josue, Esperamos que te encuentres muy bien. Muchas gracias por comunicarte con nosotros y por hacernos llegar tu consulta para verificar tu estado en el sistema. El flujo correcto para ingresar tu pedido adicional de vacaciones para el mes de noviembre es a través del formulario de Vacaciones SAB LP, el cual se encuentra en el site LP. Saludos cordiales,"""</t>
  </si>
  <si>
    <t>B5BA523B-LATAM-LP</t>
  </si>
  <si>
    <t>23/07/2026 09:07</t>
  </si>
  <si>
    <t>Buenos días, ya tengo el Apto Médico renovado pero aún no llega mi licencia chilena y esta vence 31 de Julio</t>
  </si>
  <si>
    <t>""¡Gracias por la información! Te comentamos que lo enviamos antes de la fecha de vencimiento, el día 24 de julio.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</si>
  <si>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749914AC-LATAM-LP</t>
  </si>
  <si>
    <t>23/07/2026 13:27</t>
  </si>
  <si>
    <t>Buenas estimados: Tengo una solicitud pendiente sin respuesta. Deseo saber por favor si estoy vigente con mi apto médico ya que la rap 67 señala que después de los 40 tiene vigencia de solo un año. Vuelvo a enviar en el adjunto mi apto médico y la indicación de la RAP. Agradeceré mucho aclaren mi duda para continuar con mis asignaciones estimados. Gracias</t>
  </si>
  <si>
    <t>77258FCF-LATAM-LP</t>
  </si>
  <si>
    <t>23/07/2026 21:23</t>
  </si>
  <si>
    <t>Apto Médico y Examen Ocupacional, me encuentro con mi periodo menstrual desde el día de hoy y mi examen medico y el ocupacional esta programado para el día de mañana 24/7. Ya he enviado el correo respectivo también a movimiento diario con copia a mi jefatura. Quedo atenta</t>
  </si>
  <si>
    <t>2D203D45-LATAM-LP</t>
  </si>
  <si>
    <t>23/07/2026 22:11</t>
  </si>
  <si>
    <t>El mes de Julio tenía mi Reva del 14-17 pero debido a una cirugía y que estaba en el proceso de espera de mi apto médico me lo retiraron . Quería consultar si en Agosto se me puede colocar la Reva ya que el año pasado mi reva fue la última semana de agosto . Gracias</t>
  </si>
  <si>
    <t>"¡Gracias por la información! Te informamos que, dado que tu mes base es agosto y según lo establecido en la RAP 63, esta actividad puede ser programada dentro de un período de elegibilidad que comprende 30 días antes, durante y después de tu mes base. Por lo tanto, tu curso de revalidación de seguridad podrá ser agendada tanto en julio como en septiembre, junto con la prórroga correspondiente.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</si>
  <si>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AA03AE01-LATAM-LP</t>
  </si>
  <si>
    <t>24/07/2026 16:50</t>
  </si>
  <si>
    <t>Hola buenas tardes una consulta mi último vuelo en boeing fue el 06 de junio; y tendría hasta el 06 de setiembre para no vencerme en los 90 días. El mes de Julio tuve protección de rol por el pasaporte en la Embajada pero este mes de Agosto no tengo programado ningún vuelo en boeing y les escribía para que por favor lo tengan en cuenta para no vencerme dentro de los 90 días. Muchas gracias</t>
  </si>
  <si>
    <t>¡Gracias por la información! Te comentamos que la asignación de tu último vuelo para la flota B767 se realizará antes de la fecha de vencimiento (03-sep-26).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</si>
  <si>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BE34C71B-LATAM-LP</t>
  </si>
  <si>
    <t>24/07/2026 13:24</t>
  </si>
  <si>
    <t>Los datos en mi Apto médico que acabo de recoger no coinciden con mi número de licencia peruana. Debajo de la foto tenía “TC4422” (ese es el número de mi licencia) sin embargo en el nuevo apto que me entregaron sale “CDT4377” que no es mi número de licencia ni mi cargo. Por favor quisiera saber si esta nueva información está ok, o si ha habido un error ya que la vigencia de mi actual apto es hasta el 31 de Julio.</t>
  </si>
  <si>
    <t>"¡Gracias por la información! Te comentamos que el dato que registra es el numero de historia de la clínica en la que fuiste atendida, en este caso puedes operar sin inconvenientes. Esperamos que la respuesta te haya sido de gran ayuda."</t>
  </si>
  <si>
    <t>665F2BBC-LATAM-LP</t>
  </si>
  <si>
    <t>24/07/2026 17:14</t>
  </si>
  <si>
    <t>Buenas tardes, estimados. Les saluda Rosemery Cabrera (TC). Les escribo porque realicé la solicitud vía PBS para volar Boeing en agosto, pero no me fue otorgada. Mi último vuelo en esta flota fue el 29 de mayo, por lo que quería consultarles si, por favor, podrían considerarme en algún vuelo de Boeing para no vencerme. Gracias.</t>
  </si>
  <si>
    <t>¡Gracias por la información! Te comentamos que tenemos mapeado en asignarte un vuelo en tu experiencia reciente. Te informamos que se va a gestionar tu caso con el equipo de roles para asignarte un vuelo en dicha flota antes de tu vencimiento (27-agos-26). Esperamos que la respuesta te haya sido de gran ayuda.</t>
  </si>
  <si>
    <t>9D9BE471-LATAM-LP</t>
  </si>
  <si>
    <t>24/07/2026 16:44</t>
  </si>
  <si>
    <t>Mi experiencia reciente en el 767 ya se encuentra vencida y en el rol de agosto, recién publicado no se ha programado el chequeo de reentrenamiento. Quería consultar si es posible la programación aun en agosto.</t>
  </si>
  <si>
    <t>¡Gracias por la información! Te informamos que estamos coordinando la asignación de tu reentrenamiento B767 para septiembre, en base a la disponibilidad de los instructores y la holgura operativa. Asimismo, te estaremos notificando por correo tanto sobre esta asignación como sobre tu retorno a la línea. Esperamos que la respuesta te haya sido de gran ayuda.</t>
  </si>
  <si>
    <t>A8CDEB15-LATAM-LP</t>
  </si>
  <si>
    <t>24/07/2026 18:59</t>
  </si>
  <si>
    <t>Estimados, Espero que este mensaje los encuentren bien. Quisiera comentarles que ya he culminado satisfactoriamente mis e-learnings, las prácticas en el CAE y el chequeo de reentrenamiento. Actualmente, me encuentro a la espera de la programación de mi chequeo de recalificación para poder continuar con el proceso. Quedo atenta a cualquier actualización o indicación adicional que deba considerar. Muchas gracias por su tiempo y apoyo. Saludos cordiales, Fernanda Miranda.</t>
  </si>
  <si>
    <t>¡Gracias por la información! Te comentamos que nos encontramos a la espera de la autorización de la DGAC para la programación de tu chequeo de recalificación. Ten presente que una vez contemos con dicha autorización, te enviaremos con anticipación la información detallada sobre tu Recalificación A320F.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</si>
  <si>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567BB363-LATAM-LP</t>
  </si>
  <si>
    <t>24/07/2026 17:38</t>
  </si>
  <si>
    <t>¡Gracias por la información! Te comentamos que se te ha asignado el vuelo de experiencia reciente debido a que tu vencimiento es el 10-septiembre y para evitar un posible riesgo de pérdida de experiencia reciente por cualquier cambio en tu rol por contingencia operacional durante la primera semana del mes subsiguiente (empalme), se asigna dicho vuelo con anticipación.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</si>
  <si>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36FB1570-LATAM-LP</t>
  </si>
  <si>
    <t>24/07/2026 14:12</t>
  </si>
  <si>
    <t>Buen dia, este mes tuve programado mi chequeo en línea en airbus, sin embargo no se pudo dar por cancelación de vuelo, en agosto sería mi mes de prorroga y también tengo vacaciones en este mes, para tomar en cuenta. Gracias</t>
  </si>
  <si>
    <t>¡Gracias por la información! Te informamos que, dado que tu mes base de LCK A320F es agosto y según lo establecido en la RAP 63, esta actividad puede ser programada dentro de un período de elegibilidad que comprende 30 días antes, durante y después de tu mes base. Por lo tanto, tu verificación de competencia podrá ser agendada tanto en septiembre,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</si>
  <si>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36999B8F-LATAM-LP</t>
  </si>
  <si>
    <t>24/07/2026 20:30</t>
  </si>
  <si>
    <t>D41B062A-LATAM-LP</t>
  </si>
  <si>
    <t>24/07/2026 20:25</t>
  </si>
  <si>
    <t>Estimados pedi LAX para agosto sin embargo no me pusieron vuelo, y es el tercer mes sin volar 767 por lo que estaría perdiendo la experiencia reciente</t>
  </si>
  <si>
    <t>DB381AFF-LATAM-LP</t>
  </si>
  <si>
    <t>24/07/2026 20:27</t>
  </si>
  <si>
    <t>Pedi vuelo en agosto para no perder la experiencia reciente en 767 sin embargo no me lo dieron, podrían programarme un pernocte en Boeing por favor.</t>
  </si>
  <si>
    <t>7678B09B-LATAM-LP</t>
  </si>
  <si>
    <t>26/07/2026 23:56</t>
  </si>
  <si>
    <t>Buenas noches. Por descanso médico, perdí mi chequeo de competencia A320 en julio y no me ha sido programado para agosto, mes en el que me venzo. Gracias</t>
  </si>
  <si>
    <t>¡Gracias por la información! Te informamos que, dado que tu mes base es agosto y según lo establecido en la RAP 63, esta actividad puede ser programada dentro de un período de elegibilidad que comprende 30 días antes, durante y después de tu mes base. Por lo tanto, tu verificación de competencia podrá ser agendada en septiembre,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</si>
  <si>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728EBAED-LATAM-LP</t>
  </si>
  <si>
    <t>28/07/2026 05:40</t>
  </si>
  <si>
    <t>Estimados les escribo para solicitar con carácter de urgencia la programación de los siguientes chequeos de B767 recalificacion y experiencia reciente, ya que en agosto no se programo y en junio estuve de licencia por fallecimiento de padre. Agradezco la gestión para el mes de setiembre y así continuar con mi habilitación dentro de la flota. Muy agradecida. Saludos y buen dia para todos .</t>
  </si>
  <si>
    <t>¡Gracias por la información! Te informamos que estamos coordinando la asignación de tu reentrenamiento y recalificación en septiembre, en base a la disponibilidad de los instructores y la holgura operativa. Asimismo, te estaremos notificando por correo la información de tu asignación. Esperamos que la respuesta te haya sido de gran ayuda.</t>
  </si>
  <si>
    <t>A0816A0D-LATAM-LP</t>
  </si>
  <si>
    <t>25/07/2026 12:29</t>
  </si>
  <si>
    <t>Buen dia. Para informar que el 24 de Julio me llego correo de programacion RET Airbus, pero almomento no aparece la asignacion en el Iflight. Gracias!</t>
  </si>
  <si>
    <t>Informativo, ya tenía el vuelo asigado</t>
  </si>
  <si>
    <t>2E16C254-LATAM-LP</t>
  </si>
  <si>
    <t>24/07/2026 20:04</t>
  </si>
  <si>
    <t>8F82BF5F-LATAM-LP</t>
  </si>
  <si>
    <t>26/07/2026 16:42</t>
  </si>
  <si>
    <t>el mes de mayo el dia 04-06 fue mi ultimo vuelo en boeing, debido a que por una cirugia he estado fuera de linea desde el 05 de Junio y el dia lunes voy a recoger mi apto medico, por favor considerar una vez que tenga rol colocarme vuelo en Boeing para no vencerme, gracias.</t>
  </si>
  <si>
    <t>Informativo, ya tenía el vuelo de exp rec 767 asigado</t>
  </si>
  <si>
    <t>B705F8CC-LATAM-LP</t>
  </si>
  <si>
    <t>25/07/2026 10:40</t>
  </si>
  <si>
    <t>Hola, buenas tardes. Quisiera realizar una consulta respecto a mis vacaciones. Tengo programados 15 días de vacaciones para septiembre y quisiera saber si es posible dividirlos en dos periodos: 7 días en septiembre y los 8 días restantes en octubre. ¿Sería posible realizar este cambio? Quedo atenta a su confirmación. Muchas gracias.</t>
  </si>
  <si>
    <t>""Hola Danaey, Esperamos que te encuentres muy bien. Muchas gracias por comunicarte con nosotros y por hacernos llegar tu consulta para verificar tu estado en el sistema. Hemos revisado tu solicitud; sin embargo, no es posible realizar ajustes en tu periodo de vacaciones de septiembre. Dado que corresponden a días prepublicados por vencimiento, es necesario que hagas uso de ellas antes del 1 de octubre (F. Aniversario). Saludos cordiales,"""</t>
  </si>
  <si>
    <t>4FE288D3-LATAM-LP</t>
  </si>
  <si>
    <t>25/07/2026 17:21</t>
  </si>
  <si>
    <t>Solicitud de programación de Apto Medico y Examen médico ocupacional, agradecería puedan programarme ya que se vence el 31/08, envío los días que tengo reserva en casa y en aeropuerto: 28/07 ASB2,04/08 HSB1, 06/08 HSB2, 07/08 HSB2.</t>
  </si>
  <si>
    <t>8BF6F7C4-LATAM-LP</t>
  </si>
  <si>
    <t>25/07/2026 22:21</t>
  </si>
  <si>
    <t>Buenas noches, me acabo de habilitar para la flota 767 ya me entregaron mi licencia peruana, solo falta que me envíen la licencia chilena ya que el próximo mes cuento con vuelos en Boeing</t>
  </si>
  <si>
    <t>""¡Gracias por la información! Te comentamos que lo enviamos antes de la fecha de tus vuelos, el día 27 de julio.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</si>
  <si>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9DB9A63E-LATAM-LP</t>
  </si>
  <si>
    <t>31/07/2026 19:45</t>
  </si>
  <si>
    <t>17F6BEDE-LATAM-LP</t>
  </si>
  <si>
    <t>26/07/2026 23:55</t>
  </si>
  <si>
    <t>14DB7384-LATAM-LP</t>
  </si>
  <si>
    <t>01/08/2026 13:28</t>
  </si>
  <si>
    <t>Hola buenas tardes. En el mes de agosto se me vencería mi experiencia reciente en el 76 ya que estuve dos meses con rol protegido debido a la renovación de visa crew. En este mes también debieron colocarme mi line check pero creo que se puede extender un mes más . Quería saber si me podían apoyar colocando un vuelo en el 76 para no vencerme en la flota WB. Muchas gracias</t>
  </si>
  <si>
    <t>¡Gracias por la información! Te comentamos que tenemos mapeado en asignarte un vuelo en tu experiencia reciente. Te informamos que se va a gestionar tu caso con el equipo de roles para asignarte un vuelo en dicha flota antes de tu vencimiento (24-agosto). Por otro lado, te informamos que, dado que tu mes base de LCK B767 es agosto y según lo establecido en la RAP 63, esta actividad puede ser programada dentro de un período de elegibilidad que comprende 30 días antes, durante y después de tu mes base. Por lo tanto, tu verificación de competencia podrá ser agendada en septiembre, junto con la prórroga correspondiente. Si tienes alguna otra consulta, estamos aquí para ayudarte. Esperamos que la respuesta te haya sido de gran ayuda.</t>
  </si>
  <si>
    <t>745D2658-LATAM-LP</t>
  </si>
  <si>
    <t>29/07/2026 03:51</t>
  </si>
  <si>
    <t>250CD18A-LATAM-LP</t>
  </si>
  <si>
    <t>02/08/2026 21:45</t>
  </si>
  <si>
    <t>Cuando salió el rol visualicé que tenía programado LCK el día 24 en la ruta LIM MIA, sin embargo hace unos días vi modificaciones en em roaster y ya no salgo en el crew list con el codigo LCK_T. Me pueden confirmar si efectivamente ya no voy a tener LCK el día 24 de agosto? Gracias!</t>
  </si>
  <si>
    <t>¡Gracias por la información! Te informamos que tu LCK B767 se reprogramará considerando tu mes base y tu mes de prórroga. En ese sentido te compartimos la siguiente información: el mes base de tu LCK B767 es septiembre y según lo establecido en la RAP 63, esta actividad puede ser programada dentro de un período de elegibilidad que comprende 30 días antes, durante y después de tu mes base. Por lo tanto, tu verificación de competencia podrá ser agendada en octubre,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</si>
  <si>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B4D0A0E3-LATAM-LP</t>
  </si>
  <si>
    <t>29/07/2026 11:38</t>
  </si>
  <si>
    <t>Buen día, deseo usar 8 días de vacaciones de mi bolsa desde el 17 al 24 de agosto. Gracias</t>
  </si>
  <si>
    <t>""Hola Eneida, Esperamos que te encuentres muy bien. Muchas gracias por comunicarte con nosotros y por hacernos llegar tu consulta para verificar tu estado en el sistema. De acuerdo a lo solicitado, se va a considerar tu pedido adicional de vacaciones para el mes de agosto. Saludos cordiales,"""</t>
  </si>
  <si>
    <t>DD038603-LATAM-LP</t>
  </si>
  <si>
    <t>29/07/2026 19:16</t>
  </si>
  <si>
    <t>Deposito de viaticos mediante cheque</t>
  </si>
  <si>
    <t>¡Gracias por la información! Te comentamos que el canal correcto para realizar consulta sobre viáticos es con RH. Esperamos que la respuesta te haya sido de gran ayuda.</t>
  </si>
  <si>
    <t>34E0A8B3-LATAM-LP</t>
  </si>
  <si>
    <t>30/07/2026 10:52</t>
  </si>
  <si>
    <t>Tengo RTI el dia de mi Examen medico ocupacional que es el 14 de agosto, quisiera saber si se puede reprogramar</t>
  </si>
  <si>
    <t>¡Gracias por la información! Te comentamos que el exámen médico ocupacional puede formar parte de tu RTI y se detalla ello en la programación de revalidación de seguridad. Esperamos que la respuesta te haya sido de gran ayuda.</t>
  </si>
  <si>
    <t>30F96687-LATAM-LP</t>
  </si>
  <si>
    <t>30/07/2026 12:12</t>
  </si>
  <si>
    <t>Buenas tardes, les escribia, ya que mi licencia chilena tiene como fecha de vencimiento el 31 de agosto del 2026 y al momento no me han enviado la revalidacion de la misma. Quedo atenta a su respuesta</t>
  </si>
  <si>
    <t>""¡Gracias por la información! Te comentamos que lo enviaremos antes de la fecha de vencimiento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</si>
  <si>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92D7BE09-LATAM-LP</t>
  </si>
  <si>
    <t>30/07/2026 13:48</t>
  </si>
  <si>
    <t>Me llegó mensaje solicitando notifique mi apto esta programado para el 10 agosto a las 0800 en la clínica la clinica del trabajador. Esperp confirmación.</t>
  </si>
  <si>
    <t>054ACC2C-LATAM-LP</t>
  </si>
  <si>
    <t>30/07/2026 16:11</t>
  </si>
  <si>
    <t>Tengo programado mi Examen Médico Ocupacional en la Clínica del Trabajador para este Lunes 03 de Agosto. Quería informar que me encuentro en mi 2do día de Período de Menstruación por lo cuál mi consulta es si ésto sería una contraindicación para realizar mi Examen Médico Ocupacional, y a la vez, tenerlos al tanto. Quedo atenta a cualquier comentario.</t>
  </si>
  <si>
    <t>548B8446-LATAM-LP</t>
  </si>
  <si>
    <t>30/07/2026 18:12</t>
  </si>
  <si>
    <t>Buenas tardes, disculpen el 21/08 se vence mi apto medico pero en este mes no se me ha sido programado, por favor su apoyo para poder programarlo.</t>
  </si>
  <si>
    <t>¡Gracias por la información! Te informamos que se ha agendado el apto médico para el día 17 de agosto. En Soporte SAB, llevamos el control y seguimiento de todas las licencias y habilitaciones, por lo que no es necesario que te preocupes. Solo te pedimos que nos contactes si faltan menos de 72 horas para el vencimiento y aún no recibes novedades. Esperamos que la respuesta te haya sido de gran ayuda.</t>
  </si>
  <si>
    <t>1574B505-LATAM-LP</t>
  </si>
  <si>
    <t>30/07/2026 18:53</t>
  </si>
  <si>
    <t>Buenas tardes, la consulta es la siguiente, tuve reva de seguridad en marzo, line check a320 en abril y chequeo dgac 767 en junio, en el rol de agosto aparece que tengo de nuevi RTI del 18 al 21, queria consultar el motivo de ese curso 4 dias, si ya he tenido lo anterior mencionado, agradeceria que me absuelvan la duda muchas gracias.</t>
  </si>
  <si>
    <t>"¡Gracias por la información! Se verifica que en el mes de febrero llevaste la revalidación de seguridad de las flota A319/320/321 y en el mes de agosto se está agendando la revalidación junto con la flota B767, considera que se agenda ambas flotas a fin de homologar las fechas de vencimientos de tus cursos.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¡Agradecemos mucho tu colaboración y comprensión!</t>
  </si>
  <si>
    <t>ADEC76E9-LATAM-LP</t>
  </si>
  <si>
    <t>31/07/2026 14:02</t>
  </si>
  <si>
    <t>¡Gracias por la información! Te comentamos que la programación de tu apto médico se realizá antes de la fecha de vencimiento. (30 Septiembre 2026)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</si>
  <si>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B6E3F2C8-LATAM-LP</t>
  </si>
  <si>
    <t>31/07/2026 19:58</t>
  </si>
  <si>
    <t>Buenas tardes el dia 15 APR 26 realice mi curso de Boeing767.Luego tenia programados mis chequeos en vuelo para los dias 19 y 25 de junio.Sin embargo,el 19 de Junio,que correspondia mi chequeo LATAM, el vuelo fue cancelado,por lo que recien pude realizar este chequeo el 25 de junio.Desde entonces quedo pendiente mi chequeo DGAC,tengo entendido que el curso de boeing767 tiene una vigencia de seis meses,quisiera saber si esto es correcto y,de ser asi que procedimiento debo seguir para no perder la habilitacion o si hay alguna programacion prevista para completar el chequeo pendiente gracias</t>
  </si>
  <si>
    <t>¡Gracias por la información! Te comentamos que se te estará programando tu chequeo antes de su fecha de vencimiento. La vigencia del Curso en tierra es de 1 año y del Chequeo LATAM es de 3 meses. Esperamos que la respuesta te haya sido de gran ayuda.</t>
  </si>
  <si>
    <t>6E646E48-LATAM-LP</t>
  </si>
  <si>
    <t>31/07/2026 21:56</t>
  </si>
  <si>
    <t>Buen día, quisiera solicitar, por favor, mi asignación a la próxima capacitación del curso Boeing 767 disponible, y poder estar bihabilitada. Quedo atenta a su respuesta. Muchas gracias.</t>
  </si>
  <si>
    <t>4E25C2C6-LATAM-LP</t>
  </si>
  <si>
    <t>31/07/2026 20:43</t>
  </si>
  <si>
    <t>BBD5680A-LATAM-LP</t>
  </si>
  <si>
    <t>04/08/2026 10:08</t>
  </si>
  <si>
    <t>Vuelo programado</t>
  </si>
  <si>
    <t>Buenas tardes estimad@, Quedamos atentos al detalle de tu consulto para poder brindarte la información necesaria relacionada a tu duda. Muchas gracias.</t>
  </si>
  <si>
    <t>D668F622-LATAM-LP</t>
  </si>
  <si>
    <t>04/08/2026 08:20</t>
  </si>
  <si>
    <t>Buenos días, hoy me llegó un correo con la prorroga de mi linecheck hasta el 31 de agosto ya que el día que tenia verificación se canceló por que no pudo llegar el instructor a vuelo, quisiera saber si ya hay una fecha próxima para la evaluaión,gracias</t>
  </si>
  <si>
    <t>FE2137E6-LATAM-LP</t>
  </si>
  <si>
    <t>01/08/2026 11:46</t>
  </si>
  <si>
    <t>Me comunico con ustedes en relación con la programación de mi apto médico para el día 5 de agosto y el requerimiento de presentar, dentro de las 48 horas, los informes médicos establecidos en mi dispensa. Quisiera poner en su conocimiento que mi dispensa médica, así como las indicaciones de mis médicos tratantes, establecen que debo realizar mis controles y exámenes de seguimiento cada seis meses, debido a que me encuentro en seguimiento oncológico. Los últimos análisis e informes médicos que presenté para mi apto anterior fueron realizados en el mes de marzo del presente año. En ese sentido, mi siguiente control corresponde recién en el mes de septiembre, conforme al intervalo de seis meses establecido por mis especialistas y por la propia dispensa médica. Adelantar los análisis para cumplir con la fecha del apto médico implicaría realizarlos antes del periodo indicado, lo cual no se ajusta al plan de seguimiento médico establecido. Con la finalidad de cumplir oportunamente con este seguimiento, solicité con anticipación los días libres 21 y 22 de agosto para realizarme los análisis correspondientes. Asimismo, programé mis consultas con mis médicos tratantes de acuerdo con dicho cronograma: tengo cita con el especialista en Cirugía de Cabeza y Cuello el 28 de agosto y con mi endocrinóloga el 4 de septiembre, fechas en las que se emitirán los informes médicos respectivos. Adicionalmente, este cronograma fue coordinado directamente con el médico de la DGAC, el Dr José Vasquez Moquillaza y el médico de la Clínica Los Andes, quienes me indicaron que debía presentar los informes médicos a finales de agosto e inicios de septiembre. Con dicha documentación se tiene previsto realizar una junta médica para evaluar la modificación de mi dispensa, pasando de controles semestrales a una dispensa con vigencia anual, de acuerdo con la evolución favorable de mi condición. Por lo expuesto, agradecería puedan evaluar mi caso y, de ser posible, reprogramar mi apto médico o brindarme una alternativa que me permita cumplir con los requisitos de mi dispensa sin contravenir las indicaciones de mis médicos tratantes ni las coordinaciones previamente efectuadas con los médicos aeronáuticos. Considero que la programación del apto para el 5 de agosto no resulta compatible con el cronograma médico establecido para mi seguimiento.</t>
  </si>
  <si>
    <t>58399A43-LATAM-LP</t>
  </si>
  <si>
    <t>01/08/2026 11:48</t>
  </si>
  <si>
    <t>Informativo, se reprogramará en SEP.</t>
  </si>
  <si>
    <t>2669324D-LATAM-LP</t>
  </si>
  <si>
    <t>01/08/2026 17:09</t>
  </si>
  <si>
    <t>Llegamos del vuelo LA2078 a las 16:00 y el siguiente vuelo a piura LA2236 sale a las 18:00. Para que se pueda ingresar el monto del vale a la edenred. Muchas gracias.</t>
  </si>
  <si>
    <t>01BB1E44-LATAM-LP</t>
  </si>
  <si>
    <t>He llegado dwl vuelo 2078 Cuz con dos de espera para el sgte vuelo a Piu 2236.Solicito que la espera se deposite a Edenred, gracias .</t>
  </si>
  <si>
    <t>604BBFB3-LATAM-LP</t>
  </si>
  <si>
    <t>01/08/2026 21:58</t>
  </si>
  <si>
    <t>Examen medico Ocupacional programado el 05/08/2026. Por rol tengo asignado el codigo RTI ese día. Se me indicó en el correo contactar con soporte para la reprogramación.</t>
  </si>
  <si>
    <t>"¡Gracias por la información! Te comentamos que la notificación a soporte es en caso no hayas podido asistir. De igual forma considera que el EMO o Apto suele estar dentro de la programación de la revalidación. Esperamos que la respuesta te haya sido de gran ayuda."</t>
  </si>
  <si>
    <t>F3F62AB6-LATAM-LP</t>
  </si>
  <si>
    <t>02/08/2026 20:19</t>
  </si>
  <si>
    <t>A8309A97-LATAM-LP</t>
  </si>
  <si>
    <t>02/08/2026 21:04</t>
  </si>
  <si>
    <t>511224F5-LATAM-LP</t>
  </si>
  <si>
    <t>04/08/2026 15:24</t>
  </si>
  <si>
    <t>1A521EC2-LATAM-LP</t>
  </si>
  <si>
    <t>02/08/2026 20:25</t>
  </si>
  <si>
    <t>Me han depositado el monto de s/.165 en mi tsrjeta edenred sin embsrgo en dicho mes he tenido permido por enfermedad grave de fsmiliar 8 diss con el cofigo LEP y 5 dias por fallecimiento de mi madre con el codigo LM, y estos no corresponden dscuentos</t>
  </si>
  <si>
    <t>""¡Gracias por la información! Te comentamos que se realizó una regularización por 579.60 soles. Esperamos que la respuesta te haya sido de gran ayuda!."</t>
  </si>
  <si>
    <t>7DAA24AB-LATAM-LP</t>
  </si>
  <si>
    <t>03/08/2026 10:09</t>
  </si>
  <si>
    <t>6DA3AEF4-LATAM-LP</t>
  </si>
  <si>
    <t>C56E9360-LATAM-LP</t>
  </si>
  <si>
    <t>03/08/2026 14:35</t>
  </si>
  <si>
    <t>No me carga en la academia corporativa mis cursos para mi reva ; solo me figura las del año</t>
  </si>
  <si>
    <t>264A3C8F-LATAM-LP</t>
  </si>
  <si>
    <t>03/08/2026 18:48</t>
  </si>
  <si>
    <t>Buenas noches, he pasado por mi apto medico anual el día 21 de septiembre, sin embargo aun no me envían mi licencia chilena. Y regreso a vuelos este sábado 08 de agosto.</t>
  </si>
  <si>
    <t>""¡Gracias por la información! Te comentamos que hoy estaremos enviando tu nueva convalidación licencia chilena, gracias Esperamos que la respuesta te haya sido de gran ayuda!."</t>
  </si>
  <si>
    <t>ED779C48-LATAM-LP</t>
  </si>
  <si>
    <t>03/08/2026 22:48</t>
  </si>
  <si>
    <t>Buenas tardes estimados Me acaba de llegar una notificación a través de mi Iflight crew con el siguiente mensaje: Medical document - expired for Brandon Lee Figueroa Valencia. Expired data is 09 - JUL - 2026 19:00 Para lo cual ya hice mi nuevo apto médico y ya lo recogí, quedo atento a cualquier comentario.</t>
  </si>
  <si>
    <t>""¡Gracias por la información! Te comentamos que se actualizó su MAE el 3 de agosto, gracias Esperamos que la respuesta te haya sido de gran ayuda!."</t>
  </si>
  <si>
    <t>C9B2BB13-LATAM-LP</t>
  </si>
  <si>
    <t>05/08/2026 14:38</t>
  </si>
  <si>
    <t>Estimados, Espero que este mensaje los encuentren bien. Quisiera comentarles que he advertido que mi chequeo de recalificación y mis clases virtuales de revalidación han sido programados para la misma fecha, 11 de agosto del presente año, por lo que ambas evaluaciones se superponen. Como mi intención es cumplir con ambas actividades, agradecería mucho que me pudieran indicar cómo debo proceder, o si corresponde reprogramar o adelantar alguna de ellas. Quedo atenta a sus indicaciones. Muchas gracias por su apoyo. Saludos cordiales, Fernanda Miranda.</t>
  </si>
  <si>
    <t>Se contestó por correo Soporte</t>
  </si>
  <si>
    <t>C72A13F7-LATAM-LP</t>
  </si>
  <si>
    <t>04/08/2026 10:43</t>
  </si>
  <si>
    <t>Vencimiento apto médico 08/2026</t>
  </si>
  <si>
    <t>""¡Gracias por la información! Te comentamos que estaremos gestionando la cita, gracias Esperamos que la respuesta te haya sido de gran ayuda!."</t>
  </si>
  <si>
    <t>47899844-LATAM-LP</t>
  </si>
  <si>
    <t>04/08/2026 10:23</t>
  </si>
  <si>
    <t>Estimados, buenos días. Escribo para solicitar la confirmación de la programación de mis exámenes médicos, ya que he recibido correos con información contradictoria: En el primer correo de programación , se indica únicamente Examen Médico Ocupacional. En un segundo correo, figura Apto Médico + Examen Médico Ocupacional. Adicionalmente, recibí un correo de confirmación de la Clínica Tezza donde solo se registra el Examen Médico Ocupacional. Dado que el año pasado ya me realicé tanto el apto médico como el examen ocupacional, quisiera por favor que me aclaren si en esta oportunidad debo realizar ambos procesos o únicamente el examen médico ocupacional. Quedo atento a su confirmación. Saludos cordiales,</t>
  </si>
  <si>
    <t>""¡Gracias por la información! Te comentamos que solo es examen ocupacional, gracias Esperamos que la respuesta te haya sido de gran ayuda!."</t>
  </si>
  <si>
    <t>C91DCD1A-LATAM-LP</t>
  </si>
  <si>
    <t>04/08/2026 11:09</t>
  </si>
  <si>
    <t>Estimados Recibí 2 correos contradictorios. En primer correo solo indica examen médico ocupacional. En el segundo, apto mas examen medico ocupacional. Días antes he recibido la confirmacion en la clínica Tezza donde me indican que solo tendré examen medico ocupacional. Quisiera por favor me aclaren que me tocaría este año. Adjunto</t>
  </si>
  <si>
    <t>B6382189-LATAM-LP</t>
  </si>
  <si>
    <t>04/08/2026 12:31</t>
  </si>
  <si>
    <t>Buen dia, me llego un correo el dia de hoh de mi examen medico que realizare el dia 26, en este correo indica que si pornrol tengo Rti ese dia, debo notificarlos, y efectivamente del 24 al 27 salgo por rol RTI</t>
  </si>
  <si>
    <t>AF24364D-LATAM-LP</t>
  </si>
  <si>
    <t>04/08/2026 13:31</t>
  </si>
  <si>
    <t>La presente es para informarles que mi dispensa médica se encuentra en la Clínica Los Andes, ubicada en Miraflores, mientras que mi apto médico será realizado en la Clínica Tezza.</t>
  </si>
  <si>
    <t>""¡Gracias por la información! Te comentamos que su apto médico se realizará en clínica Los Andes Esperamos que la respuesta te haya sido de gran ayuda!."</t>
  </si>
  <si>
    <t>9585A809-LATAM-LP</t>
  </si>
  <si>
    <t>04/08/2026 14:15</t>
  </si>
  <si>
    <t>Renovación de licencia chilena</t>
  </si>
  <si>
    <t>E47515EC-LATAM-LP</t>
  </si>
  <si>
    <t>05/08/2026 20:31</t>
  </si>
  <si>
    <t>Hola buenas tardes, tuve mi reca en junio para volver a volar el B767, y ahora por rol veo que que tengo los códigos LCK_T y REC-EXP_T quisiera saber si es un vuelo para no perder la habilitación nuevamente o es un vuelo que será chequeado por instructor, ya que en IFN no me aparece ningún instructor aún . M</t>
  </si>
  <si>
    <t>¡Gracias por la información! Te informamos que el vuelo del 15-agosto corresponde a un vuelo de experiencia reciente 767. En los siguientes días tu rol se actualizará para que sólo aparezca el código REC-EXP_T. Esperamos que la respuesta te haya sido de gran ayuda.</t>
  </si>
  <si>
    <t>7C78F2F0-LATAM-LP</t>
  </si>
  <si>
    <t>05/08/2026 22:30</t>
  </si>
  <si>
    <t>Estimados: El mes de Julio tenía programado el chequeo competencia 767, sin embargo por tema de DM no pude asistir al chequeo, según verifico mi vencimiento es en este mes. Quisiera saber si será asignado alguna fecha del presente mes para mi chequeo competencia. Desde ya agradezco la atención prestada. Saludos Nataly Abanto</t>
  </si>
  <si>
    <t>4E866EC0-LATAM-LP</t>
  </si>
  <si>
    <t>05/08/2026 12:29</t>
  </si>
  <si>
    <t>Buenas tardes. Le saluda Bryan Marin con Bp: 6000426. Les pediría obtener información sobre mi licencia chilena que vence fines de agosto del presente año. Estaré atento a sus comentarios. Muchas gracias</t>
  </si>
  <si>
    <t>688B0657-LATAM-LP</t>
  </si>
  <si>
    <t>07/08/2026 11:31</t>
  </si>
  <si>
    <t>Muy buenos días, mi consulta es la siguiente: en el mes de julio tenía chequeo en vuelo de A320 pero tuve una observación en el apto médico y no pude realizar el chequeo, tengo hasta el 31 de este mes o el mes de septiembre como mes de prórroga, no sé si me lo puedan programar para este mes o quedo pendiente para el mes de septiembre. Muchas gracias de antemano.</t>
  </si>
  <si>
    <t>64BCA18F-LATAM-LP</t>
  </si>
  <si>
    <t>08/08/2026 19:05</t>
  </si>
  <si>
    <t>Quisiera saber el estado de mi programación de Linecheck A320, ya que estoy en fecha, pero no se me ha enviado ninguna información.</t>
  </si>
  <si>
    <t>¡Gracias por la información! Te informamos que, dado que tu mes base de LCK A320F es noviembre y según lo establecido en la RAP 63, esta actividad puede ser programada dentro de un período de elegibilidad que comprende 30 días antes, durante y después de tu mes base. Por lo tanto, tu verificación de competencia podrá ser agendada tanto en octubre como en diciembre,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</si>
  <si>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C7E69BE8-LATAM-LP</t>
  </si>
  <si>
    <t>09/08/2026 19:31</t>
  </si>
  <si>
    <t>Buenas noches. Por favor, les agradecere mucho vean la posibilidad de reprogramarme LCK B767 ya que lo tenia por rol mañana 10/08 LIM-MIA pero por mantenimiento nos quedamos en AQP. Estoy en mi mes de prorroga, lo tenia programado inicialmente en el mes de Julio, pero lo perdi porque el vuelo fue cancelado. No quiero perder la habilitacion en el equipo B767 ya que en el mes de Setiembre estare de vacaciones casi todo el mes. Quedo atento. Muchas gracias!</t>
  </si>
  <si>
    <t>¡Gracias por la información! Te informamos que de acuerdo a lo coordinado por correo, se te está reprogramando el LCK B767 para el 13-agosto. Esperamos que la respuesta te haya sido de gran ayuda.</t>
  </si>
  <si>
    <t>491D6163-LATAM-LP</t>
  </si>
  <si>
    <t>06/08/2026 14:52</t>
  </si>
  <si>
    <t>Hola, tengo 3 correos con distintas programaciones para mi Reva, en el mes de Agosto del 10 al 13. Me podrían enviar mi programación final o real? Les agradecería mucho. Ganpier Brayner Muñoz Zare. BP4286269</t>
  </si>
  <si>
    <t>377BAC86-LATAM-LP</t>
  </si>
  <si>
    <t>06/08/2026 15:24</t>
  </si>
  <si>
    <t>Buenas tardes! Me llegó el correo para la programación Hands ON 767 para el 12 de Agosto, sin embargo yo ya lo tuve programado el 12 de Junio del presente. No sé si tengo que volver a realizarlo. Quedó al tanto de su respuesta.</t>
  </si>
  <si>
    <t>"¡Gracias por la información! Te informamos que, se agenda la actividad debido a que tu vencimiento de hands on se encontraba próximo. Esperamos que la respuesta te haya sido de gran ayuda."</t>
  </si>
  <si>
    <t>27541A22-LATAM-LP</t>
  </si>
  <si>
    <t>07/08/2026 09:14</t>
  </si>
  <si>
    <t>D73173DC-LATAM-LP</t>
  </si>
  <si>
    <t>10/08/2026 23:48</t>
  </si>
  <si>
    <t>E059B81D-LATAM-LP</t>
  </si>
  <si>
    <t>07/08/2026 11:46</t>
  </si>
  <si>
    <t>Examenes academia corporativa , buenas tardes , escribo para consultar sobre mis examenes ya que los tengo vencidos debido a reprogramación de reva , no me han cargado nuevos examenes , puedo realizar los que estan vencidos? Gracias.</t>
  </si>
  <si>
    <t>"¡Gracias por la información! Te informamos que los elearning fueron solicitados desde el 01 de agosto, los anteriores puedes rendirlos sin inconveniente ya que se registrará la fecha de realización. De igual forma, te aconsejamos verificar en un ordenador todos los elearning y la fecha de asignación. Esperamos que la respuesta te haya sido de gran ayuda."</t>
  </si>
  <si>
    <t>1931B83E-LATAM-LP</t>
  </si>
  <si>
    <t>07/08/2026 14:18</t>
  </si>
  <si>
    <t>856B9FA6-LATAM-LP</t>
  </si>
  <si>
    <t>07/08/2026 15:04</t>
  </si>
  <si>
    <t>Mi consulta es ya que tuve linecheck de Boeing 767 en el mes de junio, pero me programaron hands on el 12 de agosto, cuando en mi linecheck ya realicé el procedimiento. Mi consulta si igualmente debo hacerlo.</t>
  </si>
  <si>
    <t>6DAF062B-LATAM-LP</t>
  </si>
  <si>
    <t>07/08/2026 15:00</t>
  </si>
  <si>
    <t>A8D27B4D-LATAM-LP</t>
  </si>
  <si>
    <t>07/08/2026 16:50</t>
  </si>
  <si>
    <t>Buenas tardes, estimados. Tengo la siguiente consulta. Debido a que estuve con descanso médico prolongado, no pude tomar las vacaciones que tenía programadas del 16/06 al 22/06 y, adicionalmente, tengo otros 13 días pendientes, con fecha de vencimiento el 01/09/2026. Mi apto médico ha sido programado para el 11/08, como parte de mi proceso de reincorporación. Quería consultar cómo se manejarían mis vacaciones en este caso. Una vez que tenga el apto médico aprobado, ¿se me programarían las vacaciones de inmediato o tendría que completar primero los chequeos de reentrenamiento para posteriormente tomar las vacaciones? Lo consulto porque los 20 días están próximos a vencer y quisiera saber cómo se procederá con su programación. Muchas gracias de antemano.</t>
  </si>
  <si>
    <t>""Hola Arce Esperamos que te encuentres muy bien. Muchas gracias por comunicarte con nosotros y por hacernos llegar tu consulta para verificar tu estado en el sistema. Dado que has presentado tu alta médica y tienes 20 días de vacaciones que están por vencer, estás han sido asignadas del 12 al 31-ago con el objetivo de que llegues al 100% de tus meta de vacaciones 2025-2026. Posterior a tus vacaciones, se te asignarán tus vuelos de capacitación en caso se requiera para que puedas volver a la línea. Saludos cordiales,"""</t>
  </si>
  <si>
    <t>99D33DF5-LATAM-LP</t>
  </si>
  <si>
    <t>07/08/2026 20:53</t>
  </si>
  <si>
    <t>Buenas noches , me enviaron mi programacion de reva pero me faltaria un dia para los examenes virtuales . Los cuales aun no me.ham subido al sistema</t>
  </si>
  <si>
    <t>34BE7DE7-LATAM-LP</t>
  </si>
  <si>
    <t>07/08/2026 21:31</t>
  </si>
  <si>
    <t>E82BFE57-LATAM-LP</t>
  </si>
  <si>
    <t>11/08/2026 16:17</t>
  </si>
  <si>
    <t>Buenas tardes, tenía programado mi Lck de 320 para el día de mañana pero me encuentro de licencia por paternidad por 10 días contando desde el día de ayer. Agradeceré puedan informarme sobre la reprogramación correspondiente. Gracias.</t>
  </si>
  <si>
    <t>¡Gracias por la información! Te informamos que, dado que tu mes base LCK A320 es septiembre y según lo establecido en la RAP 63, esta actividad puede ser programada dentro de un período de elegibilidad que comprende 30 días antes, durante y después de tu mes base. Por lo tanto, tu verificación de competencia podrá ser agendada en octubre,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</si>
  <si>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75AC5F72-LATAM-LP</t>
  </si>
  <si>
    <t>09/08/2026 13:13</t>
  </si>
  <si>
    <t>Hola buen día, espero se encuentren muy bien, veo que mi licencia chilena vence el 31/08/2026 a finales de este mes, quisiera consultar sobre la renovación de mi convalidación, quedo atenta muchas gracias.</t>
  </si>
  <si>
    <t>0DEC2EB0-LATAM-LP</t>
  </si>
  <si>
    <t>09/08/2026 18:35</t>
  </si>
  <si>
    <t>Hola buenas tardes, no pude asistir a la fecha del examen ya que tuve fiebre y dolor de cuerpo, como podría hacer para que me lo reprogramen por favor lo mas antes posible por favor..</t>
  </si>
  <si>
    <t>Estimado, espero que te encuentres bien. Dado que cuentas con tu EMO vigente ya no se requiere reprogramar. Muchas gracias</t>
  </si>
  <si>
    <t>693AE586-LATAM-LP</t>
  </si>
  <si>
    <t>11/08/2026 14:21</t>
  </si>
  <si>
    <t>Buenas tardes ,en el mes de Julio tenía programado mi líne check el cual fue cancelado por movimiento diario , en agosto no me han programado mi line check y era el mes que se me vencía mi chequeo , mi CPL me indicó que tendría prorroga para Setiembre, porfavor podrían considerar mi chequeo para setiembre ya que es mi mes de prorroga y tambien en octubre se me vence la visa crew .Gracias Zarela</t>
  </si>
  <si>
    <t>¡Gracias por la información! Te informamos que, dado que tu mes base LCK B767 es agosto y según lo establecido en la RAP 63, esta actividad puede ser programada dentro de un período de elegibilidad que comprende 30 días antes, durante y después de tu mes base. Por lo tanto, tu verificación de competencia podrá ser agendada en septiembre, junto con la prórroga correspondiente.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</si>
  <si>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88A38C1D-LATAM-LP</t>
  </si>
  <si>
    <t>12/08/2026 15:48</t>
  </si>
  <si>
    <t>Reprogramación de line check Airbus. Perdida del mismo por motivo DM, vencimiento finales de agosto. Solicito prórrogra y reprogramación del mismo</t>
  </si>
  <si>
    <t>6E240D87-LATAM-LP</t>
  </si>
  <si>
    <t>10/08/2026 06:52</t>
  </si>
  <si>
    <t>Tengo apto medico y emo pero me encuentro con el periodo menstrual, segun lo indicado en el correo no puedo rendir el examen, agradecere aclaren mi duda</t>
  </si>
  <si>
    <t>Estimada, Efectivamente no puedes asistir por tu periodo. Se reagenderá su apto. Gracias por la información</t>
  </si>
  <si>
    <t>1FBEEDEF-LATAM-LP</t>
  </si>
  <si>
    <t>10/08/2026 09:50</t>
  </si>
  <si>
    <t>Inasistencia Examen médico ocupacional. Buenos días quería informar que no voy a poder asistir al examen médico ocupacional el día 13 pues me encuentro en proceso de resfrío, aún con síntomas y he tomado medicamentos. Por lo que no cumplo con las consideraciones que ellos solicitan. Como información adicional porque veo que es un requisito, en 9 días debería empezar mi periódo de menstruación. Por favor su apoyo con la reprogramación.</t>
  </si>
  <si>
    <t>Estimada, Se reprogramará su EMO. Gracias por la información</t>
  </si>
  <si>
    <t>0D075FDB-LATAM-LP</t>
  </si>
  <si>
    <t>10/08/2026 10:43</t>
  </si>
  <si>
    <t>Estimados, por medio del presente quisiera informar que no pude realizar el examen medico ocupacional programado ( 10 Agosto ) , debido a que no cumplia con uno de los requisitos necesarios para su realizacion, al encontrarme en mi periodo menstrual. Inclusive realice la consukta directamente con la clinica Tezza y me indicaron qud no era posible realizarlo. Por este motivo, agradeceria puedan ayudarme con la reprogramacion de mi examen medico ocupacional para una nueva fecha. Quedo atenta a su confirmacion y a la nueva fecha asignada. Muchas gracias por su comprension. Saludos cordiales.</t>
  </si>
  <si>
    <t>3D76DE93-LATAM-LP</t>
  </si>
  <si>
    <t>10/08/2026 11:19</t>
  </si>
  <si>
    <t>Buenos días, quisiera saber si hay algún problema con la renovación de mi apto médico, pase EM el 24 de julio del año en curso, hasta la fecha no tengo noticia alguna y tengo hasta el 31 de agosto como vigencia límite. Podrían ayudarme con este tema por favor.</t>
  </si>
  <si>
    <t>Estimado, Espero que se encuentre bien Estamos pendientes de que se emita su apto médico. Lo estaremos enviado a la brevedad posible a Plaza Olivar durante la próxima semana por favor. Luego de ello, empezamos con la gestión de Licencia chilena que se enviará antes de su vencimiento. Gracias quedamos atentos a otra inquietud</t>
  </si>
  <si>
    <t>74A08957-LATAM-LP</t>
  </si>
  <si>
    <t>10/08/2026 12:32</t>
  </si>
  <si>
    <t>Tengo programado examen ocupacion en mis dias de reva anual (RTI) para el miercoles 12, sin embargo no cumplo con 2 indicacion: la cantidad de dias despues de mi ultima menstruacion no sera la indicada y tengo aun un poco de tos saliendo de una gripe fuerte, por lo que quisiera saber como se procederia, si se reprogramara tods la fecha del EMO o si puefo avanzar con algunos examenes. Quedo atenta. Gracias.</t>
  </si>
  <si>
    <t>Estimada, Espero que se encuentre bien. Se reprogramará su EMO. Gracias</t>
  </si>
  <si>
    <t>FBBDD06B-LATAM-LP</t>
  </si>
  <si>
    <t>10/08/2026 12:50</t>
  </si>
  <si>
    <t>Buenos días! El día 22 de Junio realicé la programación del HANDS ON del 767, sin embargo para este 12 de Agosto tengo nuevamente programado el HANDS ON del 767. Quisiera saber a que se debe que tenga nuevamente esta programación, y si tendría que volver a pasarlo? Quedo a su respuesta.</t>
  </si>
  <si>
    <t>¡Gracias por la información! Te informamos que tenemos la información del vencimiento de tu hands on el 31 de agosto y por ello se ha agendado el hands on el 12 de agosto. Esperamos que la respuesta te haya sido de gran ayuda.</t>
  </si>
  <si>
    <t>34D7B521-LATAM-LP</t>
  </si>
  <si>
    <t>12/08/2026 18:12</t>
  </si>
  <si>
    <t>Estuve con descanso médico prolongado , pero ya estoy de alta, quisiera q me consideren en el rol del setiembre para no perder la experiencia reciente , ya realicé el apto médico solo estoy a la espera de que me lo envíen.</t>
  </si>
  <si>
    <t>76E095DA-LATAM-LP</t>
  </si>
  <si>
    <t>10/08/2026 21:38</t>
  </si>
  <si>
    <t>Buenas noches quisiera reconfirmar si el día de mañana me toca examen medico teniendo en cuenta que hasta ahora no me ha llegado ningún correo con las instrucciones.</t>
  </si>
  <si>
    <t>Estimada, El 1ero de junio tuvo examen de Apto Médico por el cual salio como Apta el 24 de julio. Asimismo, su nuevo Apto Médico lo recogió el 4 de agosto. Quedamos antentos a otra inquietud. Gracias</t>
  </si>
  <si>
    <t>B228B28B-LATAM-LP</t>
  </si>
  <si>
    <t>10/08/2026 15:06</t>
  </si>
  <si>
    <t>Muchas gracias por la información, Si, justo el día de hoy tuve cita con mi doctor y todo va excelente, y no creo que se tenga que extender el DM. Por lo que entiendo a partir del día 24/08 que termina mi DM tengo que pasar con cita médica de la empresa y posterior apto medico, esto como se gestionaría? Aparecerá terminado mi DM en mi rol o tengo yo, que realizar alguna gestión? El día viernes tendré otra cita con el doctor para que termine de curarme y ahí le preguntaré respecto al alta medica que entiendo me la daría después de la última cita que incluye el post operatorio que según me dijo el doctor son 4. Agradeceré me puedan aclarar esas dudas y quedo a entera disposición ante cualquier información adicional que puedan requerir. De antemano muchas gracias.</t>
  </si>
  <si>
    <t>""Hola Eduardo, Esperamos que te encuentres muy bien. Muchas gracias por comunicarte con nosotros y por hacernos llegar tu consulta para verificar tu estado en el sistema. El día que presentes tu alta médica, debes avisar a tu CPL para que gestione una cita con el equipo de salud laboral. Posteriormente, pasarás por una evaluación de apto médico para retornar a la línea, siempre que no tengas capacitaciones pendientes. Saludos cordiales,"""</t>
  </si>
  <si>
    <t>FDA6F3B5-LATAM-LP</t>
  </si>
  <si>
    <t>09/08/2026 22:37</t>
  </si>
  <si>
    <t>7DDE69EF-LATAM-LP</t>
  </si>
  <si>
    <t>17/08/2026 19:54</t>
  </si>
  <si>
    <t>Hola estoy de regreso en mi periodo de lactancia ya pase mi vuelo de reentrenamiento pero tengo pendiente mi recalificacion que estaba programado pero me lo desasignaron y mi vencimiento es este mes. Quedo a la espera de la programacion</t>
  </si>
  <si>
    <t>¡Gracias por la información! Te comentamos que se ha enviado la invitación con el detalle del vuelo para tu recalificación A320F. Esperamos que la respuesta te haya sido de gran ayuda.</t>
  </si>
  <si>
    <t>EBE737F6-LATAM-LP</t>
  </si>
  <si>
    <t>11/08/2026 17:51</t>
  </si>
  <si>
    <t>No cumplo con los requisitos para el EMO</t>
  </si>
  <si>
    <t>8B4988B2-LATAM-LP</t>
  </si>
  <si>
    <t>16/08/2026 23:30</t>
  </si>
  <si>
    <t>Estimados, solicito que por favor se revise el siguiente caso, ya que a la fecha movimiento diario me indica que no tienen información al respecto y no ha cambiado mi asignación, muchas gracias. Código de operación: 9DB9A63E-LATAM-LP 31/07 Consulta: Estimados, el día 24 de julio me asignaron un vuelo a SCL RT en B767 en mi día libre para no perder la experiencia reciente. Me informaron que mi día libre sería devuelto en el mes de agosto y que debíamos esperar a la publicación del rol. Teniendo ya el rol disponible, solicito que por favor me brinden el día libre el día 22 de agosto que tengo como asignación ASB1. Quedo atenta a sus comentarios, muchas gracias. Respuesta: Te informamos que de acuerdo a lo coordinado previamente y a la información que nos brindas, ya se ha solicitado que te asignen el libre para el 22 de agosto.</t>
  </si>
  <si>
    <t>¡Gracias por la información! Te comentamos que la asignación del libre fue solicitado con anticipación a Recovery y actualmente verificamos que ya realizó la asignación del mismo en tu rol. Muchas gracias de antemano por tu comprensión. Esperamos que la respuesta te haya sido de gran ayuda.</t>
  </si>
  <si>
    <t>5009BBAA-LATAM-LP</t>
  </si>
  <si>
    <t>12/08/2026 09:44</t>
  </si>
  <si>
    <t>Licencia chilena próxima a vencer</t>
  </si>
  <si>
    <t>Estimad@, El día de ayer se envió su convalidación de licencia chilena. Gracias</t>
  </si>
  <si>
    <t>B844C12F-LATAM-LP</t>
  </si>
  <si>
    <t>12/08/2026 07:24</t>
  </si>
  <si>
    <t>Estimados, de acuerdo a los requisitos enviados para realizar el apto medico, no debo de estar con el periodo, por lo cual no podré asistir el día de mañana para realizarlo. Agradezco su atención</t>
  </si>
  <si>
    <t>Estimad@, Se reprogramará su apto médico. Gracias</t>
  </si>
  <si>
    <t>B547BAD0-LATAM-LP</t>
  </si>
  <si>
    <t>12/08/2026 17:11</t>
  </si>
  <si>
    <t>El próximo mes creo que tengo chequeo de linecheck de 767 (porque me figura un vuelo a Miami ) en caso sea el lck .. mi consulta es si yo tengo que tramitar la prórroga o lo hacen ustedes ?</t>
  </si>
  <si>
    <t>¡Gracias por la información! Te informamos que, dado que tu mes base de LCK B767 es agosto y según lo establecido en la RAP 63, esta actividad puede ser programada dentro de un período de elegibilidad que comprende 30 días antes, durante y después de tu mes base. Por lo tanto, tu verificación de competencia podrá ser agendada en septiembre, junto con la prórroga correspondiente, la cual ya fue gestionada por Soporte SAB y autorizada por la DGAC.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</si>
  <si>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929A3AF3-LATAM-LP</t>
  </si>
  <si>
    <t>12/08/2026 16:34</t>
  </si>
  <si>
    <t>Fecha de vacaciones</t>
  </si>
  <si>
    <t>¡Gracias por la información! Te comentamos que la confirmación de vacaciones del 01 al 22 de Septiembre. Esperamos que la respuesta te haya sido de gran ayuda.</t>
  </si>
  <si>
    <t>5E04FFDE-LATAM-LP</t>
  </si>
  <si>
    <t>12/08/2026 02:27</t>
  </si>
  <si>
    <t>Hola! Me gustaría saber si es que a pesar de que me cedieron 1 semana de vacaciones (comencé teniendo 3 y ahora tengo 4), igual mantengo las 4 semanas. Es decir, si voy a tener las 3 semanas inicales de la pre-publicación aparte de la semana que me cedieron.</t>
  </si>
  <si>
    <t>¡Gracias por la información! Como resultado de esta gestión, usted dispone de un saldo de 15 días de descanso vacacional. Es importante destacar que la programación de estos 15 días restantes se realiza debido a que este saldo es inferior al mínimo de 7 días requerido para ser prepublicado y programado en el próximo semestre, cumpliendo así con la normativa interna vigente, estos días deben ser gozados hasta antes del 01/03/2027. Esperamos que la respuesta te haya sido de gran ayuda.</t>
  </si>
  <si>
    <t>5AB68599-LATAM-LP</t>
  </si>
  <si>
    <t>12/08/2026 16:35</t>
  </si>
  <si>
    <t>Tengo la fecha de mis vacaciones del 1 al 22 de septiembre en el PBS, pero tuve un correo donde me confirmaron que solo sería del 1-7. Quisiera absolver esa duda por favor. Gracias.</t>
  </si>
  <si>
    <t>¡Gracias por la información! Te comentamos que tienes vacaciones confirmadas del 01/09/2026 al 22/09/2026. Esperamos que la respuesta te haya sido de gran ayuda.</t>
  </si>
  <si>
    <t>F3E018E7-LATAM-LP</t>
  </si>
  <si>
    <t>12/08/2026 18:44</t>
  </si>
  <si>
    <t>Buenas noches quisiera hacer una consulta, en julio complete satisfactoriamente la REVA, en esa oportunidad se me evaluo solo la flota Airbus ya que aun no tenia la licencia de Boeing. No obstante quiero consultar si existe la posibilidad de omitir algunos dias de los 4 que se me han progrmado para Setiembre, como el examen medico, los examenes virtuales, ya que apenas fue hace mes y medio y fue satisfactorio, lo cinsulto porque de realizarse se destinaria 8 dias en total de REVA en un corto tiempo, lo cual son varias hrs de vuelo. Considero que lo unico que se me evaluaria es el dia en el CAE. Quedo atento a su respuesta.</t>
  </si>
  <si>
    <t>¡Gracias por la información! De acuerdo a la autoridad el agendamiento de la revalidación es completa, no se puede agendar solo las prácticas B767 ya que no es una revalidación completa, además que el vencimiento de tu flota B767 es en octubre del 2026. Considera que cuando se agende la revalidación se homologarán ambas flotas y así el siguiente año se agendará una sola revalidación de ambas flotas. Esperamos que la respuesta te haya sido de gran ayuda.</t>
  </si>
  <si>
    <t>C4B2F4AF-LATAM-LP</t>
  </si>
  <si>
    <t>12/08/2026 23:29</t>
  </si>
  <si>
    <t>Vacaciones: Si deseas cancelar tus vacaciones pre publicadas y tomarlo dentro de tu línea de retorno por maternidad, debes coordinarlo con tu jefe en tierra y comunicarlo al equipo de soporte a través del siguiente formulario, seleccionando la categoría "Cancelación de vacaciones por maternidad": Haz clic aquí (Enlace enviado en el correo de Inicio Trabajo en Tierra - TC: CALLE YAPUR</t>
  </si>
  <si>
    <t>13FBA5CD-LATAM-LP</t>
  </si>
  <si>
    <t>12/08/2026 21:02</t>
  </si>
  <si>
    <t>Estimados buenas noches, el dia de mañana temgo Apto Medico y Examem medico ocupacional dentro de la consideraciones indica que no ddbo tomar medicamentos , y al momento me envientro con tratamieto que implocan tomar pastillas permitidas hasta el 15 de agosto, sin embargo podfia alterar los examenes.</t>
  </si>
  <si>
    <t>Estimad@, Se reprogramará su apto médico + emo. Gracias</t>
  </si>
  <si>
    <t>9086D560-LATAM-LP</t>
  </si>
  <si>
    <t>12/08/2026 23:30</t>
  </si>
  <si>
    <t>835da8b2-LATAM-LP</t>
  </si>
  <si>
    <t>15/03/2026 07:34</t>
  </si>
  <si>
    <t>Consulta días libres según PBS buenos días agradecería me confirmen pues me salen días días del 5 al 13 de abril cortado por un 7 de training pero ya lo tengo nada pendiente de entrenamiento y el 14 me sale marrón. Por favor su ayuda para que me confirmen a que se debe muchas gracias adjunto pantalla</t>
  </si>
  <si>
    <t>Estimado TC te comnetamos que el detalle de tus actividades se debe a que el día 7 cuentas con un Apto Médico (ME), seguido de tus días libres (OFF) del 8 al 13, y finalizando el 14 con un Diálogo CPL (MT). Si tuvieras cualquier duda adicional sobre estos registros, por favor no dudes en escribirnos; estamos atentos para apoyarte.</t>
  </si>
  <si>
    <t>fa140e09-LATAM-LP</t>
  </si>
  <si>
    <t>Me anoté al curso libre el día 1 de enero pero mañana me han activado y no podré asistir. Disculpen pero creo espero me retiren del curso ...muchas gracias !</t>
  </si>
  <si>
    <t>"¡Gracias por la información! Te recordamos que puedes liberar el cupo hasta 48 horas antes de la actividad a través de OSSA Esperamos que la respuesta te haya sido de gran ayuda.</t>
  </si>
  <si>
    <t>F6409B6E-LATAM-LP</t>
  </si>
  <si>
    <t>12/08/2026 17:54</t>
  </si>
  <si>
    <t>5218218B-LATAM-LP</t>
  </si>
  <si>
    <t>13/08/2026 13:21</t>
  </si>
  <si>
    <t>Buenas tardes tengo mi apto médico con mi examen médico ocupacional el día de mañana 14/08/26 en la clínica los Andes, y una de las consideraciones es que no puedo rendir el apto si me encuentro con mi menstruación o días posteriores a este, ahora mismo me encuentro en mis últimos días de menstruación. Podría ir a rendir el apto o me lo reprogramarían. Espero su respuesta. Gracias</t>
  </si>
  <si>
    <t>D8DBB9B3-LATAM-LP</t>
  </si>
  <si>
    <t>13/08/2026 13:14</t>
  </si>
  <si>
    <t>Buenas tardes, del 25 al 28 tengo mi reva de seguridad pero todavía no me llega la programación y por otro lado quería saber si tengo que pasar apto médico, examen ocupacional ya que lo he pasado a comienzos de este año, to tengo una dispensa en la Clínica Los Andes y lo paso anualmente.</t>
  </si>
  <si>
    <t>"¡Gracias por la información! Se verifica que la invitación fue enviada a tu correo, de acuerdo a lo programado no se agenda el apto médico en esta oportunidad ya que se renueva anualmente. ¡Agradecemos mucho tu colaboración y comprensión!"</t>
  </si>
  <si>
    <t>2A1D4012-LATAM-LP</t>
  </si>
  <si>
    <t>13/08/2026 18:33</t>
  </si>
  <si>
    <t>CBD8FBBB-LATAM-LP</t>
  </si>
  <si>
    <t>14/08/2026 06:00</t>
  </si>
  <si>
    <t>Con gusto de saludarlos les informo que entre finales de septiembre y comienzos de octubre va a nacer mi hijo, por lo cual me gustaría solicitar que para el rol de septiembre me puedan apoyar en no ponerme vuelos largos de cara a fin de mes, asimismo me gustaría pedirles su ayuda en tener vuelos en Boeing a comienzos de septiembre para tener experiencia reciente ya que en octubre entre la licencia y periodo de vacaciones puede que no llegue a volar esa flofa, muy agradecido</t>
  </si>
  <si>
    <t>""Hola Stefano, Esperamos que te encuentres muy bien. Muchas gracias por comunicarte con nosotros y por hacernos llegar tu consulta para verificar tu estado en el sistema. Respecto a tu programación de septiembre y tu preferencia de no realizar vuelos largos, te pedimos contactar a tu CPL para que refuerce la solicitud con el equipo de Roles o Recovery para su evaluación. Por otro lado, sobre tu experiencia reciente en B767, confirmamos que realizaste un vuelo el 21 de agosto de 2026. Tenemos mapeado el seguimiento de tu habilitación, la cual se mantendrá vigente hasta el 19 de noviembre de 2026. Saludos cordiales,"""</t>
  </si>
  <si>
    <t>96CC073C-LATAM-LP</t>
  </si>
  <si>
    <t>14/08/2026 08:39</t>
  </si>
  <si>
    <t>Buenos días, escribo para comentarles que mi convalidación tiene la fecha de mi nacimiento erronea, lo correcto es 15/01/86. Quedo a la espera de la corrección. Muchas gracias.</t>
  </si>
  <si>
    <t>Estimad@, Se procedió con la corrección. Gracias</t>
  </si>
  <si>
    <t>102EE8A8-LATAM-LP</t>
  </si>
  <si>
    <t>14/08/2026 09:39</t>
  </si>
  <si>
    <t>Buenos días tengo del 25 al 28 reva de seguridad y me van a programar apto médico u ocupacional, pero quería avisar que yo lo paso todos los años, acabo de pasarlo en Marzo de este año, no sé si es necesario volver a pasarlo y en caso si, yo lo paso en clínica Los Andes porque tengo una dispensa ahí, quería avisar.</t>
  </si>
  <si>
    <t>020CE625-LATAM-LP</t>
  </si>
  <si>
    <t>14/08/2026 11:47</t>
  </si>
  <si>
    <t>TRAINING</t>
  </si>
  <si>
    <t>C6008F14-LATAM-LP</t>
  </si>
  <si>
    <t>14/08/2026 11:48</t>
  </si>
  <si>
    <t>Quisiera saber si la fecha es para homologar mi reva o que curso es el que me han colocado es enema fecha 23 24 25 28</t>
  </si>
  <si>
    <t>"¡Gracias por la información! Te informamos que, dado que tu mes base de B767 es agosto y según lo establecido en la RAP 63, esta actividad puede ser programada dentro de un período de elegibilidad que comprende 30 días antes, durante y después de tu mes base. Por lo tanto, tu curso de revalidación de seguridad podrá ser agendada tanto en agosto como en septiembre, junto con la prórroga correspondiente. En este caso corresponde la revalidación completa a fin de homologar las fechas de vigencia.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</si>
  <si>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D2AA2689-LATAM-LP</t>
  </si>
  <si>
    <t>14/08/2026 14:37</t>
  </si>
  <si>
    <t>Me reprogramaron la reva con nueva fecha del 18 al 21, sin embargo cuando ingreso a resolver los cursos solo uno esta vigente y los otros 5 tienen un msj que indica "vencido hace 45 dias", ¿Debo resolverlos tal y como estan a pesar de ese mensaje o me los deben habilitar nuevamente?</t>
  </si>
  <si>
    <t>"¡Gracias por la información! Te informamos que, los elearning fueron solicitados en la nueva programación; sin embargo, si figuran como vencidos ya que los tenías agendados con anterioridad sí puedes realizarlos. Esperamos que la respuesta te haya sido de gran ayuda."</t>
  </si>
  <si>
    <t>D1506A76-LATAM-LP</t>
  </si>
  <si>
    <t>14/08/2026 16:31</t>
  </si>
  <si>
    <t>Hola muy buenas tardes tengo una consulta. El 24 de marzo me respondieron que estaba APTO en mis exámenes del apto médico pero aún no he recibido ningún comunicado para recoger el nuevo. Mi Apto vence Enero 27. Debo esperar aún muchas gracias Y aprovecho para consultar con cuanto tiempo de anticipación se gestiona la licencia chilena también vence enero 27</t>
  </si>
  <si>
    <t>Estimad@, Muchas gracias, le daremos más información durante la próxima semana para que pueda recoger en Plaza Olivar. Gracias</t>
  </si>
  <si>
    <t>6410B92D-LATAM-LP</t>
  </si>
  <si>
    <t>14/08/2026 16:30</t>
  </si>
  <si>
    <t>CAD850E1-LATAM-LP</t>
  </si>
  <si>
    <t>14/08/2026 18:21</t>
  </si>
  <si>
    <t>b53ef7f7-LATAM-LP</t>
  </si>
  <si>
    <t>13/06/2026 10:44</t>
  </si>
  <si>
    <t>715D89E4-LATAM-LP</t>
  </si>
  <si>
    <t>14/08/2026 19:33</t>
  </si>
  <si>
    <t>En el Curso de primero auxilios e-learning, hice mas dos oportunidades que tenemos, pero sali insatisfactorio, queria consultarles como puedo hacer. Gracias</t>
  </si>
  <si>
    <t>"¡Gracias por la información! Le informamos que, de acuerdo con el Procab, al haber obtenido un resultado insatisfactorio en el segundo intento, no es posible continuar con la revalidación. Por este motivo, se le considerará en condición de "fuera de vuelo" hasta que se agende la revalidación completa, la cual tendrá una duración de 4 días según la programación. Esperamos que la respuesta te haya sido de gran ayuda."</t>
  </si>
  <si>
    <t>DBC5FE29-LATAM-LP</t>
  </si>
  <si>
    <t>14/08/2026 19:44</t>
  </si>
  <si>
    <t>Buenas tardes. tengo una duda, me han programado apto medico/EMO en clinica Tessa este mes, sin embargo mi Apto medico vence en el 2027. ¿No deberia tener solo EMO? Adjunto imagen de mi apto.</t>
  </si>
  <si>
    <t>Estimada, Efectviamente deberá asistir a su Apto Médico y Emo, aunque se encuentre vigente. Lo gestionamos con anticipación ante cualquier inconveniente. Muchas gracias</t>
  </si>
  <si>
    <t>745656CA-LATAM-LP</t>
  </si>
  <si>
    <t>14/08/2026 21:37</t>
  </si>
  <si>
    <t>Hola, Daniela: Esperamos que te encuentres muy bien. Respecto a tu consulta sobre tu estado operativo para la flota B767 tras la finalización de tu licencia de maternidad, hemos revisado detalladamente tu historial en el sistema. Al verificar tus registros, identificamos que tu último vuelo realizado fue el 28 de junio de 2025. Por este motivo, y de acuerdo con las regulaciones vigentes, al haber transcurrido un año sin realizar actividad de vuelo en dicho equipo, corresponde llevar un curso de Transición. Si presentas alguna otra duda, por favor avísanos con total confianza. ¡Que tengas una excelente semana! Cordialmente, Equipo de Soporte SAB</t>
  </si>
  <si>
    <t>DDA06999-LATAM-LP</t>
  </si>
  <si>
    <t>14/08/2026 21:35</t>
  </si>
  <si>
    <t>LC05</t>
  </si>
  <si>
    <t>3109787A-LATAM-LP</t>
  </si>
  <si>
    <t>13/08/2026 10:20</t>
  </si>
  <si>
    <t>En la pre publicación de vacaciones del segundo semestre tenia otorgadas vacaciones del 8-22 setiembre pero ahora en pbs veo que tengo hasta el 23, a que se debe ese cambio y quisiera saber si tengo bolsa de vacaciones para el primer semestre del siguiente año que se debería pedir en octubre por favor. Gracias</t>
  </si>
  <si>
    <t>¡Gracias por la información! Te comentamos que se te agrego el día adicional para que puedas completar tu meta. Actualmente no cuentas con ningun día en bolsa. Tu nuevo periodo de vacaciones se genera el 01/02/2027. Esperamos que la respuesta te haya sido de gran ayuda.</t>
  </si>
  <si>
    <t>0AD0FECF-LATAM-LP</t>
  </si>
  <si>
    <t>16/08/2026 07:33</t>
  </si>
  <si>
    <t>8EDC3FB9-LATAM-LP</t>
  </si>
  <si>
    <t>14/08/2026 15:49</t>
  </si>
  <si>
    <t>Cuantos días de vacaciones tengo vencidas y cuantas pendiente por tomar?</t>
  </si>
  <si>
    <t>¡Hola! Te comentamos que tienes 39 días de vacaciones pendientes, las cuales deberían ser gozadas hasta antes del 18/03/2026 Esperamos que la respuesta te haya sido de gran ayuda.</t>
  </si>
  <si>
    <t>578CDC5B-LATAM-LP</t>
  </si>
  <si>
    <t>14/08/2026 22:10</t>
  </si>
  <si>
    <t>Por favor solicite vacaciones del 01 al 15 de octubre por motivo de fuerza mayor y solo me han dado la primera semana. Quisiera solicitar la semana del 08/10/2026 al 15/10/2026 como adicional por favor!</t>
  </si>
  <si>
    <t>¡Gracias por la información! Te comentamos que tienes vacaciones por vencimiento del 08/10/2026 al 15/10/2026. Asimismo, te recordamos que la confirmación de tus vacaciones se estará realizando con 22 días de anticipación. Esperamos que la respuesta te haya sido de gran ayuda.</t>
  </si>
  <si>
    <t>C64DBCCE-LATAM-LP</t>
  </si>
  <si>
    <t>16/08/2026 19:31</t>
  </si>
  <si>
    <t>Buen dia , despues de mi dm prolongado y vacaciones ,se me ha programado la reva que va del 24 al 27 quisiera que puedan activarme los examenes complementarios para ir rindiendolos en la semana si es posible ,ya que los que estan cargados en el sistema estan vencidos,quedo atenta a sus comentarios,gracias.</t>
  </si>
  <si>
    <t>"¡Gracias por la información! Te comentamos que los elearning fueron solicitados para ser activos desde el 24 de agosto por lo que ya deben figurar en tu usuario de la academia. Esperamos que la respuesta te haya sido de gran ayuda."</t>
  </si>
  <si>
    <t>3D24FADC-LATAM-LP</t>
  </si>
  <si>
    <t>16/08/2026 15:41</t>
  </si>
  <si>
    <t>Devolución vale alimentación por cancelación de vlo y espera de más de 5 hrs</t>
  </si>
  <si>
    <t>5B846E67-LATAM-LP</t>
  </si>
  <si>
    <t>16/08/2026 08:07</t>
  </si>
  <si>
    <t>Buenos Dias, realice un cambio de vacaciones el cual fue aceptado del 8-15 de oct, mi compañera salio las fechas del cambio y yo le solicite por que necesitaba las fechas de octubre por motivos personales, y solo me han confirmado deñ 1-7 de oct que eran mis vacaciones ya programadas, tengo 39 dias de vacaciones al dia de hoy, por favor solicito que se me considere la gestion realizada, quedo atenta gracias!</t>
  </si>
  <si>
    <t>¡Gracias por la información! Te comentamos que tienes vacaciones por cambio TC del 08/10/2026 al 15/10/2026. Asimismo, te recordamos que la confirmación de tus vacaciones se estará realizando con 22 días de anticipación. Asimo mencionar que tendría un saldo de 32 días pendientes, las cuales de deben gozar hasta antes del 15/04/2027 Esperamos que la respuesta te haya sido de gran ayuda.</t>
  </si>
  <si>
    <t>A96CDE20-LATAM-LP</t>
  </si>
  <si>
    <t>17/08/2026 06:55</t>
  </si>
  <si>
    <t>No tengo vuelo programado en boing; tuve mi chequeo en Julio pero en agosto no tuve ningún vuelo programado por rol; escribo como recordatorio para no caer en un posible vencimiento futuro. Gracias</t>
  </si>
  <si>
    <t>887B24AA-LATAM-LP</t>
  </si>
  <si>
    <t>16/08/2026 14:37</t>
  </si>
  <si>
    <t>Me llego un correo que decia que mis vacaciones estan confirmadas pero solo me figura la fecha de 1 sola semana, quisiera saber si me llegara un correo con las otras 2 semanas o como podria saber porque eran 3 semanas juntas del 1ro de octubre al 23</t>
  </si>
  <si>
    <t>¡Gracias por la información! Te comentamos que tienes vacaciones pre publicadas del 08/10/2026 al 15/10/2026 y del 16/10/2026 al 23/10/2026. Asimismo, te recordamos que la confirmación de tus vacaciones se estará realizando con 22 días de anticipación. Esperamos que la respuesta te haya sido de gran ayuda.</t>
  </si>
  <si>
    <t>85DA9FAD-LATAM-LP</t>
  </si>
  <si>
    <t>17/08/2026 15:39</t>
  </si>
  <si>
    <t>Espera por vuelo cancelado LA2089 por mal tiempo desde las 1545 hasta las 2050 que salia el sgte vuelo</t>
  </si>
  <si>
    <t>4D4893CC-LATAM-LP</t>
  </si>
  <si>
    <t>17/08/2026 17:03</t>
  </si>
  <si>
    <t>Alimentación por contingencia.</t>
  </si>
  <si>
    <t>CD3DB56A-LATAM-LP</t>
  </si>
  <si>
    <t>17/08/2026 19:35</t>
  </si>
  <si>
    <t>He recibido medicación indicada por una consulta médica debido a una inflamación de oído asociada a un resfrío. Esta situación fue comunicada previamente a mi jefatura. Al recibir la indicación para realizar el examen médico ocupacional, observé que una de las recomendaciones de la clínica es no consumir ningún tipo de medicamento durante la semana previa al examen. Debido a que mi tratamiento coincide con este periodo, quisiera consultar si debo informar previamente al área correspondiente, si es necesario reprogramar el examen o si debo presentarme de todas maneras indicando la medicación que me fue indicada. Adjunto como referencia la información correspondiente.</t>
  </si>
  <si>
    <t>Estimada, Se reprogramó para el 26 de agosto. Gracias La clínica nos menciona lo siguiente. "No consumir ningún medicamento sintomático para resfríos, jarabes para la tos, antiinflamatorios o medicamentos que puedan dar falso positivo a drogas prohibidas, pues serán declarados NO APTOS e informados a la DGAC para su investigación y sanción."</t>
  </si>
  <si>
    <t>72227C90-LATAM-LP</t>
  </si>
  <si>
    <t>17/08/2026 10:33</t>
  </si>
  <si>
    <t>Buenos dias las vacaciones que me pusieron en setiembre por vencimiento las puedo regalar con otra compañera que no tengas más vacaciones? Por otro lado he salido en este año varias semanas de vacaciones están seguros que me corresponden esas de Setiembre ? Ya que en enero febrero julio salí y solo me faltan las que solicité en diciembre .</t>
  </si>
  <si>
    <t>¡Gracias por la información! Te comentamos que las vacaciones por vencimienot no pueden ser cedidas, comentar que debe gozarlas hasta antes del 15/10. Se ha revisado los días de sus vacaciones y la información es correcta. Esperamos que la respuesta te haya sido de gran ayuda.</t>
  </si>
  <si>
    <t>C977B26D-LATAM-LP</t>
  </si>
  <si>
    <t>17/08/2026 19:57</t>
  </si>
  <si>
    <t>6E7D5947-LATAM-LP</t>
  </si>
  <si>
    <t>17/08/2026 19:30</t>
  </si>
  <si>
    <t>Hola ! Me llegó hace un par de días la confirmación de mis vacaciones del 1 al 15 de septiembre pero estoy con descanso médico prolongado así que asumo que las devuelven a mi bolsa de vacaciones, yo quería preguntar si esos días me los pueden dejar para el próximo año,</t>
  </si>
  <si>
    <t>¡Gracias por la información! Dado que tienes vacaciones pre publicadas del 01 al 15-sep y confirmadas, estás se pueden cancelar siempre y cuando hayas extendido tu descanso médico prolongado a través del rol. Esperamos que la respuesta te haya sido de gran ayuda.</t>
  </si>
  <si>
    <t>F5E254F0-LATAM-LP</t>
  </si>
  <si>
    <t>18/08/2026 09:01</t>
  </si>
  <si>
    <t>Buenos dias tengo apto medico y examen ocupacional programado para este jueves 20 de agosto. El dia de hoy he iniciado mi periodo menstrual suele tener una duracion entre 5 a 6 dias. En las indicaciones dice que si estas en periodo menstrual no se puede rendir el apto. Me podrian orientar y cual es el proceso a seguir. Estare atenta a su repuesta</t>
  </si>
  <si>
    <t>Estimada, Se reprograma para el 31 de agosto. Gracias</t>
  </si>
  <si>
    <t>7DED32CE-LATAM-LP</t>
  </si>
  <si>
    <t>18/08/2026 09:17</t>
  </si>
  <si>
    <t>Buenos días . El día jueves 20 tengo programado mi apto médico . El día de hoy he iniciado mi periodo menstrual duración entre 5 a 6 días . En las consideraciones indica que si estás con menstruación pueden rendir apto médico . Se me pueden orientar y el proceso a seguir . Estaré atenta a su repuesta</t>
  </si>
  <si>
    <t>452A932A-LATAM-LP</t>
  </si>
  <si>
    <t>18/08/2026 15:18</t>
  </si>
  <si>
    <t>Buenas tardes el dia de hoy tenia mi verificacion de competencia con prorroga lo cual no pudo llegar el instructor al vuelo,agradeceria su gestion para la programacion lo antes posible para no perder mi habilitacion , no tengo problema que puedan cambiar mi rol de las proximas semanas muchas gracias.</t>
  </si>
  <si>
    <t>B8A31498-LATAM-LP</t>
  </si>
  <si>
    <t>18/08/2026 16:49</t>
  </si>
  <si>
    <t>DFAC695C-LATAM-LP</t>
  </si>
  <si>
    <t>18/08/2026 19:01</t>
  </si>
  <si>
    <t>Buenas noches, Espero se encuentren bien. Mediante el presente, les informo que mi licencia chilena vence el 31 de agosto de 2026, con la finalidad de que se pueda gestionar la renovación o el trámite correspondiente con la debida anticipación. Quedo atenta a sus comentarios y a cualquier información o documentación adicional que sea necesaria. Muchas gracias. Saludos cordiales.</t>
  </si>
  <si>
    <t>Estimad@, espero que todo bien Se envió el día 20 de agosto. Gracias</t>
  </si>
  <si>
    <t>C93D59B0-LATAM-LP</t>
  </si>
  <si>
    <t>18/08/2026 16:38</t>
  </si>
  <si>
    <t>Quisiera su apoyo subiendo mi curso de sustancias que no lo tengo cargado para realizarlo el dia de manana que toca por rol. Y el de MMPP lo rralice el mes pasado pero no realice la reva en julio , si no me consideran ese examen por favor cargarme ambos cursos</t>
  </si>
  <si>
    <t>"¡Gracias por la información! Te comentamos que los elearning fueron solicitados para ser activos desde el día que lo indicaste. Esperamos que la respuesta te haya sido de gran ayuda."</t>
  </si>
  <si>
    <t>23B20E9C-LATAM-LP</t>
  </si>
  <si>
    <t>18/08/2026 20:17</t>
  </si>
  <si>
    <t>Me han mandado el correo con la confirmación de mis vacaciones de setiembre y me colocan las fechas del 23/09 al 07/10 pero mis vacaciones son hasta el 15/10 de acuerdo a lo que solicité y la información que me mandaron por lo que quisiera saber si están considerando la semana del 08/10 al 15/10 ya que voy a realizar un viaje familiar a Europa y necesito contar con las 3 semanas, gracias.</t>
  </si>
  <si>
    <t>¡Gracias por la información! Te comentamos que tienes vacaciones pre publicadas del 08/10/2026 al 15/10/2026. Asimismo, te recordamos que la confirmación de tus vacaciones se estará realizando con 22 días de anticipación. Esperamos que la respuesta te haya sido de gran ayuda.</t>
  </si>
  <si>
    <t>AD676807-LATAM-LP</t>
  </si>
  <si>
    <t>18/08/2026 16:02</t>
  </si>
  <si>
    <t>Estimados quería consultar si en la regularización que se realizará este mes se considera también el bino de hotel correspondiente a la demora ocurrida en los meses previos a la aplicación del nuevo convenio sindical, donde se tuvo espera de más de 04:27 horas de espera en aeropuerto, esta demora termino en cancelación de vuelo y quisiera saber si se considerará este pago. Adjunto el rol y iflight. Muchas gracias.</t>
  </si>
  <si>
    <t>27382C04-LATAM-LP</t>
  </si>
  <si>
    <t>19/08/2026 10:48</t>
  </si>
  <si>
    <t>tengo examen medico el dia de mañana, pero me acaba de venir mi menstruacion, tengo RTI por rol, quedo atenta a mayor informacion</t>
  </si>
  <si>
    <t>Estimad@, espero que todo bien Se reprogramará. Gracias</t>
  </si>
  <si>
    <t>D1957D3C-LATAM-LP</t>
  </si>
  <si>
    <t>19/08/2026 12:40</t>
  </si>
  <si>
    <t>consulta de prueba</t>
  </si>
  <si>
    <t>AAEFA8EA-LATAM-LP</t>
  </si>
  <si>
    <t>19/08/2026 14:59</t>
  </si>
  <si>
    <t>Hola ayer me mandaron mi renovación de la licencia chilena y mi año de nacimiento está errado, dice 1978 y debe decir 1982</t>
  </si>
  <si>
    <t>Estimada, Se envió su nueva Convalidación licencia chilena rectificado su fecha de necimiento. gracias</t>
  </si>
  <si>
    <t>67E4679F-LATAM-LP</t>
  </si>
  <si>
    <t>19/08/2026 13:46</t>
  </si>
  <si>
    <t>FA537C50-LATAM-LP</t>
  </si>
  <si>
    <t>19/08/2026 12:45</t>
  </si>
  <si>
    <t>CONSULTA DE PRUEBAAAAAAAAA</t>
  </si>
  <si>
    <t>565DC73E-LATAM-LP</t>
  </si>
  <si>
    <t>19/08/2026 15:24</t>
  </si>
  <si>
    <t>PRUEBAAAAAAAAAAAAAA, OBVIAR</t>
  </si>
  <si>
    <t>09B30DC0-LATAM-LP</t>
  </si>
  <si>
    <t>19/08/2026 19:29</t>
  </si>
  <si>
    <t>FD18DBD8-LATAM-LP</t>
  </si>
  <si>
    <t>20/08/2026 07:38</t>
  </si>
  <si>
    <t>Apto médico Ocupacional</t>
  </si>
  <si>
    <t>Estimada, Se reprogramará. Gracias</t>
  </si>
  <si>
    <t>95B956EB-LATAM-LP</t>
  </si>
  <si>
    <t>20/08/2026 07:40</t>
  </si>
  <si>
    <t>Tengo programado apto médico y chequeo icupacional para el día lunes 24 del presente sin embargo, por temas de período menstrual no cumplo las consideraciones de tiempo que requieren dichos exámenes.</t>
  </si>
  <si>
    <t>48FFF7D9-LATAM-LP</t>
  </si>
  <si>
    <t>20/08/2026 09:58</t>
  </si>
  <si>
    <t>Buenos días, estoy a la espera de mi apto medico, queria saber como va el proceso o si faltaba algo de mi parte. Quedo atenta, muchas gracias.</t>
  </si>
  <si>
    <t>Estimada, Estamos pendientes de que se envíe su apto médico a Plaza Olivar, apenas lo envíen enviaremos un correo para que lo pueda recoger. Gracias</t>
  </si>
  <si>
    <t>14A1E4BB-LATAM-LP</t>
  </si>
  <si>
    <t>20/08/2026 11:37</t>
  </si>
  <si>
    <t>Buenos días, la presente para preguntar sobre el envío de mi licencia chilena, ya que esta vence el lunes 31 de agosto, ya respondí el correo para el recojo del apto medico el cual ya tengo en manos. Por favor ayúdenme con este tema, ya que no quiero verme perjudicado por el vuelo pedido que tengo el 31 del presente mes. Gracias.</t>
  </si>
  <si>
    <t>Estimad@, espero que todo bien Se envió el día 24 de agosto. Gracias</t>
  </si>
  <si>
    <t>522005D2-LATAM-LP</t>
  </si>
  <si>
    <t>19/08/2026 17:55</t>
  </si>
  <si>
    <t>CV99</t>
  </si>
  <si>
    <t>578A27CA-LATAM-LP</t>
  </si>
  <si>
    <t>20/08/2026 10:07</t>
  </si>
  <si>
    <t>hola jeshua</t>
  </si>
  <si>
    <t>a</t>
  </si>
  <si>
    <t>D319123A-LATAM-LP</t>
  </si>
  <si>
    <t>20/08/2026 10:18</t>
  </si>
  <si>
    <t>Buen día, espero se encuentren muy bien, Al intentar cederle mis vacaciones del 16 al 23 de diciembre a mi compañera Reyna Rodríguez (bp: 4327259) por el nuevo app salían 2 opciones, como es todo nuevo, al aceptar las vacaciones pensamos por error que el id de vacaciones era el 1644 pero el mio me aparece que es el 1633, espero me puedan ayudar a corregirlo ya que creo que acepto el de otro compañero, agradezco su ayuda, he estado intentando ceder esas vacaciones, y porfin encontré a una compañera que las quiere. Quedo atenta Muchas gracias</t>
  </si>
  <si>
    <t>¡Hola Astrid! ¿Cómo estas? Mencionar que si necesitas ayuda o detectas algún problema, debes por favor escribir a grp_crew_vacation_support@latam.com</t>
  </si>
  <si>
    <t>0D9D684B-LATAM-LP</t>
  </si>
  <si>
    <t>20/08/2026 15:15</t>
  </si>
  <si>
    <t>Buenas tardes! Seria factible renunciar a una semana de vacaciones?. No deseo la semana del 16 al 23 de octubre. O cual seria el procedimiento?... espero por favor me puedan ayudar con este pedido. Muchas gracias</t>
  </si>
  <si>
    <t>¡Hola Karin! Comentarte que no es posible renunciar a sus vacaciones, puedes ver la opción de cederlas siempre y cuando no afecten la fecha de tu vencimiento de las mismas. Recordar que esta cesión puedes hacerla por intermedio del app de Crew Vacation.</t>
  </si>
  <si>
    <t>3EC56C36-LATAM-LP</t>
  </si>
  <si>
    <t>21/08/2026 04:22</t>
  </si>
  <si>
    <t>Buenas tardes, mi licencia chile está proxima a vencer. Quisiera saber el procedimiento para obtener la nueva licencia.</t>
  </si>
  <si>
    <t>E2895973-LATAM-LP</t>
  </si>
  <si>
    <t>21/08/2026 10:17</t>
  </si>
  <si>
    <t>No podré de asistir a la renovación de mi apto médico programado para el día 24 de Agosto debido a que, me encuentro con mi período menstrual y con síntomas de resfrío.</t>
  </si>
  <si>
    <t>23F7BC4C-LATAM-LP</t>
  </si>
  <si>
    <t>21/08/2026 10:18</t>
  </si>
  <si>
    <t>52BD5664-LATAM-LP</t>
  </si>
  <si>
    <t>21/08/2026 00:00</t>
  </si>
  <si>
    <t>Buenas noches, el 20 de Agosto me llegó un correo indicado que la Dgac había otorgado una prorroga hasta el 31 de Octubre una prorroga de mi curso em tierra A320, sin embargo en Julio me programaron Curso en tierra y Line Check el cual fue aprobado exitosamente. Quisiera saber el motivo del correo ya que me preocupa a lo mejor no se registraron mis notas , espero puedam ayudarme resolviendo mi duda muchas gracias</t>
  </si>
  <si>
    <t>"¡Gracias por la información! Te informamos que esto es debido a que quedo pendiente de asignacion del día 1 RTI correspondiente a los elearning; si bien se han completado todos los cursos debemos tener el registro de todos los días agendados, vemos que está agendado para el 15/09 por lo que con ello se cumpliría la asignación de 4 días. Si ya se completaron todos los elearning no debes volver a hacerlos. Esperamos que la respuesta te haya sido de gran ayuda."</t>
  </si>
  <si>
    <t>1F81FB10-LATAM-LP</t>
  </si>
  <si>
    <t>21/08/2026 11:32</t>
  </si>
  <si>
    <t>Estimados, Buen día. Les escribo porque ya me han programado el cronograma correspondiente a mi Revalidación; sin embargo, aún no visualizo la programación de mi examen médico ocupacional. Quisiera consultar si el examen será programado posteriormente o si debo realizar alguna gestión adicional para su programación. Agradeceré mucho su orientación, a fin de poder cumplir oportunamente con todos los requisitos de mi Revalidación. Quedo atenta a sus comentarios. Saludos cordiales, Rosa Miranda.</t>
  </si>
  <si>
    <t>"¡Gracias por la información! De acuerdo a lo coordinado con tu jefatura se agendó el EMO para el 26/08. Esperamos que la respuesta te haya sido de gran ayuda."</t>
  </si>
  <si>
    <t>49789968-LATAM-LP</t>
  </si>
  <si>
    <t>21/08/2026 17:38</t>
  </si>
  <si>
    <t>no puedo rendir examen médico ocupacional porque no cumplo una de las condiciones (estoy con el periodo toda esa semana e indicaciones de clínica y examen indican que no se puede rendir examen así y se sugiere esperar algunos días más al término). salgo con código rti en el rol.</t>
  </si>
  <si>
    <t>Estimad@, Se reprogramará. Gracias</t>
  </si>
  <si>
    <t>9207D038-LATAM-LP</t>
  </si>
  <si>
    <t>21/08/2026 15:50</t>
  </si>
  <si>
    <t>Buenas tardes, quisiera pedirles su apoyo con la reprogramación de mi curso de REVA en el CAE al que no pude asistir debido a un descanso médico. Muchas gracias</t>
  </si>
  <si>
    <t>"¡Gracias por la información! Te informamos que, se tiene registrada la recuperación de tu día de prácticas, posiblemente sea asignada en octubre dado que se depende de los cupos disponibles. Considera que tu mes base es septiembre por lo que se puede agendar en tu mes prórroga. Esperamos que la respuesta te haya sido de gran ayuda."</t>
  </si>
  <si>
    <t>80AF0883-LATAM-LP</t>
  </si>
  <si>
    <t>19/08/2026 17:33</t>
  </si>
  <si>
    <t>Consulta Pago Edenred Julio 2026</t>
  </si>
  <si>
    <t>B38F91CF-LATAM-LP</t>
  </si>
  <si>
    <t>21/08/2026 21:08</t>
  </si>
  <si>
    <t>Problemas con la evaluación del curso CÓDIGO DE CONDUCTA -Recurrente. Abrí la ventana oara realizar la evaluación y ésta se abrió en varias ventanas. Intenté desarrollar la evaluación en una de las ventanas y me salió resultados 0% es decir, como si no hibiese marcado ninguna respuesta. En el segundo intento nisiquiera me permite marcar ninguna opción de respuesta para avanzar con la evaluación.</t>
  </si>
  <si>
    <t>"¡Gracias por la información! Te recordamos que el curso código de conducta es corporativo, y las consultas sobre errores de plataforma, notas o problemas con la interfaz deben ser gestionadas a través del canal de Soporte de Academia LATAM. Además, durante las evaluaciones es importante seguir los lineamientos indicados para evitar posibles errores. Puedes acceder al formulario mediante el siguiente link: https://sites.google.com/latam.com/sscap-ssc/soporte-academia-corporativa</t>
  </si>
  <si>
    <t>79C0FC3A-LATAM-LP</t>
  </si>
  <si>
    <t>19/08/2026 17:34</t>
  </si>
  <si>
    <t>Estimados, Tengo una consulta en base al pago efectuado en mi Edenred con respecto al mes de Julio, no me figura el pago por Hotel No Asignado por espera superior a 4hrs . El Vuelo LA2515 ATL-LIM 14.06.26 con Original ETD 22:00pm tuvo 3 cambios de ETD, se los detallo a continuación: ETD Original --&gt; 22:00pm 1er Cambio ETD-&gt; 23:30pm 2do Cambio ETD-&gt; 02:00am 3er Cambio ETD-&gt; 05:00am Despues del último ETD, el vuelo fue Cancelado por Technical Issues. Les adjunto los montos abonados en mi edenred y una imagen sobre el vuelo afectado donde corresponde el pago de Hotel no asignado. A espera de su respuesta, Paulina Chang Bp: 3875300</t>
  </si>
  <si>
    <t>Estimada, Se realizará una regularización por el vuelo en mención en el reporte de este mes por el monto correspondiente (250 soles).</t>
  </si>
  <si>
    <t>C0FB2CDC-LATAM-LP</t>
  </si>
  <si>
    <t>21/08/2026 23:43</t>
  </si>
  <si>
    <t>Buenas noches, estimados, el presente para consultar sobre reprogramación de Examen médico ocupacional en Clínica Tezza 25 de agosto, en secuencia de 7x4 y por cancelación vuelo retorno se hizo 8x4 por ello el libre tocado y por la legalidad no podría tener el EMO el día 25 y ya me cambiaron dicho día, entiendo que los días de reva seguridad si, por favor quedo atenta y me puedan apoyar con la reprogramación del mismo, mi vencimiento del curso en tierra en general es 30 setiembre. Muchas gracias</t>
  </si>
  <si>
    <t>C84A3751-LATAM-LP</t>
  </si>
  <si>
    <t>21/08/2026 23:57</t>
  </si>
  <si>
    <t>FADC5398-LATAM-LP</t>
  </si>
  <si>
    <t>20/08/2026 09:27</t>
  </si>
  <si>
    <t>EF591945-LATAM-LP</t>
  </si>
  <si>
    <t>20/08/2026 11:51</t>
  </si>
  <si>
    <t>Buenos dias , quisiera por favor solicitar el detalle del ultiml abono realizado en el mes de Agosto en mi tarjeta de alimentos. Asimismo , agradecería me pudieran confirmar si dentro de este se encuentra el monto que corresponde por espera mayor 1 hors 45 minutos entre vuelos que tuve en el mes de Julio. Quise ingresar por mi cuenta en “ pagos variables” pero me aparece el mensaje que adjunto. Muchas gracias</t>
  </si>
  <si>
    <t>Estimada, Se realizó un pago por 30 soles (espera nacional). Quedamos atentos si considera que se debió considerar alguna otra espera.</t>
  </si>
  <si>
    <t>9B8B808D-LATAM-LP</t>
  </si>
  <si>
    <t>22/08/2026 13:49</t>
  </si>
  <si>
    <t>Estimados, buenos días, por error se envío dos veces la misma solicitud c0fb2cdc y c84a3751 me faltó agregar que el examen médico es de 08:30-12:30 y cursos en academia corporativa (emergencias generales, equipos A319/320/321-B767) de 13:30-17:30 y lo demás entre aula virtual, academia corportajva y Cae días 26, 27, 28. Quedo atenta, muvhas gracias.</t>
  </si>
  <si>
    <t>003114CF-LATAM-LP</t>
  </si>
  <si>
    <t>22/08/2026 16:36</t>
  </si>
  <si>
    <t>Buenas tardes, tengo para el semestre 2026-2 , 24 días de vacaciones disponibles, de los cuales ya hice uso 14 días, haré uso de 8 días más del 8 al 15 de Octubre que son mis siguientes vacaciones prepublicadas, por lo que sumarían 22 días del semestre 2026-2 y me estarían faltando 2 días para completar mis 24 días del semestre 2026-2 y de paso también mis 45 días Anuales según fecha de vencimiento (15 Noviembre) por lo que por favor solicito sumar esos dos días que me faltarían para completar mis 24 días del semestre 2026-2 a la semana que estoy próxima a salir de vacaciones del 8 al 15 de Octubre, si se podrían programar los días 16 y 17 Octubre y salir ese bloque del 8 al 17 Octubre y así completaría mis 24 días del Semestre 2026-2 y mis 45 días Anuales antes de mi fecha de vencimiento. Gracias.</t>
  </si>
  <si>
    <t>¡Hola Roxana! ¿Cómo estas? Se revisará el caso a detalle cuando se programen las vacaciones y de tener los días días de saldo, se hará lo posible por hacer el empalme correpondiente, esto último dependerá de la holgura que exista en el mes.</t>
  </si>
  <si>
    <t>869A9C8C-LATAM-LP</t>
  </si>
  <si>
    <t>22/08/2026 16:57</t>
  </si>
  <si>
    <t>Faltarían programar dos días de vacaciones para completar mis 24 días disponibles en Semestre 2026-2, he salido hasta el momento 14 días en semestre 2026-2, saldré 8 días en Octubre del 8 al 15 de Octubre , lo que sumarían 22 días en semestres 2026-2, por lo que solicito sumar esos dos días que le faltarían en ese bloque de Octubre que saldré , y tener vacaciones del 8 al 17 de Octubre , así completaría mis 24 días del semestre 2026-2 y mis 45 días Anuales antes de fecha de vencimiento que es 15 Noviembre.</t>
  </si>
  <si>
    <t>C6AC7CFB-LATAM-LP</t>
  </si>
  <si>
    <t>23/08/2026 15:07</t>
  </si>
  <si>
    <t>Estimados, me vino mi periodo el día viernes 21 y tengo EMO programado para el día 25/08, día que todavía me encuentro con el periodo. Como no cumplo con las condiciones para poder dar mi EMO, les aviso para que puedan reprogramarlo. Gracias.</t>
  </si>
  <si>
    <t>B9DDDB8C-LATAM-LP</t>
  </si>
  <si>
    <t>23/08/2026 16:01</t>
  </si>
  <si>
    <t>BA64BCF4-LATAM-LP</t>
  </si>
  <si>
    <t>23/08/2026 22:05</t>
  </si>
  <si>
    <t>E9BE8053-LATAM-LP</t>
  </si>
  <si>
    <t>24/08/2026 05:52</t>
  </si>
  <si>
    <t>Estimados buen dia. Se me envio el correo de activacion del curso de sustancias psicoactivas, sin embargo no lo tengo cargado en el portal de aprendizaje. Su apoyo para que pueda realizar el curso . Muchas gracias</t>
  </si>
  <si>
    <t>"¡Gracias por la información! Se verifica que el elearning fue cargado y realizado el 27 de agosto. Esperamos que la respuesta te haya sido de gran ayuda."</t>
  </si>
  <si>
    <t>7AE132D5-LATAM-LP</t>
  </si>
  <si>
    <t>24/08/2026 17:47</t>
  </si>
  <si>
    <t>Mi apto médico tiene vencimiento el 31/07/2027, y en el correo me piden llenar formulario y enviarlo en 48hrs despues de realizado el apto, y cuento con vuelo el dia posterior a la reva.</t>
  </si>
  <si>
    <t>Estimad@, Por favor tener en consideración que puede ir 7 días posteriores a la fecha de su Apto médico. Muchas gracias!</t>
  </si>
  <si>
    <t>CCC52DE4-LATAM-LP</t>
  </si>
  <si>
    <t>24/08/2026 16:45</t>
  </si>
  <si>
    <t>Buenos días, Espero que estén muy bien. Quería solicitarles, por favor, su apoyo con la programación de algún vuelo en el B767 para el siguiente mes debido a que estoy próxima a vencerme. Me gustaría mucho poder contar con su apoyo para no perder mi habilitación en Boeing. Asimismo, quería comentarles que ya cuento nuevamente con mi pasaporte, ya que el día de hoy (24/08/26) me fue entregado junto con mi visa de turista. Quedo atenta y agradeceré mucho el apoyo que puedan brindarme. Muchas gracias por su tiempo y consideración. Saludos, Victoria.</t>
  </si>
  <si>
    <t>E325A5C9-LATAM-LP</t>
  </si>
  <si>
    <t>25/08/2026 00:24</t>
  </si>
  <si>
    <t>Buenos días, tenia programado mi line check de airbus para el 12 de este mes; pero el instructor no subió al vuelo. No recuerdo la exacta de mi verificación 2025, pero fue en agosto. Quedo a la espera de su comunicación en cuanto a la re programación de la misma o si voy a necesitar una prórroga para poder seguir haciendo mis vuelos hasta que logren chequearme o cuál es el paso a seguir. Quedo atenta. Gracias!</t>
  </si>
  <si>
    <t>¡Gracias por la información! Te informamos que, dado que tu mes base de LCK A320F es septiembre y según lo establecido en la RAP 63, esta actividad puede ser programada dentro de un período de elegibilidad que comprende 30 días antes, durante y después de tu mes base. Por lo tanto, tu verificación de competencia podrá ser agendada en octubre, junto con la prórroga correspondiente, la cual ya fue gestionada por Soporte SAB y autorizada por la DGAC.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</si>
  <si>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C1CE3FBC-LATAM-LP</t>
  </si>
  <si>
    <t>24/08/2026 13:58</t>
  </si>
  <si>
    <t>Tuve vacaciones canceladas en julio por un Descanso médico, quisiera saber si podría programarlas para Noviembre, ya que necesito la semana del 7 al 17 ? O como podría saber en qué semana podrían programarme? Gracias</t>
  </si>
  <si>
    <t>Hola Andrea ¿Cómo estas? Por favor solicitarlas como vacaciones adicionals mediante Crew Vacaction, recordar que la respuesta se te dará con 15 días de anticipación al Inici y estará sujeta a la holgura operativa del mes. Quedando atento a sus comentarios</t>
  </si>
  <si>
    <t>6E7F718F-LATAM-LP</t>
  </si>
  <si>
    <t>25/08/2026 09:58</t>
  </si>
  <si>
    <t>Para consultar si ya se ha gestionado una nueva cita en la Clínica del Trabajador. En la evaluación anterior fui declarada no apta y se me solicitaron diversos exámenes y documentos adicionales, los cuales ya presenté en la clínica. Asimismo, la doctora que realizó mi evaluación me indicó que ya se había comunicado con Latam para solicitar que me programen nuevamente una cita. Por ello, quisiera saber si ya cuentan con alguna fecha de programación o si debo realizar algún trámite adicional de mi parte. Agradezco mucho su apoyo y quedo atenta a su respuesta.</t>
  </si>
  <si>
    <t>Estimada, Espero que se encuentre bien. En los casos de No apto por clínica, como el suyo, corresponde que gestiones directamente con la clínica apenas tengas la documentación completa y así la clínica nos levante el NO APTO. Dado este caso puntual, pediré a la clínica Del Trabajador para que pueda asistir el día martes 15 de septiembre. Enviaremos la invitación, gracias!!</t>
  </si>
  <si>
    <t>BB81B43A-LATAM-LP</t>
  </si>
  <si>
    <t>25/08/2026 07:46</t>
  </si>
  <si>
    <t>C62D8B04-LATAM-LP</t>
  </si>
  <si>
    <t>25/08/2026 18:11</t>
  </si>
  <si>
    <t>Gestionar nueva fecha para apto médico</t>
  </si>
  <si>
    <t>Estimada, Se reprogramará una nueva fecha de su EMO, dado que se encuentra vigente su Apto médico. El equipo de programación lo tiene tomado para asignarlo antes del término del presente año. Gracias</t>
  </si>
  <si>
    <t>F278682D-LATAM-LP</t>
  </si>
  <si>
    <t>25/08/2026 18:43</t>
  </si>
  <si>
    <t>Buenas tardes mi consulta es para el mes de Septiembre tengo asignado ME el dia 18 y mi duda era si es Apto medico ya que mi apto aun vence en 2028 y el ocupacional lo he dado hace unos meses, muchas gracias</t>
  </si>
  <si>
    <t>Estimado Espero que se enceuntre bien. Efectivamente hemos revisado y se encuentra vigente en EMO y Apto médico. Lamentamos los inconvenientes, mcuhas gracias</t>
  </si>
  <si>
    <t>0AC1FBD2-LATAM-LP</t>
  </si>
  <si>
    <t>25/08/2026 18:59</t>
  </si>
  <si>
    <t>Buenas tardes. Quería hacer un seguimiento respecto a mi LineCheck, ya que septiembre es mi mes de prórroga y, hasta el momento, no veo que se me haya asignado ningún chequeo. El único vuelo en el 76 es un Miami pero veo que no es de chequeo. Únicamente quería pedir, si fuera posible, que no se me asigne en la reserva que tengo programada el día anterior a mi Miami, ya que ese cambio implicaría perder dicho vuelo y me afectaría especialmente en mis horas de vuelo programadas. Entiendo, por supuesto, que la programación depende de las necesidades operativas, pero agradecería muchísimo si pudieran considerar programarlo en cualquier otro día disponible del mes. Muchas gracias por su ayuda, María Luisa</t>
  </si>
  <si>
    <t>Se coordina por el correo de Soporte la programación de LCK</t>
  </si>
  <si>
    <t>69025710-LATAM-LP</t>
  </si>
  <si>
    <t>25/08/2026 19:51</t>
  </si>
  <si>
    <t>Pendiente</t>
  </si>
  <si>
    <t>ACE90852-LATAM-LP</t>
  </si>
  <si>
    <t>25/08/2026 20:46</t>
  </si>
  <si>
    <t>7BE6C7B5-LATAM-LP</t>
  </si>
  <si>
    <t>25/08/2026 20:59</t>
  </si>
  <si>
    <t>27B2D3A5-LATAM-LP</t>
  </si>
  <si>
    <t>26/08/2026 10:18</t>
  </si>
  <si>
    <t>Respecto a mi reentrenamiento, lo rendí satisfactoriamente, sin embargo quedaba pendiente mi recalificacion, la cual ni ha sido reprogramada hasta la fecha. Adjunto la provisional emitida</t>
  </si>
  <si>
    <t>7DDC6BC5-LATAM-LP</t>
  </si>
  <si>
    <t>26/08/2026 13:36</t>
  </si>
  <si>
    <t>AEE35BD1-LATAM-LP</t>
  </si>
  <si>
    <t>26/08/2026 09:57</t>
  </si>
  <si>
    <t>Quisiera por favor me puedan enviar el detalle del pago realizado a la edenred del mes de agosto ya que no me funciona el acceso a través de pagos variables. Y también quisiera que me puedan brindar información de cómo reportar este error. Dejo adjunto imagen de lo que aparece cuando intento acceder en el año 2026</t>
  </si>
  <si>
    <t>002E7AE4-LATAM-LP</t>
  </si>
  <si>
    <t>26/08/2026 10:05</t>
  </si>
  <si>
    <t>Estimados, Tengo una consulta en base al pago efectuado en mi Edenred con respecto al mes de Julio, no me figura el pago por Hotel No Asignado por espera superior a 4hrs . El Vuelo LA2515 ATL-LIM 14.06.26 con Original ETD 22:00pm tuvo 3 cambios de ETD, se los detallo a continuación: ETD Original --&gt; 22:00pm 1er Cambio ETD-&gt; 23:30pm 2do Cambio ETD-&gt; 02:00am 3er Cambio ETD-&gt; 05:00am Despues del último ETD, el vuelo fue Cancelado por Technical Issues. Les adjunto los montos abonados en mi edenred y una imagen sobre el vuelo afectado donde corresponde el pago de Hotel no asignado. A espera de su respuesta, Brenda Aliaga BP 4442020</t>
  </si>
  <si>
    <t>349051C1-LATAM-LP</t>
  </si>
  <si>
    <t>26/08/2026 10:13</t>
  </si>
  <si>
    <t>Junio me pagaron 719 (primer pago después del ascenso) Julio me pagaron 500 (y julio estuve de HR) Agosto me volvieron a pagar 701 , por que la diferenciación.</t>
  </si>
  <si>
    <t>505773C1-LATAM-LP</t>
  </si>
  <si>
    <t>26/08/2026 18:25</t>
  </si>
  <si>
    <t>Renovacion de Licencia Chilena: escribo para recordar que el 30/09/26 vence mi licencia chilena. Quisiera saber a que correo debo escribir para realizar la actualizacion/renovacion? Gracias.</t>
  </si>
  <si>
    <t>Estimada, Muchas gracias por la información, efectivamente estamos pendientes que la DGAC Chile pueda emitirlo para enviárselo.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</si>
  <si>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0AF33530-LATAM-LP</t>
  </si>
  <si>
    <t>26/08/2026 19:18</t>
  </si>
  <si>
    <t>Buenas tardes, mi experiencia reciente en B767 se vence el dia 6 de septiembre, qusiera consultar cual es el procedimiento y si pudiera haber una prorroga ya que no me han puesto vuelos en ese avión. Quedo atenta y pendiente a su respuesta. Muchas gracias!!</t>
  </si>
  <si>
    <t>C3B19EF2-LATAM-LP</t>
  </si>
  <si>
    <t>26/08/2026 21:51</t>
  </si>
  <si>
    <t>75DB61C6-LATAM-LP</t>
  </si>
  <si>
    <t>27/08/2026 00:20</t>
  </si>
  <si>
    <t>Tengo Emo programado y amanecí con un cuadro digestivo y en la indicaciones de la clínica indica que si tenemos que reportarlo</t>
  </si>
  <si>
    <t>67565DD5-LATAM-LP</t>
  </si>
  <si>
    <t>27/08/2026 12:30</t>
  </si>
  <si>
    <t>1D57DCE8-LATAM-LP</t>
  </si>
  <si>
    <t>27/08/2026 16:53</t>
  </si>
  <si>
    <t>Buenas tardes, quería avisar que perdí un vuelo en el equipo 767 por acrivacion el día 22 . Y estoy próxima a perder mi experiencia reciente , por favor si pudieran activarme algún vuelo para mantener mi habilitación . Muchas gracias</t>
  </si>
  <si>
    <t>68521EBD-LATAM-LP</t>
  </si>
  <si>
    <t>27/08/2026 12:58</t>
  </si>
  <si>
    <t>Buenos días, espero que estén bien. Por medio de este formulario, estoy respondiendo el correo que me mandaron el día de hoy sobre escoger una fecha para mi linecheck para vuelos 76. Adjuntó en foto el correo que me mandaron. Si por favor, me podrían colocar para el día 2 de septiembre ( opción 1) muchas gracias.</t>
  </si>
  <si>
    <t>ACCA94BA-LATAM-LP</t>
  </si>
  <si>
    <t>27/08/2026 13:48</t>
  </si>
  <si>
    <t>Buenas se cancelo mi line check por contingencia en los vuelos quisiera saber cuando aproximadamente me estarían reprogramando al igual que mi curso de boeing</t>
  </si>
  <si>
    <t>0307472B-LATAM-LP</t>
  </si>
  <si>
    <t>28/08/2026 01:26</t>
  </si>
  <si>
    <t>F54AADCB-LATAM-LP</t>
  </si>
  <si>
    <t>27/08/2026 22:19</t>
  </si>
  <si>
    <t>Escribo para recordarles que mi LCK en 767 que fue programado este mes se cancelo por cambio de equipo , en septiembre que es mi fecha de vencimiento no me lo han programado y en octubre es mi mes de prorroga t</t>
  </si>
  <si>
    <t>¡Gracias por la información! Te informamos que, dado que tu mes base de LCK B767 es septiembre y según lo establecido en la RAP 63, esta actividad puede ser programada dentro de un período de elegibilidad que comprende 30 días antes, durante y después de tu mes base. Por lo tanto, tu verificación de competencia podrá ser agendada en octubre, junto con la prórroga correspondiente, la cual ya fue gestionada por Soporte SAB y autorizada por la DGAC. Si tienes alguna otra consulta, estamos aquí para ayudarte. Si tu actividad no fue agendada durante el mes base, aún puedes ser programado durante el mes de prórroga, sin que esto implique la pérdida de tu chequeo. Te recordamos que en Soporte SAB llevamos el control y seguimiento de tus licencias y habilitaciones, por lo que te pedimos tenerlo presente para futuras ocasiones; entendemos que puedas preocuparte cuando se acerque la fecha de vencimiento, pero estamos atentos a cada caso para gestionar las renovaciones, así que solo es necesario que nos contactes si tu licencia o habilitación está a menos de 72 horas de vencer y aún no has recibido noticias. Esperamos que la respuesta te haya sido de gran ayuda.</t>
  </si>
  <si>
    <t>4784BDAA-LATAM-LP</t>
  </si>
  <si>
    <t>27/08/2026 21:18</t>
  </si>
  <si>
    <t>Reva 2026 - En mi licencia chilena figura que mi curso en tierra se vence el 31/10/2027 sin embargo revisando mis roles veo que mi ultima reva 2025 fue en setiembre . Quedo atenta a sus comentarios</t>
  </si>
  <si>
    <t>"¡Gracias por la información! Te comentamos que el vencimiento de la licencia chilena es independiente del vencimiento del curso Revalidación de seguridad, ya que cada uno tiene su vencimiento. De acuerdo a ello, verificamos que tu mes base de la Revalidación de Seguridad es en octubre del 2026. Esperamos que la respuesta te haya sido de gran ayuda."</t>
  </si>
  <si>
    <t>BFA99C17-LATAM-LP</t>
  </si>
  <si>
    <t>27/08/2026 17:09</t>
  </si>
  <si>
    <t>Tuve vacaciones canceladas en Julio, por lo cual quisiera saber si podría solicitar una semana en noviembre del 14-21. Espero respuesta gracias</t>
  </si>
  <si>
    <t>Hola Andrea ¿Cómo estas? Por favor solicitarlas como vacaciones adicionals mediante Crew Vacaction, recordar que la respuesta se te dará con 15 días de anticipación al inicio y estará sujeta a la holgura operativa del mes. Quedando atento a sus comentarios</t>
  </si>
  <si>
    <t>4E342C86-LATAM-LP</t>
  </si>
  <si>
    <t>27/08/2026 22:49</t>
  </si>
  <si>
    <t>Hace tieempo pedí vacaciones adicionales del 17 de diciembre al 23 de diciembre la cual en crew vacation me ssle en estado pendiente pero al entrar a la sección de cesiones de vacaciones encontré un bloque que me interesó tomarlo que es del 16/12 al 23/12 y tenia días disponibles mi pregunta es que sucede con el pedido de vacaciones adicional? Por que en el sistam me están descontando los días de vacaciones adicional y aparte el bloque que tome de un compañero por la app crew vacation yo lo que quiero es que se devuelva esos 7 días À mis días disponibles de vacaciones y que me confirmen que mis vacaciones serán confirmadas en diciembre. Adicional nó quisera que esto afecte en algo mis vacaciones del 1 al 7 de noviembre que están pre publicadas YÀ que tengo un viaje con mi madre por sus cumpleaños. Adjunto imagen</t>
  </si>
  <si>
    <t>2A9237BF-LATAM-LP</t>
  </si>
  <si>
    <t>28/08/2026 09:28</t>
  </si>
  <si>
    <t>Buenos días, con fecha 24/08 mandé el formulario para la actualización de datos de mi pasaporte, el cual, a la fecha, no lo veo actualizado en el Iflight. Agradecería puedan atender mi solicitud. Muchas gracias.</t>
  </si>
  <si>
    <t>EE0FF408-LATAM-LP</t>
  </si>
  <si>
    <t>28/08/2026 10:40</t>
  </si>
  <si>
    <t>El 20 de agosto recibí un monto pequeño en edenred,me imagino por mi dm en julio,lo que no me queda claro y quería saber era como serán afectados mis próximos depósitos edenred. Gracias.</t>
  </si>
  <si>
    <t>2017F255-LATAM-LP</t>
  </si>
  <si>
    <t>28/08/2026 11:27</t>
  </si>
  <si>
    <t>8F1FEBCD-LATAM-LP</t>
  </si>
  <si>
    <t>28/08/2026 11:57</t>
  </si>
  <si>
    <t>D33BE9B9-LATAM-LP</t>
  </si>
  <si>
    <t>28/08/2026 14:34</t>
  </si>
  <si>
    <t>E2ABFC6F-LATAM-LP</t>
  </si>
  <si>
    <t>28/08/2026 14:44</t>
  </si>
  <si>
    <t>Tengo programado RTI del 7 al 10 de setiembre y me han enviado correo qur el 10 de setiembre tengo ME. Quisiera saber si esta bien o tienen que cambiar la fecha del ME.</t>
  </si>
  <si>
    <t>Estimada, Espero que se encuentre bien No se requiere modificar algo, tener en cuenta que el día 10 de septiembre por rol aparece RTI. Este día tendrá que gestionar su EMO por la mañana y por la tarde realizar lo que corresponde al curso RTI. Gracias En el correo de invitación del Apto médico o EMO menciona lo siguiente: "En caso de no cumplir con alguna de las condiciones mencionadas y, por consiguiente, no puedas asistir a la actividad programada, considera lo siguiente: --&gt; avisar por el formulario de Consultas Soporte". En su caso, entendemos que no está pidiendo reprogramación. Gracias</t>
  </si>
  <si>
    <t>D902AF63-LATAM-LP</t>
  </si>
  <si>
    <t>28/08/2026 10:56</t>
  </si>
  <si>
    <t>Espera aeropuerto de cusco la2014 28 agosto llegamos 9:00 am del hotel, nuevo etd 11:45</t>
  </si>
  <si>
    <t>3D6D4D21-LATAM-LP</t>
  </si>
  <si>
    <t>28/08/2026 17:46</t>
  </si>
  <si>
    <t>Buenas tardes, me enviaron mi nueva licencia chilena les pido su apoyo corrigiendo mi fecha de nacimiento en mi licencia la cual es errónea, la fecha correcta es 13-08-2001</t>
  </si>
  <si>
    <t>C455930B-LATAM-LP</t>
  </si>
  <si>
    <t>28/08/2026 17:34</t>
  </si>
  <si>
    <t>Buenas tardes, El dia 28/8/26 tenia mi última evaluación en el CAE de REVA de seguridad. Quisiera poder reprogramarlo dentro de mis primeros 15 días de septiembre ya que es mi último mes por vencimiento y así mismo también estare de vacaciones desde el día 16 , también por vencimiento. Quedo atenta a los comentarios. Saludos,</t>
  </si>
  <si>
    <t>C7B9BDBD-LATAM-LP</t>
  </si>
  <si>
    <t>Espera en el aeropuerto de casco llegada al ato 9:00 salida 11:25 vuelo la2014</t>
  </si>
  <si>
    <t>65F468AA-LATAM-LP</t>
  </si>
  <si>
    <t>28/08/2026 21:06</t>
  </si>
  <si>
    <t>Solicitud evaluación de caso por vacaciones pendientes. Buenas noches, envié con anterioridad ya mi consulta por este link y correos pero no obtuve respuesta, como ya pasaron los meses envío nuevamente mi solicitud. Tengo una bolsa pendiente de mi antigua área (counter) de 23 días, como me cedieron una semana de vacaciones en diciembre (del 16 al 23) solo quedarían pendientes 11 días, cuando se envío el formulario de solicitud de vacaciones detalle mi caso pero no me indicaron nada. Queria solicitar su apoyo porfavor para que me otorguen vacaciones desde el 13 de diciembre al 03 de enero para que no se genere un pago de vacaciones pendientes. Adjunto uno de los últimos correos que me brindó el analista de personas con el detalle de vencimiento, de antemano muchas gracias espero porfavor me puedan ayudar con mi petición .</t>
  </si>
  <si>
    <t>7FEF745A-LATAM-LP</t>
  </si>
  <si>
    <t>17AE8FCD-LATAM-LP</t>
  </si>
  <si>
    <t>28/08/2026 10:57</t>
  </si>
  <si>
    <t>Espera en el aeropuerto de Cusco, llegada ato 9am con cambio de ETD 11:25 vuelo 2014</t>
  </si>
  <si>
    <t>5537C371-LATAM-LP</t>
  </si>
  <si>
    <t>28/08/2026 11:02</t>
  </si>
  <si>
    <t>Espera en el aeropuerto de Cusco, llegada al aeropuerto 9am cambio de ETD 11:25 vuelo 2014</t>
  </si>
  <si>
    <t>CD6DCB81-LATAM-LP</t>
  </si>
  <si>
    <t>29/08/2026 08:47</t>
  </si>
  <si>
    <t>Queria consultar sobre mi EMO que aún lo tengo pendiente, los examenes de laboratorio aún me faltan completar, quedo atenta muchas gracias</t>
  </si>
  <si>
    <t>D1C18668-LATAM-LP</t>
  </si>
  <si>
    <t>29/08/2026 13:09</t>
  </si>
  <si>
    <t>El 10 de set que tengo RTI me han programado exámen medico ocupacional, informo según lo solicitado</t>
  </si>
  <si>
    <t>Estimada, Espero que se encuentre bien No se requiere modificar algo, tener en cuenta que el día 10 de septiembre por rol aparece RTI. Este día tendrá que gestionar su EMO o Apto por la mañana y por la tarde realizar lo que corresponde al curso RTI. Gracias En el correo de invitación del Apto médico o EMO menciona lo siguiente: "En caso de no cumplir con alguna de las condiciones mencionadas y, por consiguiente, no puedas asistir a la actividad programada, considera lo siguiente: --&gt; avisar por el formulario de Consultas Soporte". En su caso, entendemos que no está pidiendo reprogramación. Gracias</t>
  </si>
  <si>
    <t>6292ECCA-LATAM-LP</t>
  </si>
  <si>
    <t>29/08/2026 13:14</t>
  </si>
  <si>
    <t>Buenos días, para comunicar que ayer me llegó un correo con la programación del examen médico ocupacional para el dia 10 de setiembre. Abajo indican que en caso de tener ese dia marcado como rti, lo informemos por este medio para la reprogramación. De ser ese el caso quedo cumplo con notificarlo y quedo atenta a sus instrucciones. Gracias de antemano, Caroline Parra.</t>
  </si>
  <si>
    <t>771AC535-LATAM-LP</t>
  </si>
  <si>
    <t>30/08/2026 00:01</t>
  </si>
  <si>
    <t>Queria saber cuando me estarian entregando un nuevo apto ya que el dia 09/06 me enviaron un correo indicando que ele resultado de mi apto medico abria sido APTO pero no me enviaron ningun correo para el recojo de uno nuevo. Mi apto aun se encuentra vigente sin embargo quiero saber si me entregaran otra actualizado.</t>
  </si>
  <si>
    <t>Estimada, Espero que se encuentre bien. Se estará pidiendo el recojo de su Apto médico renovado antes de su vencimiento marzo 2027. Muchas gracias</t>
  </si>
  <si>
    <t>9320DBE8-LATAM-LP</t>
  </si>
  <si>
    <t>30/08/2026 00:57</t>
  </si>
  <si>
    <t>Buenas noches, estimados quería consultar si existe la posibilidad de que mi apto médico + examen ocupacional que fue programado para el 08/09 en la clínica Tezza, podría ser cambiado para la clínica del trabajador, ya que mi domicilio es en el callao y por la zona donde vivo están haciendo reparación de las vías y me demoraría un aproximado de 3 horas en llegar a la clínica tezza, en cambio a la clinica del trabajador no demoraría tanto en llegar, pido su colaboración si es posible realizar este cambio sin necesidad de cambiar mi programación de mi reva, quedo atento a su pronta respuesta, saludos cordiales. .</t>
  </si>
  <si>
    <t>AM12</t>
  </si>
  <si>
    <t>1F0B7C62-LATAM-LP</t>
  </si>
  <si>
    <t>30/08/2026 13:40</t>
  </si>
  <si>
    <t>Segun rol me figura RTI el dia 10 de setiembre, y me han programado ME para ese dia</t>
  </si>
  <si>
    <t>0C2B65E8-LATAM-LP</t>
  </si>
  <si>
    <t>30/08/2026 15:43</t>
  </si>
  <si>
    <t>Consulta sobre Vacaciones - Octubre. Me figura “Bloque Adquirido”, significa que sí se aceptaron mis días adicionales? Igual esperaría 22 días antes para su confirmación.</t>
  </si>
  <si>
    <t>AFE98BCF-LATAM-LP</t>
  </si>
  <si>
    <t>31/08/2026 00:14</t>
  </si>
  <si>
    <t>VENCIMIENTO LICENCIA CHILENA. Estimados, el día de mañana 31/08 vence mi licencia chilena y yo tengo vuelos donde el pairing que termina el 01/09 a las 01:35 (LA2222). Necesito mi nueva licencia para poder realizar mi pairing de mañana. Gracias</t>
  </si>
  <si>
    <t>Estimada, Su convalidación licencia chilena s eenceuntra vigente hasta 2028. Hemos vuelto a enviar su documento en caso lo requiera. Gracias</t>
  </si>
  <si>
    <t>7882DAC8-LATAM-LP</t>
  </si>
  <si>
    <t>31/08/2026 12:28</t>
  </si>
  <si>
    <t>Por Rol tengo RTI el dia 10/09( ultimo dia de reva, dia del ditching) y ese mismo dia tengo el examen medico.</t>
  </si>
  <si>
    <t>4662CAD1-LATAM-LP</t>
  </si>
  <si>
    <t>31/08/2026 15:09</t>
  </si>
  <si>
    <t>Renovación apto médico , el día 27 de julio recibí correo de la clínica indicado me que estaba apta y desde hace más de 1 mes no he recibido ninguna información de soporte sobre mi programación</t>
  </si>
  <si>
    <t>2773295C-LATAM-LP</t>
  </si>
  <si>
    <t>31/08/2026 16:30</t>
  </si>
  <si>
    <t>96990C8C-LATAM-LP</t>
  </si>
  <si>
    <t>31/08/2026 16:35</t>
  </si>
  <si>
    <t>Tengo Examen medico Ocupacional el dia jueves 03/09 y el dia de hoy tengo sintomas de gripe, tos persistente. Tendrian que reprogramar mi EMO? Cuando seria?</t>
  </si>
  <si>
    <t>98D7E7F8-LATAM-LP</t>
  </si>
  <si>
    <t>31/08/2026 15:11</t>
  </si>
  <si>
    <t>52BB1B98-LATAM-LP</t>
  </si>
  <si>
    <t>31/08/2026 20:48</t>
  </si>
  <si>
    <t>Buenas noches, esperando se encuentren bien. El presente es para comunicarles lo solicitado en el correo del 28 de agosto sobre mi apto médico. El año pasado en la clínica del trabajador pasé una junta médica por oftalmología. A partir de este año debo presentar un informe médico con una topografía corneal y fondo de ojo al presentarme al hacer el apto médico. Notifico a ustedes como se indica en el correo ya que este nuevo apto médico será en la clínica tezza. CPL será notificado muchas gracias.</t>
  </si>
  <si>
    <t>2EA4158B-LATAM-LP</t>
  </si>
  <si>
    <t>31/08/2026 20:11</t>
  </si>
  <si>
    <t>Estimado equipo de Soporte SAB, En atención a su correo sobre la política de la empresa para descansos médicos de 21 días o más, les escribo para consultar sobre el procedimiento a seguir para mi reincorporación. Actualmente, mi descanso médico emitido se encuentra vigente hasta el 08 de septiembre. Asimismo, tengo programada una consulta con mi médico tratante para el próximo 07 de septiembre, fecha en la que evaluará mi alta médica. Agradeceré me puedan indicar: Las fechas y horarios disponibles para coordinar mi cita con el Área Médica de la empresa. El lugar / sede al que debo acudir para realizar la evaluación de Apto Médico requerida para quedar regularizada y apta para volver a volar. Quedo a la espera de sus indicaciones y confirmación. Atentamente, Alejandra Serrano Zavalaga Tripulante de Cabina</t>
  </si>
  <si>
    <t>090FBFD0-LATAM-LP</t>
  </si>
  <si>
    <t>31/08/2026 10:49</t>
  </si>
  <si>
    <t>Experiencia reciente en boeing 768</t>
  </si>
  <si>
    <t>DFDDC265-LATAM-LP</t>
  </si>
  <si>
    <t>01/09/2026 09:18</t>
  </si>
  <si>
    <t>Buenos días. Tengo pendiente el curso de sustancias psicoactivas pero no figura en la academia corporativa. Tuve problemas para realizarlo porque la plataforma solo admite computadoras pero ahora no figura como disponible.</t>
  </si>
  <si>
    <t>64828470-LATAM-LP</t>
  </si>
  <si>
    <t>01/09/2026 09:58</t>
  </si>
  <si>
    <t>Buenos días, me comunico con ustedes para informarles que justo el día 14 de Setiembre que me han asignado mi examen medico ocupacional estaré con mi menstruación por lo que estoy avisando y también me gustaría ver que otros días podría hacerlo.</t>
  </si>
  <si>
    <t>BC152C8A-LATAM-LP</t>
  </si>
  <si>
    <t>31/08/2026 19:38</t>
  </si>
  <si>
    <t>Hola. Me colocaron vacaciones del 07 al 15 de setiembre y adicionalmente tengo libres desde el 05. Sin embargo, aún no paso mis chequeos latam y dgac por lo que quería saber si mis vacaciones me lo pueden colocar después. Incluso pasarlas para el próximo año. Si mueven estas vacaciones tendría un bloque de 15 días que me gustaría, si es posible, pasarlas para el próximo año. Este semestre estaría dispuesta a no tener vacaciones y si se puede juntar algunas semanas con mis vacaciones del próximo año para que sean 15 a más días juntos. Quedo atenta, gracias!</t>
  </si>
  <si>
    <t>328D6D15-LATAM-LP</t>
  </si>
  <si>
    <t>31/08/2026 21:42</t>
  </si>
  <si>
    <t>Intento ingresar dias adiocionales para pedir en noviembre y el sistema no me ddja me dice como.si no tuviera dias disponibles</t>
  </si>
  <si>
    <t>6BCFC9A5-LATAM-LP</t>
  </si>
  <si>
    <t>01/09/2026 15:45</t>
  </si>
  <si>
    <t>Por temas de Internet jale el e-learning de equipos A319/320/321 y jale el sustitutorio del e-learning</t>
  </si>
  <si>
    <t>84805A94-LATAM-LP</t>
  </si>
  <si>
    <t>01/09/2026 12:45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</si>
</sst>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1.0"/>
      <color theme="1"/>
      <name val="Calibri"/>
      <scheme val="minor"/>
    </font>
    <font>
      <b/>
      <sz val="13.0"/>
      <color rgb="FF1B3A6B"/>
      <name val="Arial"/>
    </font>
    <font>
      <i/>
      <sz val="9.0"/>
      <color rgb="FF595959"/>
      <name val="Arial"/>
    </font>
    <font>
      <b/>
      <sz val="10.0"/>
      <color theme="1"/>
      <name val="Arial"/>
    </font>
    <font>
      <b/>
      <sz val="10.0"/>
      <color rgb="FFFFFFFF"/>
      <name val="Arial"/>
    </font>
    <font>
      <sz val="10.0"/>
      <color theme="1"/>
      <name val="Arial"/>
    </font>
    <font>
      <b/>
      <sz val="11.0"/>
      <color rgb="FF1B3A6B"/>
      <name val="Arial"/>
    </font>
  </fonts>
  <fills count="7">
    <fill>
      <patternFill patternType="none"/>
    </fill>
    <fill>
      <patternFill patternType="lightGray"/>
    </fill>
    <fill>
      <patternFill patternType="solid">
        <fgColor rgb="FF1B3A6B"/>
        <bgColor rgb="FF1B3A6B"/>
      </patternFill>
    </fill>
    <fill>
      <patternFill patternType="solid">
        <fgColor rgb="FFE7EDF7"/>
        <bgColor rgb="FFE7EDF7"/>
      </patternFill>
    </fill>
    <fill>
      <patternFill patternType="solid">
        <fgColor rgb="FFF2F2F2"/>
        <bgColor rgb="FFF2F2F2"/>
      </patternFill>
    </fill>
    <fill>
      <patternFill patternType="solid">
        <fgColor rgb="FFFFFF00"/>
        <bgColor rgb="FFFFFF00"/>
      </patternFill>
    </fill>
    <fill>
      <patternFill patternType="solid">
        <fgColor rgb="FFD9E2F3"/>
        <bgColor rgb="FFD9E2F3"/>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0" fillId="0" fontId="5" numFmtId="0" xfId="0" applyAlignment="1" applyFont="1">
      <alignment shrinkToFit="0" vertical="top" wrapText="1"/>
    </xf>
    <xf borderId="1" fillId="0" fontId="5" numFmtId="0" xfId="0" applyAlignment="1" applyBorder="1" applyFont="1">
      <alignment shrinkToFit="0" vertical="top" wrapText="1"/>
    </xf>
    <xf borderId="1" fillId="0" fontId="5" numFmtId="3" xfId="0" applyAlignment="1" applyBorder="1" applyFont="1" applyNumberFormat="1">
      <alignment shrinkToFit="0" vertical="top" wrapText="1"/>
    </xf>
    <xf borderId="1" fillId="3" fontId="3" numFmtId="0" xfId="0" applyAlignment="1" applyBorder="1" applyFill="1" applyFont="1">
      <alignment shrinkToFit="0" vertical="top" wrapText="1"/>
    </xf>
    <xf borderId="1" fillId="3" fontId="3" numFmtId="0" xfId="0" applyAlignment="1" applyBorder="1" applyFill="1" applyFont="1">
      <alignment horizontal="center" shrinkToFit="0" vertical="center" wrapText="0"/>
    </xf>
    <xf borderId="1" fillId="3" fontId="3" numFmtId="3" xfId="0" applyAlignment="1" applyBorder="1" applyFill="1" applyFont="1" applyNumberFormat="1">
      <alignment horizontal="center" shrinkToFit="0" vertical="center" wrapText="0"/>
    </xf>
    <xf borderId="1" fillId="0" fontId="5" numFmtId="164" xfId="0" applyAlignment="1" applyBorder="1" applyFont="1" applyNumberFormat="1">
      <alignment horizontal="center" shrinkToFit="0" vertical="center" wrapText="0"/>
    </xf>
    <xf borderId="1" fillId="0" fontId="5" numFmtId="3" xfId="0" applyAlignment="1" applyBorder="1" applyFont="1" applyNumberFormat="1">
      <alignment horizontal="center" shrinkToFit="0" vertical="center" wrapText="0"/>
    </xf>
    <xf borderId="1" fillId="3" fontId="3" numFmtId="164" xfId="0" applyAlignment="1" applyBorder="1" applyFill="1" applyFont="1" applyNumberFormat="1">
      <alignment horizontal="center" shrinkToFit="0" vertical="center" wrapText="0"/>
    </xf>
    <xf borderId="1" fillId="4" fontId="5" numFmtId="0" xfId="0" applyAlignment="1" applyBorder="1" applyFill="1" applyFont="1">
      <alignment shrinkToFit="0" vertical="top" wrapText="1"/>
    </xf>
    <xf borderId="1" fillId="4" fontId="5" numFmtId="3" xfId="0" applyAlignment="1" applyBorder="1" applyFill="1" applyFont="1" applyNumberFormat="1">
      <alignment shrinkToFit="0" vertical="top" wrapText="1"/>
    </xf>
    <xf borderId="1" fillId="4" fontId="5" numFmtId="164" xfId="0" applyAlignment="1" applyBorder="1" applyFill="1" applyFont="1" applyNumberFormat="1">
      <alignment horizontal="center" shrinkToFit="0" vertical="center" wrapText="0"/>
    </xf>
    <xf borderId="1" fillId="5" fontId="5" numFmtId="0" xfId="0" applyAlignment="1" applyBorder="1" applyFill="1" applyFont="1">
      <alignment shrinkToFit="0" vertical="top" wrapText="1"/>
    </xf>
    <xf borderId="1" fillId="4" fontId="5" numFmtId="3" xfId="0" applyAlignment="1" applyBorder="1" applyFill="1" applyFont="1" applyNumberFormat="1">
      <alignment horizontal="center" shrinkToFit="0" vertical="center" wrapText="0"/>
    </xf>
    <xf borderId="1" fillId="4" fontId="5" numFmtId="0" xfId="0" applyAlignment="1" applyBorder="1" applyFill="1" applyFont="1">
      <alignment horizontal="center" shrinkToFit="0" vertical="center" wrapText="0"/>
    </xf>
    <xf borderId="1" fillId="0" fontId="5" numFmtId="0" xfId="0" applyAlignment="1" applyBorder="1" applyFont="1">
      <alignment horizontal="center" shrinkToFit="0" vertical="center" wrapText="0"/>
    </xf>
    <xf borderId="0" fillId="0" fontId="6" numFmtId="0" xfId="0" applyAlignment="1" applyFont="1">
      <alignment shrinkToFit="0" vertical="bottom" wrapText="0"/>
    </xf>
    <xf borderId="1" fillId="6" fontId="3" numFmtId="0" xfId="0" applyAlignment="1" applyBorder="1" applyFill="1" applyFont="1">
      <alignment shrinkToFit="0" vertical="top" wrapText="1"/>
    </xf>
    <xf borderId="1" fillId="6" fontId="3" numFmtId="3" xfId="0" applyAlignment="1" applyBorder="1" applyFill="1" applyFont="1" applyNumberFormat="1">
      <alignment shrinkToFit="0" vertical="top" wrapText="1"/>
    </xf>
    <xf borderId="1" fillId="6" fontId="3" numFmtId="164" xfId="0" applyAlignment="1" applyBorder="1" applyFill="1" applyFont="1" applyNumberFormat="1">
      <alignment horizontal="center" shrinkToFit="0" vertical="center" wrapText="0"/>
    </xf>
    <xf borderId="1" fillId="6" fontId="3" numFmtId="3" xfId="0" applyAlignment="1" applyBorder="1" applyFill="1" applyFont="1" applyNumberFormat="1">
      <alignment horizontal="center" shrinkToFit="0" vertical="center" wrapText="0"/>
    </xf>
    <xf borderId="0" fillId="0" fontId="5" numFmtId="0" xfId="0" applyAlignment="1" applyFont="1">
      <alignment shrinkToFit="0" vertical="top"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10.0"/>
    <col customWidth="1" min="3" max="26" width="8.71"/>
  </cols>
  <sheetData>
    <row r="1">
      <c r="A1" s="1" t="s">
        <v>3</v>
      </c>
    </row>
    <row r="4" ht="15.0" customHeight="1">
      <c r="A4" s="3" t="s">
        <v>6</v>
      </c>
      <c r="B4" s="5" t="s">
        <v>9</v>
      </c>
    </row>
    <row r="5" ht="25.5" customHeight="1">
      <c r="A5" s="3" t="s">
        <v>14</v>
      </c>
      <c r="B5" s="5" t="s">
        <v>16</v>
      </c>
    </row>
    <row r="6" ht="15.0" customHeight="1">
      <c r="A6" s="3" t="s">
        <v>20</v>
      </c>
      <c r="B6" s="5" t="s">
        <v>22</v>
      </c>
    </row>
    <row r="7" ht="64.5" customHeight="1">
      <c r="A7" s="3" t="s">
        <v>24</v>
      </c>
      <c r="B7" s="5" t="s">
        <v>26</v>
      </c>
    </row>
    <row r="8" ht="25.5" customHeight="1">
      <c r="A8" s="3" t="s">
        <v>28</v>
      </c>
      <c r="B8" s="5" t="s">
        <v>30</v>
      </c>
    </row>
    <row r="9" ht="25.5" customHeight="1">
      <c r="A9" s="3" t="s">
        <v>32</v>
      </c>
      <c r="B9" s="5" t="s">
        <v>33</v>
      </c>
    </row>
    <row r="10" ht="51.75" customHeight="1">
      <c r="A10" s="3" t="s">
        <v>35</v>
      </c>
      <c r="B10" s="5" t="s">
        <v>37</v>
      </c>
    </row>
    <row r="11" ht="39.0" customHeight="1">
      <c r="A11" s="3" t="s">
        <v>38</v>
      </c>
      <c r="B11" s="5" t="s">
        <v>39</v>
      </c>
    </row>
    <row r="12" ht="51.75" customHeight="1">
      <c r="A12" s="3" t="s">
        <v>40</v>
      </c>
      <c r="B12" s="5" t="s">
        <v>41</v>
      </c>
    </row>
    <row r="13" ht="51.75" customHeight="1">
      <c r="A13" s="3" t="s">
        <v>42</v>
      </c>
      <c r="B13" s="5"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2.0"/>
    <col customWidth="1" min="2" max="3" width="11.0"/>
    <col customWidth="1" min="4" max="4" width="12.0"/>
    <col customWidth="1" min="5" max="5" width="14.0"/>
    <col customWidth="1" min="6" max="6" width="13.0"/>
    <col customWidth="1" min="7" max="7" width="12.0"/>
    <col customWidth="1" min="8" max="8" width="11.0"/>
    <col customWidth="1" min="9" max="9" width="14.0"/>
    <col customWidth="1" min="10" max="10" width="15.0"/>
    <col customWidth="1" min="11" max="26" width="8.71"/>
  </cols>
  <sheetData>
    <row r="1">
      <c r="A1" s="1" t="s">
        <v>0</v>
      </c>
    </row>
    <row r="2">
      <c r="A2" s="2" t="s">
        <v>4</v>
      </c>
    </row>
    <row r="4" ht="42.0" customHeight="1">
      <c r="A4" s="4" t="s">
        <v>8</v>
      </c>
      <c r="B4" s="4" t="s">
        <v>12</v>
      </c>
      <c r="C4" s="4" t="s">
        <v>13</v>
      </c>
      <c r="D4" s="4" t="s">
        <v>17</v>
      </c>
      <c r="E4" s="4" t="s">
        <v>15</v>
      </c>
      <c r="F4" s="4" t="s">
        <v>19</v>
      </c>
      <c r="G4" s="4" t="s">
        <v>23</v>
      </c>
      <c r="H4" s="4" t="s">
        <v>25</v>
      </c>
      <c r="I4" s="4" t="s">
        <v>29</v>
      </c>
      <c r="J4" s="4" t="s">
        <v>31</v>
      </c>
    </row>
    <row r="5">
      <c r="A5" s="6" t="s">
        <v>36</v>
      </c>
      <c r="B5" s="7">
        <v>341.0</v>
      </c>
      <c r="C5" s="11">
        <f t="shared" ref="C5:C22" si="1">B5/$B$22</f>
        <v>0.1815761448</v>
      </c>
      <c r="D5" s="11">
        <f>C5</f>
        <v>0.1815761448</v>
      </c>
      <c r="E5" s="12">
        <v>209.0</v>
      </c>
      <c r="F5" s="12">
        <v>64.0</v>
      </c>
      <c r="G5" s="12">
        <v>8.0</v>
      </c>
      <c r="H5" s="12">
        <v>7.0</v>
      </c>
      <c r="I5" s="12">
        <v>53.0</v>
      </c>
      <c r="J5" s="11">
        <f t="shared" ref="J5:J22" si="2">E5/B5</f>
        <v>0.6129032258</v>
      </c>
    </row>
    <row r="6">
      <c r="A6" s="14" t="s">
        <v>45</v>
      </c>
      <c r="B6" s="15">
        <v>321.0</v>
      </c>
      <c r="C6" s="16">
        <f t="shared" si="1"/>
        <v>0.1709265176</v>
      </c>
      <c r="D6" s="16">
        <f t="shared" ref="D6:D21" si="3">D5+C6</f>
        <v>0.3525026624</v>
      </c>
      <c r="E6" s="18">
        <v>243.0</v>
      </c>
      <c r="F6" s="18">
        <v>19.0</v>
      </c>
      <c r="G6" s="18">
        <v>6.0</v>
      </c>
      <c r="H6" s="18">
        <v>1.0</v>
      </c>
      <c r="I6" s="18">
        <v>52.0</v>
      </c>
      <c r="J6" s="16">
        <f t="shared" si="2"/>
        <v>0.7570093458</v>
      </c>
    </row>
    <row r="7">
      <c r="A7" s="6" t="s">
        <v>48</v>
      </c>
      <c r="B7" s="7">
        <v>318.0</v>
      </c>
      <c r="C7" s="11">
        <f t="shared" si="1"/>
        <v>0.1693290735</v>
      </c>
      <c r="D7" s="11">
        <f t="shared" si="3"/>
        <v>0.5218317359</v>
      </c>
      <c r="E7" s="12">
        <v>250.0</v>
      </c>
      <c r="F7" s="12">
        <v>18.0</v>
      </c>
      <c r="G7" s="12">
        <v>5.0</v>
      </c>
      <c r="H7" s="12">
        <v>8.0</v>
      </c>
      <c r="I7" s="12">
        <v>37.0</v>
      </c>
      <c r="J7" s="11">
        <f t="shared" si="2"/>
        <v>0.786163522</v>
      </c>
    </row>
    <row r="8">
      <c r="A8" s="14" t="s">
        <v>50</v>
      </c>
      <c r="B8" s="15">
        <v>182.0</v>
      </c>
      <c r="C8" s="16">
        <f t="shared" si="1"/>
        <v>0.09691160809</v>
      </c>
      <c r="D8" s="16">
        <f t="shared" si="3"/>
        <v>0.618743344</v>
      </c>
      <c r="E8" s="18">
        <v>98.0</v>
      </c>
      <c r="F8" s="18">
        <v>34.0</v>
      </c>
      <c r="G8" s="18">
        <v>2.0</v>
      </c>
      <c r="H8" s="18">
        <v>6.0</v>
      </c>
      <c r="I8" s="18">
        <v>42.0</v>
      </c>
      <c r="J8" s="16">
        <f t="shared" si="2"/>
        <v>0.5384615385</v>
      </c>
    </row>
    <row r="9">
      <c r="A9" s="6" t="s">
        <v>54</v>
      </c>
      <c r="B9" s="7">
        <v>163.0</v>
      </c>
      <c r="C9" s="11">
        <f t="shared" si="1"/>
        <v>0.08679446219</v>
      </c>
      <c r="D9" s="11">
        <f t="shared" si="3"/>
        <v>0.7055378062</v>
      </c>
      <c r="E9" s="12">
        <v>91.0</v>
      </c>
      <c r="F9" s="12">
        <v>34.0</v>
      </c>
      <c r="G9" s="12">
        <v>4.0</v>
      </c>
      <c r="H9" s="12">
        <v>7.0</v>
      </c>
      <c r="I9" s="12">
        <v>27.0</v>
      </c>
      <c r="J9" s="11">
        <f t="shared" si="2"/>
        <v>0.5582822086</v>
      </c>
    </row>
    <row r="10">
      <c r="A10" s="14" t="s">
        <v>59</v>
      </c>
      <c r="B10" s="15">
        <v>110.0</v>
      </c>
      <c r="C10" s="16">
        <f t="shared" si="1"/>
        <v>0.05857294995</v>
      </c>
      <c r="D10" s="16">
        <f t="shared" si="3"/>
        <v>0.7641107561</v>
      </c>
      <c r="E10" s="18">
        <v>66.0</v>
      </c>
      <c r="F10" s="18">
        <v>10.0</v>
      </c>
      <c r="G10" s="18">
        <v>2.0</v>
      </c>
      <c r="H10" s="18">
        <v>2.0</v>
      </c>
      <c r="I10" s="18">
        <v>30.0</v>
      </c>
      <c r="J10" s="16">
        <f t="shared" si="2"/>
        <v>0.6</v>
      </c>
    </row>
    <row r="11">
      <c r="A11" s="6" t="s">
        <v>62</v>
      </c>
      <c r="B11" s="7">
        <v>107.0</v>
      </c>
      <c r="C11" s="11">
        <f t="shared" si="1"/>
        <v>0.05697550586</v>
      </c>
      <c r="D11" s="11">
        <f t="shared" si="3"/>
        <v>0.821086262</v>
      </c>
      <c r="E11" s="12">
        <v>54.0</v>
      </c>
      <c r="F11" s="12">
        <v>21.0</v>
      </c>
      <c r="G11" s="12">
        <v>4.0</v>
      </c>
      <c r="H11" s="12">
        <v>3.0</v>
      </c>
      <c r="I11" s="12">
        <v>25.0</v>
      </c>
      <c r="J11" s="11">
        <f t="shared" si="2"/>
        <v>0.5046728972</v>
      </c>
    </row>
    <row r="12">
      <c r="A12" s="14" t="s">
        <v>69</v>
      </c>
      <c r="B12" s="15">
        <v>99.0</v>
      </c>
      <c r="C12" s="16">
        <f t="shared" si="1"/>
        <v>0.05271565495</v>
      </c>
      <c r="D12" s="16">
        <f t="shared" si="3"/>
        <v>0.8738019169</v>
      </c>
      <c r="E12" s="18">
        <v>49.0</v>
      </c>
      <c r="F12" s="18">
        <v>14.0</v>
      </c>
      <c r="G12" s="18">
        <v>4.0</v>
      </c>
      <c r="H12" s="18">
        <v>0.0</v>
      </c>
      <c r="I12" s="18">
        <v>32.0</v>
      </c>
      <c r="J12" s="16">
        <f t="shared" si="2"/>
        <v>0.4949494949</v>
      </c>
    </row>
    <row r="13">
      <c r="A13" s="6" t="s">
        <v>72</v>
      </c>
      <c r="B13" s="7">
        <v>78.0</v>
      </c>
      <c r="C13" s="11">
        <f t="shared" si="1"/>
        <v>0.04153354633</v>
      </c>
      <c r="D13" s="11">
        <f t="shared" si="3"/>
        <v>0.9153354633</v>
      </c>
      <c r="E13" s="12">
        <v>33.0</v>
      </c>
      <c r="F13" s="12">
        <v>13.0</v>
      </c>
      <c r="G13" s="12">
        <v>1.0</v>
      </c>
      <c r="H13" s="12">
        <v>5.0</v>
      </c>
      <c r="I13" s="12">
        <v>26.0</v>
      </c>
      <c r="J13" s="11">
        <f t="shared" si="2"/>
        <v>0.4230769231</v>
      </c>
    </row>
    <row r="14">
      <c r="A14" s="14" t="s">
        <v>76</v>
      </c>
      <c r="B14" s="15">
        <v>47.0</v>
      </c>
      <c r="C14" s="16">
        <f t="shared" si="1"/>
        <v>0.02502662407</v>
      </c>
      <c r="D14" s="16">
        <f t="shared" si="3"/>
        <v>0.9403620873</v>
      </c>
      <c r="E14" s="18">
        <v>23.0</v>
      </c>
      <c r="F14" s="18">
        <v>5.0</v>
      </c>
      <c r="G14" s="18">
        <v>6.0</v>
      </c>
      <c r="H14" s="18">
        <v>0.0</v>
      </c>
      <c r="I14" s="18">
        <v>13.0</v>
      </c>
      <c r="J14" s="16">
        <f t="shared" si="2"/>
        <v>0.4893617021</v>
      </c>
    </row>
    <row r="15">
      <c r="A15" s="6" t="s">
        <v>79</v>
      </c>
      <c r="B15" s="7">
        <v>31.0</v>
      </c>
      <c r="C15" s="11">
        <f t="shared" si="1"/>
        <v>0.01650692226</v>
      </c>
      <c r="D15" s="11">
        <f t="shared" si="3"/>
        <v>0.9568690096</v>
      </c>
      <c r="E15" s="12">
        <v>21.0</v>
      </c>
      <c r="F15" s="12">
        <v>2.0</v>
      </c>
      <c r="G15" s="12">
        <v>0.0</v>
      </c>
      <c r="H15" s="12">
        <v>2.0</v>
      </c>
      <c r="I15" s="12">
        <v>6.0</v>
      </c>
      <c r="J15" s="11">
        <f t="shared" si="2"/>
        <v>0.6774193548</v>
      </c>
    </row>
    <row r="16">
      <c r="A16" s="14" t="s">
        <v>68</v>
      </c>
      <c r="B16" s="15">
        <v>21.0</v>
      </c>
      <c r="C16" s="16">
        <f t="shared" si="1"/>
        <v>0.01118210863</v>
      </c>
      <c r="D16" s="16">
        <f t="shared" si="3"/>
        <v>0.9680511182</v>
      </c>
      <c r="E16" s="18">
        <v>7.0</v>
      </c>
      <c r="F16" s="18">
        <v>13.0</v>
      </c>
      <c r="G16" s="18">
        <v>0.0</v>
      </c>
      <c r="H16" s="18">
        <v>0.0</v>
      </c>
      <c r="I16" s="18">
        <v>1.0</v>
      </c>
      <c r="J16" s="16">
        <f t="shared" si="2"/>
        <v>0.3333333333</v>
      </c>
    </row>
    <row r="17">
      <c r="A17" s="6" t="s">
        <v>85</v>
      </c>
      <c r="B17" s="7">
        <v>20.0</v>
      </c>
      <c r="C17" s="11">
        <f t="shared" si="1"/>
        <v>0.01064962726</v>
      </c>
      <c r="D17" s="11">
        <f t="shared" si="3"/>
        <v>0.9787007455</v>
      </c>
      <c r="E17" s="12">
        <v>6.0</v>
      </c>
      <c r="F17" s="12">
        <v>9.0</v>
      </c>
      <c r="G17" s="12">
        <v>1.0</v>
      </c>
      <c r="H17" s="12">
        <v>2.0</v>
      </c>
      <c r="I17" s="12">
        <v>2.0</v>
      </c>
      <c r="J17" s="11">
        <f t="shared" si="2"/>
        <v>0.3</v>
      </c>
    </row>
    <row r="18">
      <c r="A18" s="14" t="s">
        <v>89</v>
      </c>
      <c r="B18" s="15">
        <v>16.0</v>
      </c>
      <c r="C18" s="16">
        <f t="shared" si="1"/>
        <v>0.00851970181</v>
      </c>
      <c r="D18" s="16">
        <f t="shared" si="3"/>
        <v>0.9872204473</v>
      </c>
      <c r="E18" s="18">
        <v>5.0</v>
      </c>
      <c r="F18" s="18">
        <v>2.0</v>
      </c>
      <c r="G18" s="18">
        <v>1.0</v>
      </c>
      <c r="H18" s="18">
        <v>0.0</v>
      </c>
      <c r="I18" s="18">
        <v>8.0</v>
      </c>
      <c r="J18" s="16">
        <f t="shared" si="2"/>
        <v>0.3125</v>
      </c>
    </row>
    <row r="19">
      <c r="A19" s="6" t="s">
        <v>93</v>
      </c>
      <c r="B19" s="7">
        <v>12.0</v>
      </c>
      <c r="C19" s="11">
        <f t="shared" si="1"/>
        <v>0.006389776358</v>
      </c>
      <c r="D19" s="11">
        <f t="shared" si="3"/>
        <v>0.9936102236</v>
      </c>
      <c r="E19" s="12">
        <v>2.0</v>
      </c>
      <c r="F19" s="12">
        <v>8.0</v>
      </c>
      <c r="G19" s="12">
        <v>0.0</v>
      </c>
      <c r="H19" s="12">
        <v>1.0</v>
      </c>
      <c r="I19" s="12">
        <v>1.0</v>
      </c>
      <c r="J19" s="11">
        <f t="shared" si="2"/>
        <v>0.1666666667</v>
      </c>
    </row>
    <row r="20">
      <c r="A20" s="14" t="s">
        <v>96</v>
      </c>
      <c r="B20" s="15">
        <v>7.0</v>
      </c>
      <c r="C20" s="16">
        <f t="shared" si="1"/>
        <v>0.003727369542</v>
      </c>
      <c r="D20" s="16">
        <f t="shared" si="3"/>
        <v>0.9973375932</v>
      </c>
      <c r="E20" s="18">
        <v>5.0</v>
      </c>
      <c r="F20" s="18">
        <v>0.0</v>
      </c>
      <c r="G20" s="18">
        <v>2.0</v>
      </c>
      <c r="H20" s="18">
        <v>0.0</v>
      </c>
      <c r="I20" s="18">
        <v>0.0</v>
      </c>
      <c r="J20" s="16">
        <f t="shared" si="2"/>
        <v>0.7142857143</v>
      </c>
    </row>
    <row r="21" ht="15.75" customHeight="1">
      <c r="A21" s="6" t="s">
        <v>100</v>
      </c>
      <c r="B21" s="7">
        <v>5.0</v>
      </c>
      <c r="C21" s="11">
        <f t="shared" si="1"/>
        <v>0.002662406816</v>
      </c>
      <c r="D21" s="11">
        <f t="shared" si="3"/>
        <v>1</v>
      </c>
      <c r="E21" s="12">
        <v>2.0</v>
      </c>
      <c r="F21" s="12">
        <v>0.0</v>
      </c>
      <c r="G21" s="12">
        <v>1.0</v>
      </c>
      <c r="H21" s="12">
        <v>2.0</v>
      </c>
      <c r="I21" s="12">
        <v>0.0</v>
      </c>
      <c r="J21" s="11">
        <f t="shared" si="2"/>
        <v>0.4</v>
      </c>
    </row>
    <row r="22" ht="15.75" customHeight="1">
      <c r="A22" s="22" t="s">
        <v>103</v>
      </c>
      <c r="B22" s="23">
        <f>SUM(B5:B21)</f>
        <v>1878</v>
      </c>
      <c r="C22" s="24">
        <f t="shared" si="1"/>
        <v>1</v>
      </c>
      <c r="D22" s="24"/>
      <c r="E22" s="25">
        <f t="shared" ref="E22:I22" si="4">SUM(E5:E21)</f>
        <v>1164</v>
      </c>
      <c r="F22" s="25">
        <f t="shared" si="4"/>
        <v>266</v>
      </c>
      <c r="G22" s="25">
        <f t="shared" si="4"/>
        <v>47</v>
      </c>
      <c r="H22" s="25">
        <f t="shared" si="4"/>
        <v>46</v>
      </c>
      <c r="I22" s="25">
        <f t="shared" si="4"/>
        <v>355</v>
      </c>
      <c r="J22" s="24">
        <f t="shared" si="2"/>
        <v>0.6198083067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0.0"/>
    <col customWidth="1" min="2" max="2" width="56.0"/>
    <col customWidth="1" min="3" max="3" width="26.0"/>
    <col customWidth="1" min="4" max="4" width="8.0"/>
    <col customWidth="1" min="5" max="6" width="10.0"/>
    <col customWidth="1" min="7" max="7" width="13.0"/>
    <col customWidth="1" min="8" max="8" width="12.0"/>
    <col customWidth="1" min="9" max="9" width="11.0"/>
    <col customWidth="1" min="10" max="10" width="10.0"/>
    <col customWidth="1" min="11" max="11" width="13.0"/>
    <col customWidth="1" min="12" max="12" width="15.0"/>
    <col customWidth="1" min="13" max="26" width="8.71"/>
  </cols>
  <sheetData>
    <row r="1">
      <c r="A1" s="1" t="s">
        <v>1</v>
      </c>
    </row>
    <row r="2">
      <c r="A2" s="2" t="s">
        <v>5</v>
      </c>
    </row>
    <row r="4" ht="30.0" customHeight="1">
      <c r="A4" s="4" t="s">
        <v>8</v>
      </c>
      <c r="B4" s="4" t="s">
        <v>18</v>
      </c>
      <c r="C4" s="4" t="s">
        <v>21</v>
      </c>
      <c r="D4" s="4" t="s">
        <v>11</v>
      </c>
      <c r="E4" s="4" t="s">
        <v>27</v>
      </c>
      <c r="F4" s="4" t="s">
        <v>13</v>
      </c>
      <c r="G4" s="4" t="s">
        <v>15</v>
      </c>
      <c r="H4" s="4" t="s">
        <v>19</v>
      </c>
      <c r="I4" s="4" t="s">
        <v>23</v>
      </c>
      <c r="J4" s="4" t="s">
        <v>25</v>
      </c>
      <c r="K4" s="4" t="s">
        <v>29</v>
      </c>
      <c r="L4" s="4" t="s">
        <v>31</v>
      </c>
    </row>
    <row r="5" hidden="1">
      <c r="A5" s="8" t="s">
        <v>36</v>
      </c>
      <c r="B5" s="8" t="s">
        <v>44</v>
      </c>
      <c r="C5" s="9" t="s">
        <v>34</v>
      </c>
      <c r="D5" s="10">
        <v>73.0</v>
      </c>
      <c r="E5" s="13">
        <f t="shared" ref="E5:E27" si="1">D5/341</f>
        <v>0.2140762463</v>
      </c>
      <c r="F5" s="13">
        <f t="shared" ref="F5:F162" si="2">D5/1878</f>
        <v>0.03887113951</v>
      </c>
      <c r="G5" s="10">
        <v>46.0</v>
      </c>
      <c r="H5" s="10">
        <v>23.0</v>
      </c>
      <c r="I5" s="10">
        <v>0.0</v>
      </c>
      <c r="J5" s="10">
        <v>1.0</v>
      </c>
      <c r="K5" s="10">
        <v>3.0</v>
      </c>
      <c r="L5" s="13">
        <f t="shared" ref="L5:L162" si="3">G5/D5</f>
        <v>0.6301369863</v>
      </c>
    </row>
    <row r="6" hidden="1">
      <c r="A6" s="14"/>
      <c r="B6" s="14" t="s">
        <v>47</v>
      </c>
      <c r="C6" s="19" t="s">
        <v>34</v>
      </c>
      <c r="D6" s="18">
        <v>68.0</v>
      </c>
      <c r="E6" s="16">
        <f t="shared" si="1"/>
        <v>0.1994134897</v>
      </c>
      <c r="F6" s="16">
        <f t="shared" si="2"/>
        <v>0.03620873269</v>
      </c>
      <c r="G6" s="18">
        <v>36.0</v>
      </c>
      <c r="H6" s="18">
        <v>17.0</v>
      </c>
      <c r="I6" s="18">
        <v>3.0</v>
      </c>
      <c r="J6" s="18">
        <v>0.0</v>
      </c>
      <c r="K6" s="18">
        <v>12.0</v>
      </c>
      <c r="L6" s="16">
        <f t="shared" si="3"/>
        <v>0.5294117647</v>
      </c>
    </row>
    <row r="7" hidden="1">
      <c r="A7" s="6"/>
      <c r="B7" s="6" t="s">
        <v>51</v>
      </c>
      <c r="C7" s="20" t="s">
        <v>52</v>
      </c>
      <c r="D7" s="12">
        <v>25.0</v>
      </c>
      <c r="E7" s="11">
        <f t="shared" si="1"/>
        <v>0.07331378299</v>
      </c>
      <c r="F7" s="11">
        <f t="shared" si="2"/>
        <v>0.01331203408</v>
      </c>
      <c r="G7" s="12">
        <v>21.0</v>
      </c>
      <c r="H7" s="12">
        <v>0.0</v>
      </c>
      <c r="I7" s="12">
        <v>2.0</v>
      </c>
      <c r="J7" s="12">
        <v>1.0</v>
      </c>
      <c r="K7" s="12">
        <v>1.0</v>
      </c>
      <c r="L7" s="11">
        <f t="shared" si="3"/>
        <v>0.84</v>
      </c>
    </row>
    <row r="8" hidden="1">
      <c r="A8" s="14"/>
      <c r="B8" s="14" t="s">
        <v>58</v>
      </c>
      <c r="C8" s="19" t="s">
        <v>49</v>
      </c>
      <c r="D8" s="18">
        <v>22.0</v>
      </c>
      <c r="E8" s="16">
        <f t="shared" si="1"/>
        <v>0.06451612903</v>
      </c>
      <c r="F8" s="16">
        <f t="shared" si="2"/>
        <v>0.01171458999</v>
      </c>
      <c r="G8" s="18">
        <v>13.0</v>
      </c>
      <c r="H8" s="18">
        <v>7.0</v>
      </c>
      <c r="I8" s="18">
        <v>0.0</v>
      </c>
      <c r="J8" s="18">
        <v>0.0</v>
      </c>
      <c r="K8" s="18">
        <v>2.0</v>
      </c>
      <c r="L8" s="16">
        <f t="shared" si="3"/>
        <v>0.5909090909</v>
      </c>
    </row>
    <row r="9" hidden="1">
      <c r="A9" s="6"/>
      <c r="B9" s="6" t="s">
        <v>65</v>
      </c>
      <c r="C9" s="20" t="s">
        <v>34</v>
      </c>
      <c r="D9" s="12">
        <v>22.0</v>
      </c>
      <c r="E9" s="11">
        <f t="shared" si="1"/>
        <v>0.06451612903</v>
      </c>
      <c r="F9" s="11">
        <f t="shared" si="2"/>
        <v>0.01171458999</v>
      </c>
      <c r="G9" s="12">
        <v>20.0</v>
      </c>
      <c r="H9" s="12">
        <v>1.0</v>
      </c>
      <c r="I9" s="12">
        <v>0.0</v>
      </c>
      <c r="J9" s="12">
        <v>0.0</v>
      </c>
      <c r="K9" s="12">
        <v>1.0</v>
      </c>
      <c r="L9" s="11">
        <f t="shared" si="3"/>
        <v>0.9090909091</v>
      </c>
    </row>
    <row r="10">
      <c r="A10" s="14"/>
      <c r="B10" s="14" t="s">
        <v>73</v>
      </c>
      <c r="C10" s="19" t="s">
        <v>46</v>
      </c>
      <c r="D10" s="18">
        <v>19.0</v>
      </c>
      <c r="E10" s="16">
        <f t="shared" si="1"/>
        <v>0.05571847507</v>
      </c>
      <c r="F10" s="16">
        <f t="shared" si="2"/>
        <v>0.0101171459</v>
      </c>
      <c r="G10" s="18">
        <v>11.0</v>
      </c>
      <c r="H10" s="18">
        <v>3.0</v>
      </c>
      <c r="I10" s="18">
        <v>0.0</v>
      </c>
      <c r="J10" s="18">
        <v>0.0</v>
      </c>
      <c r="K10" s="18">
        <v>5.0</v>
      </c>
      <c r="L10" s="16">
        <f t="shared" si="3"/>
        <v>0.5789473684</v>
      </c>
    </row>
    <row r="11">
      <c r="A11" s="6"/>
      <c r="B11" s="6" t="s">
        <v>77</v>
      </c>
      <c r="C11" s="20" t="s">
        <v>46</v>
      </c>
      <c r="D11" s="12">
        <v>16.0</v>
      </c>
      <c r="E11" s="11">
        <f t="shared" si="1"/>
        <v>0.04692082111</v>
      </c>
      <c r="F11" s="11">
        <f t="shared" si="2"/>
        <v>0.00851970181</v>
      </c>
      <c r="G11" s="12">
        <v>9.0</v>
      </c>
      <c r="H11" s="12">
        <v>3.0</v>
      </c>
      <c r="I11" s="12">
        <v>0.0</v>
      </c>
      <c r="J11" s="12">
        <v>0.0</v>
      </c>
      <c r="K11" s="12">
        <v>4.0</v>
      </c>
      <c r="L11" s="11">
        <f t="shared" si="3"/>
        <v>0.5625</v>
      </c>
    </row>
    <row r="12" hidden="1">
      <c r="A12" s="14"/>
      <c r="B12" s="14" t="s">
        <v>82</v>
      </c>
      <c r="C12" s="19" t="s">
        <v>34</v>
      </c>
      <c r="D12" s="18">
        <v>15.0</v>
      </c>
      <c r="E12" s="16">
        <f t="shared" si="1"/>
        <v>0.04398826979</v>
      </c>
      <c r="F12" s="16">
        <f t="shared" si="2"/>
        <v>0.007987220447</v>
      </c>
      <c r="G12" s="18">
        <v>10.0</v>
      </c>
      <c r="H12" s="18">
        <v>0.0</v>
      </c>
      <c r="I12" s="18">
        <v>0.0</v>
      </c>
      <c r="J12" s="18">
        <v>2.0</v>
      </c>
      <c r="K12" s="18">
        <v>3.0</v>
      </c>
      <c r="L12" s="16">
        <f t="shared" si="3"/>
        <v>0.6666666667</v>
      </c>
    </row>
    <row r="13" hidden="1">
      <c r="A13" s="6"/>
      <c r="B13" s="6" t="s">
        <v>84</v>
      </c>
      <c r="C13" s="20" t="s">
        <v>34</v>
      </c>
      <c r="D13" s="12">
        <v>12.0</v>
      </c>
      <c r="E13" s="11">
        <f t="shared" si="1"/>
        <v>0.03519061584</v>
      </c>
      <c r="F13" s="11">
        <f t="shared" si="2"/>
        <v>0.006389776358</v>
      </c>
      <c r="G13" s="12">
        <v>6.0</v>
      </c>
      <c r="H13" s="12">
        <v>3.0</v>
      </c>
      <c r="I13" s="12">
        <v>1.0</v>
      </c>
      <c r="J13" s="12">
        <v>0.0</v>
      </c>
      <c r="K13" s="12">
        <v>2.0</v>
      </c>
      <c r="L13" s="11">
        <f t="shared" si="3"/>
        <v>0.5</v>
      </c>
    </row>
    <row r="14">
      <c r="A14" s="14"/>
      <c r="B14" s="14" t="s">
        <v>88</v>
      </c>
      <c r="C14" s="19" t="s">
        <v>46</v>
      </c>
      <c r="D14" s="18">
        <v>11.0</v>
      </c>
      <c r="E14" s="16">
        <f t="shared" si="1"/>
        <v>0.03225806452</v>
      </c>
      <c r="F14" s="16">
        <f t="shared" si="2"/>
        <v>0.005857294995</v>
      </c>
      <c r="G14" s="18">
        <v>5.0</v>
      </c>
      <c r="H14" s="18">
        <v>0.0</v>
      </c>
      <c r="I14" s="18">
        <v>0.0</v>
      </c>
      <c r="J14" s="18">
        <v>1.0</v>
      </c>
      <c r="K14" s="18">
        <v>5.0</v>
      </c>
      <c r="L14" s="16">
        <f t="shared" si="3"/>
        <v>0.4545454545</v>
      </c>
    </row>
    <row r="15" hidden="1">
      <c r="A15" s="6"/>
      <c r="B15" s="6" t="s">
        <v>92</v>
      </c>
      <c r="C15" s="20" t="s">
        <v>52</v>
      </c>
      <c r="D15" s="12">
        <v>11.0</v>
      </c>
      <c r="E15" s="11">
        <f t="shared" si="1"/>
        <v>0.03225806452</v>
      </c>
      <c r="F15" s="11">
        <f t="shared" si="2"/>
        <v>0.005857294995</v>
      </c>
      <c r="G15" s="12">
        <v>8.0</v>
      </c>
      <c r="H15" s="12">
        <v>0.0</v>
      </c>
      <c r="I15" s="12">
        <v>0.0</v>
      </c>
      <c r="J15" s="12">
        <v>0.0</v>
      </c>
      <c r="K15" s="12">
        <v>3.0</v>
      </c>
      <c r="L15" s="11">
        <f t="shared" si="3"/>
        <v>0.7272727273</v>
      </c>
    </row>
    <row r="16" hidden="1">
      <c r="A16" s="14"/>
      <c r="B16" s="14" t="s">
        <v>98</v>
      </c>
      <c r="C16" s="19" t="s">
        <v>34</v>
      </c>
      <c r="D16" s="18">
        <v>7.0</v>
      </c>
      <c r="E16" s="16">
        <f t="shared" si="1"/>
        <v>0.02052785924</v>
      </c>
      <c r="F16" s="16">
        <f t="shared" si="2"/>
        <v>0.003727369542</v>
      </c>
      <c r="G16" s="18">
        <v>6.0</v>
      </c>
      <c r="H16" s="18">
        <v>1.0</v>
      </c>
      <c r="I16" s="18">
        <v>0.0</v>
      </c>
      <c r="J16" s="18">
        <v>0.0</v>
      </c>
      <c r="K16" s="18">
        <v>0.0</v>
      </c>
      <c r="L16" s="16">
        <f t="shared" si="3"/>
        <v>0.8571428571</v>
      </c>
    </row>
    <row r="17">
      <c r="A17" s="6"/>
      <c r="B17" s="6" t="s">
        <v>101</v>
      </c>
      <c r="C17" s="20" t="s">
        <v>46</v>
      </c>
      <c r="D17" s="12">
        <v>7.0</v>
      </c>
      <c r="E17" s="11">
        <f t="shared" si="1"/>
        <v>0.02052785924</v>
      </c>
      <c r="F17" s="11">
        <f t="shared" si="2"/>
        <v>0.003727369542</v>
      </c>
      <c r="G17" s="12">
        <v>4.0</v>
      </c>
      <c r="H17" s="12">
        <v>1.0</v>
      </c>
      <c r="I17" s="12">
        <v>1.0</v>
      </c>
      <c r="J17" s="12">
        <v>0.0</v>
      </c>
      <c r="K17" s="12">
        <v>1.0</v>
      </c>
      <c r="L17" s="11">
        <f t="shared" si="3"/>
        <v>0.5714285714</v>
      </c>
    </row>
    <row r="18" hidden="1">
      <c r="A18" s="14"/>
      <c r="B18" s="14" t="s">
        <v>104</v>
      </c>
      <c r="C18" s="19" t="s">
        <v>49</v>
      </c>
      <c r="D18" s="18">
        <v>6.0</v>
      </c>
      <c r="E18" s="16">
        <f t="shared" si="1"/>
        <v>0.01759530792</v>
      </c>
      <c r="F18" s="16">
        <f t="shared" si="2"/>
        <v>0.003194888179</v>
      </c>
      <c r="G18" s="18">
        <v>1.0</v>
      </c>
      <c r="H18" s="18">
        <v>4.0</v>
      </c>
      <c r="I18" s="18">
        <v>0.0</v>
      </c>
      <c r="J18" s="18">
        <v>0.0</v>
      </c>
      <c r="K18" s="18">
        <v>1.0</v>
      </c>
      <c r="L18" s="16">
        <f t="shared" si="3"/>
        <v>0.1666666667</v>
      </c>
    </row>
    <row r="19" hidden="1">
      <c r="A19" s="6"/>
      <c r="B19" s="6" t="s">
        <v>106</v>
      </c>
      <c r="C19" s="20" t="s">
        <v>57</v>
      </c>
      <c r="D19" s="12">
        <v>5.0</v>
      </c>
      <c r="E19" s="11">
        <f t="shared" si="1"/>
        <v>0.0146627566</v>
      </c>
      <c r="F19" s="11">
        <f t="shared" si="2"/>
        <v>0.002662406816</v>
      </c>
      <c r="G19" s="12">
        <v>3.0</v>
      </c>
      <c r="H19" s="12">
        <v>1.0</v>
      </c>
      <c r="I19" s="12">
        <v>0.0</v>
      </c>
      <c r="J19" s="12">
        <v>0.0</v>
      </c>
      <c r="K19" s="12">
        <v>1.0</v>
      </c>
      <c r="L19" s="11">
        <f t="shared" si="3"/>
        <v>0.6</v>
      </c>
    </row>
    <row r="20" hidden="1">
      <c r="A20" s="14"/>
      <c r="B20" s="14" t="s">
        <v>108</v>
      </c>
      <c r="C20" s="19" t="s">
        <v>57</v>
      </c>
      <c r="D20" s="18">
        <v>5.0</v>
      </c>
      <c r="E20" s="16">
        <f t="shared" si="1"/>
        <v>0.0146627566</v>
      </c>
      <c r="F20" s="16">
        <f t="shared" si="2"/>
        <v>0.002662406816</v>
      </c>
      <c r="G20" s="18">
        <v>4.0</v>
      </c>
      <c r="H20" s="18">
        <v>0.0</v>
      </c>
      <c r="I20" s="18">
        <v>1.0</v>
      </c>
      <c r="J20" s="18">
        <v>0.0</v>
      </c>
      <c r="K20" s="18">
        <v>0.0</v>
      </c>
      <c r="L20" s="16">
        <f t="shared" si="3"/>
        <v>0.8</v>
      </c>
    </row>
    <row r="21" ht="15.75" hidden="1" customHeight="1">
      <c r="A21" s="6"/>
      <c r="B21" s="6" t="s">
        <v>110</v>
      </c>
      <c r="C21" s="20" t="s">
        <v>71</v>
      </c>
      <c r="D21" s="12">
        <v>5.0</v>
      </c>
      <c r="E21" s="11">
        <f t="shared" si="1"/>
        <v>0.0146627566</v>
      </c>
      <c r="F21" s="11">
        <f t="shared" si="2"/>
        <v>0.002662406816</v>
      </c>
      <c r="G21" s="12">
        <v>0.0</v>
      </c>
      <c r="H21" s="12">
        <v>0.0</v>
      </c>
      <c r="I21" s="12">
        <v>0.0</v>
      </c>
      <c r="J21" s="12">
        <v>1.0</v>
      </c>
      <c r="K21" s="12">
        <v>4.0</v>
      </c>
      <c r="L21" s="11">
        <f t="shared" si="3"/>
        <v>0</v>
      </c>
    </row>
    <row r="22" ht="15.75" hidden="1" customHeight="1">
      <c r="A22" s="14"/>
      <c r="B22" s="14" t="s">
        <v>112</v>
      </c>
      <c r="C22" s="19" t="s">
        <v>53</v>
      </c>
      <c r="D22" s="18">
        <v>4.0</v>
      </c>
      <c r="E22" s="16">
        <f t="shared" si="1"/>
        <v>0.01173020528</v>
      </c>
      <c r="F22" s="16">
        <f t="shared" si="2"/>
        <v>0.002129925453</v>
      </c>
      <c r="G22" s="18">
        <v>4.0</v>
      </c>
      <c r="H22" s="18">
        <v>0.0</v>
      </c>
      <c r="I22" s="18">
        <v>0.0</v>
      </c>
      <c r="J22" s="18">
        <v>0.0</v>
      </c>
      <c r="K22" s="18">
        <v>0.0</v>
      </c>
      <c r="L22" s="16">
        <f t="shared" si="3"/>
        <v>1</v>
      </c>
    </row>
    <row r="23" ht="15.75" hidden="1" customHeight="1">
      <c r="A23" s="6"/>
      <c r="B23" s="6" t="s">
        <v>114</v>
      </c>
      <c r="C23" s="20" t="s">
        <v>74</v>
      </c>
      <c r="D23" s="12">
        <v>3.0</v>
      </c>
      <c r="E23" s="11">
        <f t="shared" si="1"/>
        <v>0.008797653959</v>
      </c>
      <c r="F23" s="11">
        <f t="shared" si="2"/>
        <v>0.001597444089</v>
      </c>
      <c r="G23" s="12">
        <v>0.0</v>
      </c>
      <c r="H23" s="12">
        <v>0.0</v>
      </c>
      <c r="I23" s="12">
        <v>0.0</v>
      </c>
      <c r="J23" s="12">
        <v>0.0</v>
      </c>
      <c r="K23" s="12">
        <v>3.0</v>
      </c>
      <c r="L23" s="11">
        <f t="shared" si="3"/>
        <v>0</v>
      </c>
    </row>
    <row r="24" ht="15.75" hidden="1" customHeight="1">
      <c r="A24" s="14"/>
      <c r="B24" s="14" t="s">
        <v>116</v>
      </c>
      <c r="C24" s="19" t="s">
        <v>52</v>
      </c>
      <c r="D24" s="18">
        <v>2.0</v>
      </c>
      <c r="E24" s="16">
        <f t="shared" si="1"/>
        <v>0.005865102639</v>
      </c>
      <c r="F24" s="16">
        <f t="shared" si="2"/>
        <v>0.001064962726</v>
      </c>
      <c r="G24" s="18">
        <v>0.0</v>
      </c>
      <c r="H24" s="18">
        <v>0.0</v>
      </c>
      <c r="I24" s="18">
        <v>0.0</v>
      </c>
      <c r="J24" s="18">
        <v>1.0</v>
      </c>
      <c r="K24" s="18">
        <v>1.0</v>
      </c>
      <c r="L24" s="16">
        <f t="shared" si="3"/>
        <v>0</v>
      </c>
    </row>
    <row r="25" ht="15.75" customHeight="1">
      <c r="A25" s="6"/>
      <c r="B25" s="6" t="s">
        <v>118</v>
      </c>
      <c r="C25" s="20" t="s">
        <v>46</v>
      </c>
      <c r="D25" s="12">
        <v>1.0</v>
      </c>
      <c r="E25" s="11">
        <f t="shared" si="1"/>
        <v>0.00293255132</v>
      </c>
      <c r="F25" s="11">
        <f t="shared" si="2"/>
        <v>0.0005324813632</v>
      </c>
      <c r="G25" s="12">
        <v>0.0</v>
      </c>
      <c r="H25" s="12">
        <v>0.0</v>
      </c>
      <c r="I25" s="12">
        <v>0.0</v>
      </c>
      <c r="J25" s="12">
        <v>0.0</v>
      </c>
      <c r="K25" s="12">
        <v>1.0</v>
      </c>
      <c r="L25" s="11">
        <f t="shared" si="3"/>
        <v>0</v>
      </c>
    </row>
    <row r="26" ht="15.75" customHeight="1">
      <c r="A26" s="14"/>
      <c r="B26" s="14" t="s">
        <v>120</v>
      </c>
      <c r="C26" s="19" t="s">
        <v>46</v>
      </c>
      <c r="D26" s="18">
        <v>1.0</v>
      </c>
      <c r="E26" s="16">
        <f t="shared" si="1"/>
        <v>0.00293255132</v>
      </c>
      <c r="F26" s="16">
        <f t="shared" si="2"/>
        <v>0.0005324813632</v>
      </c>
      <c r="G26" s="18">
        <v>1.0</v>
      </c>
      <c r="H26" s="18">
        <v>0.0</v>
      </c>
      <c r="I26" s="18">
        <v>0.0</v>
      </c>
      <c r="J26" s="18">
        <v>0.0</v>
      </c>
      <c r="K26" s="18">
        <v>0.0</v>
      </c>
      <c r="L26" s="16">
        <f t="shared" si="3"/>
        <v>1</v>
      </c>
    </row>
    <row r="27" ht="15.75" hidden="1" customHeight="1">
      <c r="A27" s="6"/>
      <c r="B27" s="6" t="s">
        <v>121</v>
      </c>
      <c r="C27" s="20" t="s">
        <v>34</v>
      </c>
      <c r="D27" s="12">
        <v>1.0</v>
      </c>
      <c r="E27" s="11">
        <f t="shared" si="1"/>
        <v>0.00293255132</v>
      </c>
      <c r="F27" s="11">
        <f t="shared" si="2"/>
        <v>0.0005324813632</v>
      </c>
      <c r="G27" s="12">
        <v>1.0</v>
      </c>
      <c r="H27" s="12">
        <v>0.0</v>
      </c>
      <c r="I27" s="12">
        <v>0.0</v>
      </c>
      <c r="J27" s="12">
        <v>0.0</v>
      </c>
      <c r="K27" s="12">
        <v>0.0</v>
      </c>
      <c r="L27" s="11">
        <f t="shared" si="3"/>
        <v>1</v>
      </c>
    </row>
    <row r="28" ht="15.75" hidden="1" customHeight="1">
      <c r="A28" s="8" t="s">
        <v>45</v>
      </c>
      <c r="B28" s="8" t="s">
        <v>130</v>
      </c>
      <c r="C28" s="9" t="s">
        <v>34</v>
      </c>
      <c r="D28" s="10">
        <v>105.0</v>
      </c>
      <c r="E28" s="13">
        <f t="shared" ref="E28:E43" si="4">D28/321</f>
        <v>0.3271028037</v>
      </c>
      <c r="F28" s="13">
        <f t="shared" si="2"/>
        <v>0.05591054313</v>
      </c>
      <c r="G28" s="10">
        <v>87.0</v>
      </c>
      <c r="H28" s="10">
        <v>5.0</v>
      </c>
      <c r="I28" s="10">
        <v>2.0</v>
      </c>
      <c r="J28" s="10">
        <v>0.0</v>
      </c>
      <c r="K28" s="10">
        <v>11.0</v>
      </c>
      <c r="L28" s="13">
        <f t="shared" si="3"/>
        <v>0.8285714286</v>
      </c>
    </row>
    <row r="29" ht="15.75" hidden="1" customHeight="1">
      <c r="A29" s="6"/>
      <c r="B29" s="6" t="s">
        <v>140</v>
      </c>
      <c r="C29" s="20" t="s">
        <v>34</v>
      </c>
      <c r="D29" s="12">
        <v>60.0</v>
      </c>
      <c r="E29" s="11">
        <f t="shared" si="4"/>
        <v>0.1869158879</v>
      </c>
      <c r="F29" s="11">
        <f t="shared" si="2"/>
        <v>0.03194888179</v>
      </c>
      <c r="G29" s="12">
        <v>52.0</v>
      </c>
      <c r="H29" s="12">
        <v>2.0</v>
      </c>
      <c r="I29" s="12">
        <v>1.0</v>
      </c>
      <c r="J29" s="12">
        <v>0.0</v>
      </c>
      <c r="K29" s="12">
        <v>5.0</v>
      </c>
      <c r="L29" s="11">
        <f t="shared" si="3"/>
        <v>0.8666666667</v>
      </c>
    </row>
    <row r="30" ht="15.75" hidden="1" customHeight="1">
      <c r="A30" s="14"/>
      <c r="B30" s="14" t="s">
        <v>148</v>
      </c>
      <c r="C30" s="19" t="s">
        <v>34</v>
      </c>
      <c r="D30" s="18">
        <v>37.0</v>
      </c>
      <c r="E30" s="16">
        <f t="shared" si="4"/>
        <v>0.1152647975</v>
      </c>
      <c r="F30" s="16">
        <f t="shared" si="2"/>
        <v>0.01970181044</v>
      </c>
      <c r="G30" s="18">
        <v>30.0</v>
      </c>
      <c r="H30" s="18">
        <v>2.0</v>
      </c>
      <c r="I30" s="18">
        <v>0.0</v>
      </c>
      <c r="J30" s="18">
        <v>0.0</v>
      </c>
      <c r="K30" s="18">
        <v>5.0</v>
      </c>
      <c r="L30" s="16">
        <f t="shared" si="3"/>
        <v>0.8108108108</v>
      </c>
    </row>
    <row r="31" ht="15.75" customHeight="1">
      <c r="A31" s="6"/>
      <c r="B31" s="6" t="s">
        <v>143</v>
      </c>
      <c r="C31" s="20" t="s">
        <v>46</v>
      </c>
      <c r="D31" s="12">
        <v>18.0</v>
      </c>
      <c r="E31" s="11">
        <f t="shared" si="4"/>
        <v>0.05607476636</v>
      </c>
      <c r="F31" s="11">
        <f t="shared" si="2"/>
        <v>0.009584664537</v>
      </c>
      <c r="G31" s="12">
        <v>10.0</v>
      </c>
      <c r="H31" s="12">
        <v>3.0</v>
      </c>
      <c r="I31" s="12">
        <v>0.0</v>
      </c>
      <c r="J31" s="12">
        <v>0.0</v>
      </c>
      <c r="K31" s="12">
        <v>5.0</v>
      </c>
      <c r="L31" s="11">
        <f t="shared" si="3"/>
        <v>0.5555555556</v>
      </c>
    </row>
    <row r="32" ht="15.75" hidden="1" customHeight="1">
      <c r="A32" s="14"/>
      <c r="B32" s="14" t="s">
        <v>161</v>
      </c>
      <c r="C32" s="19" t="s">
        <v>57</v>
      </c>
      <c r="D32" s="18">
        <v>18.0</v>
      </c>
      <c r="E32" s="16">
        <f t="shared" si="4"/>
        <v>0.05607476636</v>
      </c>
      <c r="F32" s="16">
        <f t="shared" si="2"/>
        <v>0.009584664537</v>
      </c>
      <c r="G32" s="18">
        <v>12.0</v>
      </c>
      <c r="H32" s="18">
        <v>0.0</v>
      </c>
      <c r="I32" s="18">
        <v>1.0</v>
      </c>
      <c r="J32" s="18">
        <v>1.0</v>
      </c>
      <c r="K32" s="18">
        <v>4.0</v>
      </c>
      <c r="L32" s="16">
        <f t="shared" si="3"/>
        <v>0.6666666667</v>
      </c>
    </row>
    <row r="33" ht="15.75" hidden="1" customHeight="1">
      <c r="A33" s="6"/>
      <c r="B33" s="6" t="s">
        <v>169</v>
      </c>
      <c r="C33" s="20" t="s">
        <v>52</v>
      </c>
      <c r="D33" s="12">
        <v>18.0</v>
      </c>
      <c r="E33" s="11">
        <f t="shared" si="4"/>
        <v>0.05607476636</v>
      </c>
      <c r="F33" s="11">
        <f t="shared" si="2"/>
        <v>0.009584664537</v>
      </c>
      <c r="G33" s="12">
        <v>17.0</v>
      </c>
      <c r="H33" s="12">
        <v>0.0</v>
      </c>
      <c r="I33" s="12">
        <v>0.0</v>
      </c>
      <c r="J33" s="12">
        <v>0.0</v>
      </c>
      <c r="K33" s="12">
        <v>1.0</v>
      </c>
      <c r="L33" s="11">
        <f t="shared" si="3"/>
        <v>0.9444444444</v>
      </c>
    </row>
    <row r="34" ht="15.75" customHeight="1">
      <c r="A34" s="14"/>
      <c r="B34" s="14" t="s">
        <v>166</v>
      </c>
      <c r="C34" s="19" t="s">
        <v>46</v>
      </c>
      <c r="D34" s="18">
        <v>17.0</v>
      </c>
      <c r="E34" s="16">
        <f t="shared" si="4"/>
        <v>0.05295950156</v>
      </c>
      <c r="F34" s="16">
        <f t="shared" si="2"/>
        <v>0.009052183174</v>
      </c>
      <c r="G34" s="18">
        <v>10.0</v>
      </c>
      <c r="H34" s="18">
        <v>4.0</v>
      </c>
      <c r="I34" s="18">
        <v>0.0</v>
      </c>
      <c r="J34" s="18">
        <v>0.0</v>
      </c>
      <c r="K34" s="18">
        <v>3.0</v>
      </c>
      <c r="L34" s="16">
        <f t="shared" si="3"/>
        <v>0.5882352941</v>
      </c>
    </row>
    <row r="35" ht="15.75" customHeight="1">
      <c r="A35" s="6"/>
      <c r="B35" s="6" t="s">
        <v>183</v>
      </c>
      <c r="C35" s="20" t="s">
        <v>46</v>
      </c>
      <c r="D35" s="12">
        <v>15.0</v>
      </c>
      <c r="E35" s="11">
        <f t="shared" si="4"/>
        <v>0.04672897196</v>
      </c>
      <c r="F35" s="11">
        <f t="shared" si="2"/>
        <v>0.007987220447</v>
      </c>
      <c r="G35" s="12">
        <v>10.0</v>
      </c>
      <c r="H35" s="12">
        <v>1.0</v>
      </c>
      <c r="I35" s="12">
        <v>1.0</v>
      </c>
      <c r="J35" s="12">
        <v>0.0</v>
      </c>
      <c r="K35" s="12">
        <v>3.0</v>
      </c>
      <c r="L35" s="11">
        <f t="shared" si="3"/>
        <v>0.6666666667</v>
      </c>
    </row>
    <row r="36" ht="15.75" hidden="1" customHeight="1">
      <c r="A36" s="14"/>
      <c r="B36" s="14" t="s">
        <v>82</v>
      </c>
      <c r="C36" s="19" t="s">
        <v>34</v>
      </c>
      <c r="D36" s="18">
        <v>8.0</v>
      </c>
      <c r="E36" s="16">
        <f t="shared" si="4"/>
        <v>0.02492211838</v>
      </c>
      <c r="F36" s="16">
        <f t="shared" si="2"/>
        <v>0.004259850905</v>
      </c>
      <c r="G36" s="18">
        <v>7.0</v>
      </c>
      <c r="H36" s="18">
        <v>0.0</v>
      </c>
      <c r="I36" s="18">
        <v>0.0</v>
      </c>
      <c r="J36" s="18">
        <v>0.0</v>
      </c>
      <c r="K36" s="18">
        <v>1.0</v>
      </c>
      <c r="L36" s="16">
        <f t="shared" si="3"/>
        <v>0.875</v>
      </c>
    </row>
    <row r="37" ht="15.75" hidden="1" customHeight="1">
      <c r="A37" s="6"/>
      <c r="B37" s="6" t="s">
        <v>196</v>
      </c>
      <c r="C37" s="20" t="s">
        <v>52</v>
      </c>
      <c r="D37" s="12">
        <v>7.0</v>
      </c>
      <c r="E37" s="11">
        <f t="shared" si="4"/>
        <v>0.02180685358</v>
      </c>
      <c r="F37" s="11">
        <f t="shared" si="2"/>
        <v>0.003727369542</v>
      </c>
      <c r="G37" s="12">
        <v>0.0</v>
      </c>
      <c r="H37" s="12">
        <v>0.0</v>
      </c>
      <c r="I37" s="12">
        <v>0.0</v>
      </c>
      <c r="J37" s="12">
        <v>0.0</v>
      </c>
      <c r="K37" s="12">
        <v>7.0</v>
      </c>
      <c r="L37" s="11">
        <f t="shared" si="3"/>
        <v>0</v>
      </c>
    </row>
    <row r="38" ht="15.75" hidden="1" customHeight="1">
      <c r="A38" s="14"/>
      <c r="B38" s="14" t="s">
        <v>204</v>
      </c>
      <c r="C38" s="19" t="s">
        <v>49</v>
      </c>
      <c r="D38" s="18">
        <v>7.0</v>
      </c>
      <c r="E38" s="16">
        <f t="shared" si="4"/>
        <v>0.02180685358</v>
      </c>
      <c r="F38" s="16">
        <f t="shared" si="2"/>
        <v>0.003727369542</v>
      </c>
      <c r="G38" s="18">
        <v>4.0</v>
      </c>
      <c r="H38" s="18">
        <v>0.0</v>
      </c>
      <c r="I38" s="18">
        <v>0.0</v>
      </c>
      <c r="J38" s="18">
        <v>0.0</v>
      </c>
      <c r="K38" s="18">
        <v>3.0</v>
      </c>
      <c r="L38" s="16">
        <f t="shared" si="3"/>
        <v>0.5714285714</v>
      </c>
    </row>
    <row r="39" ht="15.75" customHeight="1">
      <c r="A39" s="6"/>
      <c r="B39" s="6" t="s">
        <v>118</v>
      </c>
      <c r="C39" s="20" t="s">
        <v>46</v>
      </c>
      <c r="D39" s="12">
        <v>3.0</v>
      </c>
      <c r="E39" s="11">
        <f t="shared" si="4"/>
        <v>0.009345794393</v>
      </c>
      <c r="F39" s="11">
        <f t="shared" si="2"/>
        <v>0.001597444089</v>
      </c>
      <c r="G39" s="12">
        <v>1.0</v>
      </c>
      <c r="H39" s="12">
        <v>0.0</v>
      </c>
      <c r="I39" s="12">
        <v>0.0</v>
      </c>
      <c r="J39" s="12">
        <v>0.0</v>
      </c>
      <c r="K39" s="12">
        <v>2.0</v>
      </c>
      <c r="L39" s="11">
        <f t="shared" si="3"/>
        <v>0.3333333333</v>
      </c>
    </row>
    <row r="40" ht="15.75" hidden="1" customHeight="1">
      <c r="A40" s="14"/>
      <c r="B40" s="14" t="s">
        <v>220</v>
      </c>
      <c r="C40" s="19" t="s">
        <v>53</v>
      </c>
      <c r="D40" s="18">
        <v>3.0</v>
      </c>
      <c r="E40" s="16">
        <f t="shared" si="4"/>
        <v>0.009345794393</v>
      </c>
      <c r="F40" s="16">
        <f t="shared" si="2"/>
        <v>0.001597444089</v>
      </c>
      <c r="G40" s="18">
        <v>1.0</v>
      </c>
      <c r="H40" s="18">
        <v>1.0</v>
      </c>
      <c r="I40" s="18">
        <v>0.0</v>
      </c>
      <c r="J40" s="18">
        <v>0.0</v>
      </c>
      <c r="K40" s="18">
        <v>1.0</v>
      </c>
      <c r="L40" s="16">
        <f t="shared" si="3"/>
        <v>0.3333333333</v>
      </c>
    </row>
    <row r="41" ht="15.75" hidden="1" customHeight="1">
      <c r="A41" s="6"/>
      <c r="B41" s="6" t="s">
        <v>226</v>
      </c>
      <c r="C41" s="20" t="s">
        <v>34</v>
      </c>
      <c r="D41" s="12">
        <v>3.0</v>
      </c>
      <c r="E41" s="11">
        <f t="shared" si="4"/>
        <v>0.009345794393</v>
      </c>
      <c r="F41" s="11">
        <f t="shared" si="2"/>
        <v>0.001597444089</v>
      </c>
      <c r="G41" s="12">
        <v>1.0</v>
      </c>
      <c r="H41" s="12">
        <v>1.0</v>
      </c>
      <c r="I41" s="12">
        <v>0.0</v>
      </c>
      <c r="J41" s="12">
        <v>0.0</v>
      </c>
      <c r="K41" s="12">
        <v>1.0</v>
      </c>
      <c r="L41" s="11">
        <f t="shared" si="3"/>
        <v>0.3333333333</v>
      </c>
    </row>
    <row r="42" ht="15.75" hidden="1" customHeight="1">
      <c r="A42" s="14"/>
      <c r="B42" s="14" t="s">
        <v>114</v>
      </c>
      <c r="C42" s="19" t="s">
        <v>74</v>
      </c>
      <c r="D42" s="18">
        <v>1.0</v>
      </c>
      <c r="E42" s="16">
        <f t="shared" si="4"/>
        <v>0.003115264798</v>
      </c>
      <c r="F42" s="16">
        <f t="shared" si="2"/>
        <v>0.0005324813632</v>
      </c>
      <c r="G42" s="18">
        <v>0.0</v>
      </c>
      <c r="H42" s="18">
        <v>0.0</v>
      </c>
      <c r="I42" s="18">
        <v>1.0</v>
      </c>
      <c r="J42" s="18">
        <v>0.0</v>
      </c>
      <c r="K42" s="18">
        <v>0.0</v>
      </c>
      <c r="L42" s="16">
        <f t="shared" si="3"/>
        <v>0</v>
      </c>
    </row>
    <row r="43" ht="15.75" hidden="1" customHeight="1">
      <c r="A43" s="6"/>
      <c r="B43" s="6" t="s">
        <v>239</v>
      </c>
      <c r="C43" s="20" t="s">
        <v>52</v>
      </c>
      <c r="D43" s="12">
        <v>1.0</v>
      </c>
      <c r="E43" s="11">
        <f t="shared" si="4"/>
        <v>0.003115264798</v>
      </c>
      <c r="F43" s="11">
        <f t="shared" si="2"/>
        <v>0.0005324813632</v>
      </c>
      <c r="G43" s="12">
        <v>1.0</v>
      </c>
      <c r="H43" s="12">
        <v>0.0</v>
      </c>
      <c r="I43" s="12">
        <v>0.0</v>
      </c>
      <c r="J43" s="12">
        <v>0.0</v>
      </c>
      <c r="K43" s="12">
        <v>0.0</v>
      </c>
      <c r="L43" s="11">
        <f t="shared" si="3"/>
        <v>1</v>
      </c>
    </row>
    <row r="44" ht="15.75" customHeight="1">
      <c r="A44" s="8" t="s">
        <v>48</v>
      </c>
      <c r="B44" s="8" t="s">
        <v>248</v>
      </c>
      <c r="C44" s="9" t="s">
        <v>46</v>
      </c>
      <c r="D44" s="10">
        <v>54.0</v>
      </c>
      <c r="E44" s="13">
        <f t="shared" ref="E44:E61" si="5">D44/318</f>
        <v>0.1698113208</v>
      </c>
      <c r="F44" s="13">
        <f t="shared" si="2"/>
        <v>0.02875399361</v>
      </c>
      <c r="G44" s="10">
        <v>40.0</v>
      </c>
      <c r="H44" s="10">
        <v>5.0</v>
      </c>
      <c r="I44" s="10">
        <v>2.0</v>
      </c>
      <c r="J44" s="10">
        <v>2.0</v>
      </c>
      <c r="K44" s="10">
        <v>5.0</v>
      </c>
      <c r="L44" s="13">
        <f t="shared" si="3"/>
        <v>0.7407407407</v>
      </c>
    </row>
    <row r="45" ht="15.75" hidden="1" customHeight="1">
      <c r="A45" s="6"/>
      <c r="B45" s="6" t="s">
        <v>258</v>
      </c>
      <c r="C45" s="20" t="s">
        <v>61</v>
      </c>
      <c r="D45" s="12">
        <v>48.0</v>
      </c>
      <c r="E45" s="11">
        <f t="shared" si="5"/>
        <v>0.1509433962</v>
      </c>
      <c r="F45" s="11">
        <f t="shared" si="2"/>
        <v>0.02555910543</v>
      </c>
      <c r="G45" s="12">
        <v>38.0</v>
      </c>
      <c r="H45" s="12">
        <v>6.0</v>
      </c>
      <c r="I45" s="12">
        <v>0.0</v>
      </c>
      <c r="J45" s="12">
        <v>0.0</v>
      </c>
      <c r="K45" s="12">
        <v>4.0</v>
      </c>
      <c r="L45" s="11">
        <f t="shared" si="3"/>
        <v>0.7916666667</v>
      </c>
    </row>
    <row r="46" ht="15.75" hidden="1" customHeight="1">
      <c r="A46" s="14"/>
      <c r="B46" s="14" t="s">
        <v>265</v>
      </c>
      <c r="C46" s="19" t="s">
        <v>34</v>
      </c>
      <c r="D46" s="18">
        <v>44.0</v>
      </c>
      <c r="E46" s="16">
        <f t="shared" si="5"/>
        <v>0.1383647799</v>
      </c>
      <c r="F46" s="16">
        <f t="shared" si="2"/>
        <v>0.02342917998</v>
      </c>
      <c r="G46" s="18">
        <v>36.0</v>
      </c>
      <c r="H46" s="18">
        <v>1.0</v>
      </c>
      <c r="I46" s="18">
        <v>0.0</v>
      </c>
      <c r="J46" s="18">
        <v>2.0</v>
      </c>
      <c r="K46" s="18">
        <v>5.0</v>
      </c>
      <c r="L46" s="16">
        <f t="shared" si="3"/>
        <v>0.8181818182</v>
      </c>
    </row>
    <row r="47" ht="15.75" hidden="1" customHeight="1">
      <c r="A47" s="6"/>
      <c r="B47" s="6" t="s">
        <v>267</v>
      </c>
      <c r="C47" s="20" t="s">
        <v>34</v>
      </c>
      <c r="D47" s="12">
        <v>36.0</v>
      </c>
      <c r="E47" s="11">
        <f t="shared" si="5"/>
        <v>0.1132075472</v>
      </c>
      <c r="F47" s="11">
        <f t="shared" si="2"/>
        <v>0.01916932907</v>
      </c>
      <c r="G47" s="12">
        <v>26.0</v>
      </c>
      <c r="H47" s="12">
        <v>1.0</v>
      </c>
      <c r="I47" s="12">
        <v>0.0</v>
      </c>
      <c r="J47" s="12">
        <v>2.0</v>
      </c>
      <c r="K47" s="12">
        <v>7.0</v>
      </c>
      <c r="L47" s="11">
        <f t="shared" si="3"/>
        <v>0.7222222222</v>
      </c>
    </row>
    <row r="48" ht="15.75" customHeight="1">
      <c r="A48" s="14"/>
      <c r="B48" s="14" t="s">
        <v>284</v>
      </c>
      <c r="C48" s="19" t="s">
        <v>46</v>
      </c>
      <c r="D48" s="18">
        <v>30.0</v>
      </c>
      <c r="E48" s="16">
        <f t="shared" si="5"/>
        <v>0.09433962264</v>
      </c>
      <c r="F48" s="16">
        <f t="shared" si="2"/>
        <v>0.01597444089</v>
      </c>
      <c r="G48" s="18">
        <v>22.0</v>
      </c>
      <c r="H48" s="18">
        <v>1.0</v>
      </c>
      <c r="I48" s="18">
        <v>3.0</v>
      </c>
      <c r="J48" s="18">
        <v>1.0</v>
      </c>
      <c r="K48" s="18">
        <v>3.0</v>
      </c>
      <c r="L48" s="16">
        <f t="shared" si="3"/>
        <v>0.7333333333</v>
      </c>
    </row>
    <row r="49" ht="15.75" hidden="1" customHeight="1">
      <c r="A49" s="6"/>
      <c r="B49" s="6" t="s">
        <v>299</v>
      </c>
      <c r="C49" s="20" t="s">
        <v>34</v>
      </c>
      <c r="D49" s="12">
        <v>23.0</v>
      </c>
      <c r="E49" s="11">
        <f t="shared" si="5"/>
        <v>0.07232704403</v>
      </c>
      <c r="F49" s="11">
        <f t="shared" si="2"/>
        <v>0.01224707135</v>
      </c>
      <c r="G49" s="12">
        <v>18.0</v>
      </c>
      <c r="H49" s="12">
        <v>1.0</v>
      </c>
      <c r="I49" s="12">
        <v>0.0</v>
      </c>
      <c r="J49" s="12">
        <v>0.0</v>
      </c>
      <c r="K49" s="12">
        <v>4.0</v>
      </c>
      <c r="L49" s="11">
        <f t="shared" si="3"/>
        <v>0.7826086957</v>
      </c>
    </row>
    <row r="50" ht="15.75" hidden="1" customHeight="1">
      <c r="A50" s="14"/>
      <c r="B50" s="14" t="s">
        <v>313</v>
      </c>
      <c r="C50" s="19" t="s">
        <v>34</v>
      </c>
      <c r="D50" s="18">
        <v>18.0</v>
      </c>
      <c r="E50" s="16">
        <f t="shared" si="5"/>
        <v>0.05660377358</v>
      </c>
      <c r="F50" s="16">
        <f t="shared" si="2"/>
        <v>0.009584664537</v>
      </c>
      <c r="G50" s="18">
        <v>16.0</v>
      </c>
      <c r="H50" s="18">
        <v>0.0</v>
      </c>
      <c r="I50" s="18">
        <v>0.0</v>
      </c>
      <c r="J50" s="18">
        <v>0.0</v>
      </c>
      <c r="K50" s="18">
        <v>2.0</v>
      </c>
      <c r="L50" s="16">
        <f t="shared" si="3"/>
        <v>0.8888888889</v>
      </c>
    </row>
    <row r="51" ht="15.75" customHeight="1">
      <c r="A51" s="6"/>
      <c r="B51" s="6" t="s">
        <v>329</v>
      </c>
      <c r="C51" s="20" t="s">
        <v>46</v>
      </c>
      <c r="D51" s="12">
        <v>15.0</v>
      </c>
      <c r="E51" s="11">
        <f t="shared" si="5"/>
        <v>0.04716981132</v>
      </c>
      <c r="F51" s="11">
        <f t="shared" si="2"/>
        <v>0.007987220447</v>
      </c>
      <c r="G51" s="12">
        <v>15.0</v>
      </c>
      <c r="H51" s="12">
        <v>0.0</v>
      </c>
      <c r="I51" s="12">
        <v>0.0</v>
      </c>
      <c r="J51" s="12">
        <v>0.0</v>
      </c>
      <c r="K51" s="12">
        <v>0.0</v>
      </c>
      <c r="L51" s="11">
        <f t="shared" si="3"/>
        <v>1</v>
      </c>
    </row>
    <row r="52" ht="15.75" hidden="1" customHeight="1">
      <c r="A52" s="14"/>
      <c r="B52" s="14" t="s">
        <v>339</v>
      </c>
      <c r="C52" s="19" t="s">
        <v>49</v>
      </c>
      <c r="D52" s="18">
        <v>13.0</v>
      </c>
      <c r="E52" s="16">
        <f t="shared" si="5"/>
        <v>0.04088050314</v>
      </c>
      <c r="F52" s="16">
        <f t="shared" si="2"/>
        <v>0.006922257721</v>
      </c>
      <c r="G52" s="18">
        <v>10.0</v>
      </c>
      <c r="H52" s="18">
        <v>1.0</v>
      </c>
      <c r="I52" s="18">
        <v>0.0</v>
      </c>
      <c r="J52" s="18">
        <v>0.0</v>
      </c>
      <c r="K52" s="18">
        <v>2.0</v>
      </c>
      <c r="L52" s="16">
        <f t="shared" si="3"/>
        <v>0.7692307692</v>
      </c>
    </row>
    <row r="53" ht="15.75" hidden="1" customHeight="1">
      <c r="A53" s="6"/>
      <c r="B53" s="6" t="s">
        <v>365</v>
      </c>
      <c r="C53" s="20" t="s">
        <v>53</v>
      </c>
      <c r="D53" s="12">
        <v>12.0</v>
      </c>
      <c r="E53" s="11">
        <f t="shared" si="5"/>
        <v>0.03773584906</v>
      </c>
      <c r="F53" s="11">
        <f t="shared" si="2"/>
        <v>0.006389776358</v>
      </c>
      <c r="G53" s="12">
        <v>10.0</v>
      </c>
      <c r="H53" s="12">
        <v>0.0</v>
      </c>
      <c r="I53" s="12">
        <v>0.0</v>
      </c>
      <c r="J53" s="12">
        <v>0.0</v>
      </c>
      <c r="K53" s="12">
        <v>2.0</v>
      </c>
      <c r="L53" s="11">
        <f t="shared" si="3"/>
        <v>0.8333333333</v>
      </c>
    </row>
    <row r="54" ht="15.75" hidden="1" customHeight="1">
      <c r="A54" s="14"/>
      <c r="B54" s="14" t="s">
        <v>378</v>
      </c>
      <c r="C54" s="19" t="s">
        <v>34</v>
      </c>
      <c r="D54" s="18">
        <v>7.0</v>
      </c>
      <c r="E54" s="16">
        <f t="shared" si="5"/>
        <v>0.02201257862</v>
      </c>
      <c r="F54" s="16">
        <f t="shared" si="2"/>
        <v>0.003727369542</v>
      </c>
      <c r="G54" s="18">
        <v>6.0</v>
      </c>
      <c r="H54" s="18">
        <v>0.0</v>
      </c>
      <c r="I54" s="18">
        <v>0.0</v>
      </c>
      <c r="J54" s="18">
        <v>0.0</v>
      </c>
      <c r="K54" s="18">
        <v>1.0</v>
      </c>
      <c r="L54" s="16">
        <f t="shared" si="3"/>
        <v>0.8571428571</v>
      </c>
    </row>
    <row r="55" ht="15.75" customHeight="1">
      <c r="A55" s="6"/>
      <c r="B55" s="6" t="s">
        <v>386</v>
      </c>
      <c r="C55" s="20" t="s">
        <v>46</v>
      </c>
      <c r="D55" s="12">
        <v>6.0</v>
      </c>
      <c r="E55" s="11">
        <f t="shared" si="5"/>
        <v>0.01886792453</v>
      </c>
      <c r="F55" s="11">
        <f t="shared" si="2"/>
        <v>0.003194888179</v>
      </c>
      <c r="G55" s="12">
        <v>5.0</v>
      </c>
      <c r="H55" s="12">
        <v>0.0</v>
      </c>
      <c r="I55" s="12">
        <v>0.0</v>
      </c>
      <c r="J55" s="12">
        <v>1.0</v>
      </c>
      <c r="K55" s="12">
        <v>0.0</v>
      </c>
      <c r="L55" s="11">
        <f t="shared" si="3"/>
        <v>0.8333333333</v>
      </c>
    </row>
    <row r="56" ht="15.75" hidden="1" customHeight="1">
      <c r="A56" s="14"/>
      <c r="B56" s="14" t="s">
        <v>401</v>
      </c>
      <c r="C56" s="19" t="s">
        <v>61</v>
      </c>
      <c r="D56" s="18">
        <v>4.0</v>
      </c>
      <c r="E56" s="16">
        <f t="shared" si="5"/>
        <v>0.01257861635</v>
      </c>
      <c r="F56" s="16">
        <f t="shared" si="2"/>
        <v>0.002129925453</v>
      </c>
      <c r="G56" s="18">
        <v>3.0</v>
      </c>
      <c r="H56" s="18">
        <v>1.0</v>
      </c>
      <c r="I56" s="18">
        <v>0.0</v>
      </c>
      <c r="J56" s="18">
        <v>0.0</v>
      </c>
      <c r="K56" s="18">
        <v>0.0</v>
      </c>
      <c r="L56" s="16">
        <f t="shared" si="3"/>
        <v>0.75</v>
      </c>
    </row>
    <row r="57" ht="15.75" hidden="1" customHeight="1">
      <c r="A57" s="6"/>
      <c r="B57" s="6" t="s">
        <v>413</v>
      </c>
      <c r="C57" s="20" t="s">
        <v>34</v>
      </c>
      <c r="D57" s="12">
        <v>2.0</v>
      </c>
      <c r="E57" s="11">
        <f t="shared" si="5"/>
        <v>0.006289308176</v>
      </c>
      <c r="F57" s="11">
        <f t="shared" si="2"/>
        <v>0.001064962726</v>
      </c>
      <c r="G57" s="12">
        <v>2.0</v>
      </c>
      <c r="H57" s="12">
        <v>0.0</v>
      </c>
      <c r="I57" s="12">
        <v>0.0</v>
      </c>
      <c r="J57" s="12">
        <v>0.0</v>
      </c>
      <c r="K57" s="12">
        <v>0.0</v>
      </c>
      <c r="L57" s="11">
        <f t="shared" si="3"/>
        <v>1</v>
      </c>
    </row>
    <row r="58" ht="15.75" hidden="1" customHeight="1">
      <c r="A58" s="14"/>
      <c r="B58" s="14" t="s">
        <v>110</v>
      </c>
      <c r="C58" s="19" t="s">
        <v>71</v>
      </c>
      <c r="D58" s="18">
        <v>2.0</v>
      </c>
      <c r="E58" s="16">
        <f t="shared" si="5"/>
        <v>0.006289308176</v>
      </c>
      <c r="F58" s="16">
        <f t="shared" si="2"/>
        <v>0.001064962726</v>
      </c>
      <c r="G58" s="18">
        <v>0.0</v>
      </c>
      <c r="H58" s="18">
        <v>1.0</v>
      </c>
      <c r="I58" s="18">
        <v>0.0</v>
      </c>
      <c r="J58" s="18">
        <v>0.0</v>
      </c>
      <c r="K58" s="18">
        <v>1.0</v>
      </c>
      <c r="L58" s="16">
        <f t="shared" si="3"/>
        <v>0</v>
      </c>
    </row>
    <row r="59" ht="15.75" hidden="1" customHeight="1">
      <c r="A59" s="6"/>
      <c r="B59" s="6" t="s">
        <v>438</v>
      </c>
      <c r="C59" s="20" t="s">
        <v>34</v>
      </c>
      <c r="D59" s="12">
        <v>2.0</v>
      </c>
      <c r="E59" s="11">
        <f t="shared" si="5"/>
        <v>0.006289308176</v>
      </c>
      <c r="F59" s="11">
        <f t="shared" si="2"/>
        <v>0.001064962726</v>
      </c>
      <c r="G59" s="12">
        <v>2.0</v>
      </c>
      <c r="H59" s="12">
        <v>0.0</v>
      </c>
      <c r="I59" s="12">
        <v>0.0</v>
      </c>
      <c r="J59" s="12">
        <v>0.0</v>
      </c>
      <c r="K59" s="12">
        <v>0.0</v>
      </c>
      <c r="L59" s="11">
        <f t="shared" si="3"/>
        <v>1</v>
      </c>
    </row>
    <row r="60" ht="15.75" hidden="1" customHeight="1">
      <c r="A60" s="14"/>
      <c r="B60" s="14" t="s">
        <v>114</v>
      </c>
      <c r="C60" s="19" t="s">
        <v>74</v>
      </c>
      <c r="D60" s="18">
        <v>1.0</v>
      </c>
      <c r="E60" s="16">
        <f t="shared" si="5"/>
        <v>0.003144654088</v>
      </c>
      <c r="F60" s="16">
        <f t="shared" si="2"/>
        <v>0.0005324813632</v>
      </c>
      <c r="G60" s="18">
        <v>1.0</v>
      </c>
      <c r="H60" s="18">
        <v>0.0</v>
      </c>
      <c r="I60" s="18">
        <v>0.0</v>
      </c>
      <c r="J60" s="18">
        <v>0.0</v>
      </c>
      <c r="K60" s="18">
        <v>0.0</v>
      </c>
      <c r="L60" s="16">
        <f t="shared" si="3"/>
        <v>1</v>
      </c>
    </row>
    <row r="61" ht="15.75" customHeight="1">
      <c r="A61" s="6"/>
      <c r="B61" s="6" t="s">
        <v>118</v>
      </c>
      <c r="C61" s="20" t="s">
        <v>46</v>
      </c>
      <c r="D61" s="12">
        <v>1.0</v>
      </c>
      <c r="E61" s="11">
        <f t="shared" si="5"/>
        <v>0.003144654088</v>
      </c>
      <c r="F61" s="11">
        <f t="shared" si="2"/>
        <v>0.0005324813632</v>
      </c>
      <c r="G61" s="12">
        <v>0.0</v>
      </c>
      <c r="H61" s="12">
        <v>0.0</v>
      </c>
      <c r="I61" s="12">
        <v>0.0</v>
      </c>
      <c r="J61" s="12">
        <v>0.0</v>
      </c>
      <c r="K61" s="12">
        <v>1.0</v>
      </c>
      <c r="L61" s="11">
        <f t="shared" si="3"/>
        <v>0</v>
      </c>
    </row>
    <row r="62" ht="15.75" hidden="1" customHeight="1">
      <c r="A62" s="8" t="s">
        <v>50</v>
      </c>
      <c r="B62" s="8" t="s">
        <v>75</v>
      </c>
      <c r="C62" s="9" t="s">
        <v>53</v>
      </c>
      <c r="D62" s="10">
        <v>52.0</v>
      </c>
      <c r="E62" s="13">
        <f t="shared" ref="E62:E72" si="6">D62/182</f>
        <v>0.2857142857</v>
      </c>
      <c r="F62" s="13">
        <f t="shared" si="2"/>
        <v>0.02768903088</v>
      </c>
      <c r="G62" s="10">
        <v>17.0</v>
      </c>
      <c r="H62" s="10">
        <v>18.0</v>
      </c>
      <c r="I62" s="10">
        <v>0.0</v>
      </c>
      <c r="J62" s="10">
        <v>2.0</v>
      </c>
      <c r="K62" s="10">
        <v>15.0</v>
      </c>
      <c r="L62" s="13">
        <f t="shared" si="3"/>
        <v>0.3269230769</v>
      </c>
    </row>
    <row r="63" ht="15.75" hidden="1" customHeight="1">
      <c r="A63" s="6"/>
      <c r="B63" s="6" t="s">
        <v>245</v>
      </c>
      <c r="C63" s="20" t="s">
        <v>57</v>
      </c>
      <c r="D63" s="12">
        <v>48.0</v>
      </c>
      <c r="E63" s="11">
        <f t="shared" si="6"/>
        <v>0.2637362637</v>
      </c>
      <c r="F63" s="11">
        <f t="shared" si="2"/>
        <v>0.02555910543</v>
      </c>
      <c r="G63" s="12">
        <v>33.0</v>
      </c>
      <c r="H63" s="12">
        <v>7.0</v>
      </c>
      <c r="I63" s="12">
        <v>0.0</v>
      </c>
      <c r="J63" s="12">
        <v>1.0</v>
      </c>
      <c r="K63" s="12">
        <v>7.0</v>
      </c>
      <c r="L63" s="11">
        <f t="shared" si="3"/>
        <v>0.6875</v>
      </c>
    </row>
    <row r="64" ht="15.75" hidden="1" customHeight="1">
      <c r="A64" s="14"/>
      <c r="B64" s="14" t="s">
        <v>328</v>
      </c>
      <c r="C64" s="19" t="s">
        <v>49</v>
      </c>
      <c r="D64" s="18">
        <v>30.0</v>
      </c>
      <c r="E64" s="16">
        <f t="shared" si="6"/>
        <v>0.1648351648</v>
      </c>
      <c r="F64" s="16">
        <f t="shared" si="2"/>
        <v>0.01597444089</v>
      </c>
      <c r="G64" s="18">
        <v>23.0</v>
      </c>
      <c r="H64" s="18">
        <v>2.0</v>
      </c>
      <c r="I64" s="18">
        <v>0.0</v>
      </c>
      <c r="J64" s="18">
        <v>0.0</v>
      </c>
      <c r="K64" s="18">
        <v>5.0</v>
      </c>
      <c r="L64" s="16">
        <f t="shared" si="3"/>
        <v>0.7666666667</v>
      </c>
    </row>
    <row r="65" ht="15.75" hidden="1" customHeight="1">
      <c r="A65" s="6"/>
      <c r="B65" s="6" t="s">
        <v>311</v>
      </c>
      <c r="C65" s="20" t="s">
        <v>34</v>
      </c>
      <c r="D65" s="12">
        <v>17.0</v>
      </c>
      <c r="E65" s="11">
        <f t="shared" si="6"/>
        <v>0.09340659341</v>
      </c>
      <c r="F65" s="11">
        <f t="shared" si="2"/>
        <v>0.009052183174</v>
      </c>
      <c r="G65" s="12">
        <v>13.0</v>
      </c>
      <c r="H65" s="12">
        <v>0.0</v>
      </c>
      <c r="I65" s="12">
        <v>0.0</v>
      </c>
      <c r="J65" s="12">
        <v>0.0</v>
      </c>
      <c r="K65" s="12">
        <v>4.0</v>
      </c>
      <c r="L65" s="11">
        <f t="shared" si="3"/>
        <v>0.7647058824</v>
      </c>
    </row>
    <row r="66" ht="15.75" hidden="1" customHeight="1">
      <c r="A66" s="14"/>
      <c r="B66" s="14" t="s">
        <v>189</v>
      </c>
      <c r="C66" s="19" t="s">
        <v>34</v>
      </c>
      <c r="D66" s="18">
        <v>10.0</v>
      </c>
      <c r="E66" s="16">
        <f t="shared" si="6"/>
        <v>0.05494505495</v>
      </c>
      <c r="F66" s="16">
        <f t="shared" si="2"/>
        <v>0.005324813632</v>
      </c>
      <c r="G66" s="18">
        <v>6.0</v>
      </c>
      <c r="H66" s="18">
        <v>2.0</v>
      </c>
      <c r="I66" s="18">
        <v>0.0</v>
      </c>
      <c r="J66" s="18">
        <v>0.0</v>
      </c>
      <c r="K66" s="18">
        <v>2.0</v>
      </c>
      <c r="L66" s="16">
        <f t="shared" si="3"/>
        <v>0.6</v>
      </c>
    </row>
    <row r="67" ht="15.75" customHeight="1">
      <c r="A67" s="6"/>
      <c r="B67" s="6" t="s">
        <v>539</v>
      </c>
      <c r="C67" s="20" t="s">
        <v>46</v>
      </c>
      <c r="D67" s="12">
        <v>9.0</v>
      </c>
      <c r="E67" s="11">
        <f t="shared" si="6"/>
        <v>0.04945054945</v>
      </c>
      <c r="F67" s="11">
        <f t="shared" si="2"/>
        <v>0.004792332268</v>
      </c>
      <c r="G67" s="12">
        <v>3.0</v>
      </c>
      <c r="H67" s="12">
        <v>1.0</v>
      </c>
      <c r="I67" s="12">
        <v>2.0</v>
      </c>
      <c r="J67" s="12">
        <v>1.0</v>
      </c>
      <c r="K67" s="12">
        <v>2.0</v>
      </c>
      <c r="L67" s="11">
        <f t="shared" si="3"/>
        <v>0.3333333333</v>
      </c>
    </row>
    <row r="68" ht="15.75" customHeight="1">
      <c r="A68" s="14"/>
      <c r="B68" s="14" t="s">
        <v>548</v>
      </c>
      <c r="C68" s="19" t="s">
        <v>46</v>
      </c>
      <c r="D68" s="18">
        <v>5.0</v>
      </c>
      <c r="E68" s="16">
        <f t="shared" si="6"/>
        <v>0.02747252747</v>
      </c>
      <c r="F68" s="16">
        <f t="shared" si="2"/>
        <v>0.002662406816</v>
      </c>
      <c r="G68" s="18">
        <v>1.0</v>
      </c>
      <c r="H68" s="18">
        <v>4.0</v>
      </c>
      <c r="I68" s="18">
        <v>0.0</v>
      </c>
      <c r="J68" s="18">
        <v>0.0</v>
      </c>
      <c r="K68" s="18">
        <v>0.0</v>
      </c>
      <c r="L68" s="16">
        <f t="shared" si="3"/>
        <v>0.2</v>
      </c>
    </row>
    <row r="69" ht="15.75" hidden="1" customHeight="1">
      <c r="A69" s="6"/>
      <c r="B69" s="6" t="s">
        <v>110</v>
      </c>
      <c r="C69" s="20" t="s">
        <v>71</v>
      </c>
      <c r="D69" s="12">
        <v>5.0</v>
      </c>
      <c r="E69" s="11">
        <f t="shared" si="6"/>
        <v>0.02747252747</v>
      </c>
      <c r="F69" s="11">
        <f t="shared" si="2"/>
        <v>0.002662406816</v>
      </c>
      <c r="G69" s="12">
        <v>0.0</v>
      </c>
      <c r="H69" s="12">
        <v>0.0</v>
      </c>
      <c r="I69" s="12">
        <v>0.0</v>
      </c>
      <c r="J69" s="12">
        <v>2.0</v>
      </c>
      <c r="K69" s="12">
        <v>3.0</v>
      </c>
      <c r="L69" s="11">
        <f t="shared" si="3"/>
        <v>0</v>
      </c>
    </row>
    <row r="70" ht="15.75" customHeight="1">
      <c r="A70" s="14"/>
      <c r="B70" s="14" t="s">
        <v>566</v>
      </c>
      <c r="C70" s="19" t="s">
        <v>46</v>
      </c>
      <c r="D70" s="18">
        <v>2.0</v>
      </c>
      <c r="E70" s="16">
        <f t="shared" si="6"/>
        <v>0.01098901099</v>
      </c>
      <c r="F70" s="16">
        <f t="shared" si="2"/>
        <v>0.001064962726</v>
      </c>
      <c r="G70" s="18">
        <v>1.0</v>
      </c>
      <c r="H70" s="18">
        <v>0.0</v>
      </c>
      <c r="I70" s="18">
        <v>0.0</v>
      </c>
      <c r="J70" s="18">
        <v>0.0</v>
      </c>
      <c r="K70" s="18">
        <v>1.0</v>
      </c>
      <c r="L70" s="16">
        <f t="shared" si="3"/>
        <v>0.5</v>
      </c>
    </row>
    <row r="71" ht="15.75" customHeight="1">
      <c r="A71" s="6"/>
      <c r="B71" s="6" t="s">
        <v>581</v>
      </c>
      <c r="C71" s="20" t="s">
        <v>46</v>
      </c>
      <c r="D71" s="12">
        <v>2.0</v>
      </c>
      <c r="E71" s="11">
        <f t="shared" si="6"/>
        <v>0.01098901099</v>
      </c>
      <c r="F71" s="11">
        <f t="shared" si="2"/>
        <v>0.001064962726</v>
      </c>
      <c r="G71" s="12">
        <v>1.0</v>
      </c>
      <c r="H71" s="12">
        <v>0.0</v>
      </c>
      <c r="I71" s="12">
        <v>0.0</v>
      </c>
      <c r="J71" s="12">
        <v>0.0</v>
      </c>
      <c r="K71" s="12">
        <v>1.0</v>
      </c>
      <c r="L71" s="11">
        <f t="shared" si="3"/>
        <v>0.5</v>
      </c>
    </row>
    <row r="72" ht="15.75" hidden="1" customHeight="1">
      <c r="A72" s="14"/>
      <c r="B72" s="14" t="s">
        <v>114</v>
      </c>
      <c r="C72" s="19" t="s">
        <v>74</v>
      </c>
      <c r="D72" s="18">
        <v>2.0</v>
      </c>
      <c r="E72" s="16">
        <f t="shared" si="6"/>
        <v>0.01098901099</v>
      </c>
      <c r="F72" s="16">
        <f t="shared" si="2"/>
        <v>0.001064962726</v>
      </c>
      <c r="G72" s="18">
        <v>0.0</v>
      </c>
      <c r="H72" s="18">
        <v>0.0</v>
      </c>
      <c r="I72" s="18">
        <v>0.0</v>
      </c>
      <c r="J72" s="18">
        <v>0.0</v>
      </c>
      <c r="K72" s="18">
        <v>2.0</v>
      </c>
      <c r="L72" s="16">
        <f t="shared" si="3"/>
        <v>0</v>
      </c>
    </row>
    <row r="73" ht="15.75" hidden="1" customHeight="1">
      <c r="A73" s="8" t="s">
        <v>54</v>
      </c>
      <c r="B73" s="8" t="s">
        <v>182</v>
      </c>
      <c r="C73" s="9" t="s">
        <v>34</v>
      </c>
      <c r="D73" s="10">
        <v>95.0</v>
      </c>
      <c r="E73" s="13">
        <f t="shared" ref="E73:E84" si="7">D73/163</f>
        <v>0.5828220859</v>
      </c>
      <c r="F73" s="13">
        <f t="shared" si="2"/>
        <v>0.0505857295</v>
      </c>
      <c r="G73" s="10">
        <v>57.0</v>
      </c>
      <c r="H73" s="10">
        <v>22.0</v>
      </c>
      <c r="I73" s="10">
        <v>2.0</v>
      </c>
      <c r="J73" s="10">
        <v>2.0</v>
      </c>
      <c r="K73" s="10">
        <v>12.0</v>
      </c>
      <c r="L73" s="13">
        <f t="shared" si="3"/>
        <v>0.6</v>
      </c>
    </row>
    <row r="74" ht="15.75" hidden="1" customHeight="1">
      <c r="A74" s="14"/>
      <c r="B74" s="14" t="s">
        <v>99</v>
      </c>
      <c r="C74" s="19" t="s">
        <v>49</v>
      </c>
      <c r="D74" s="18">
        <v>24.0</v>
      </c>
      <c r="E74" s="16">
        <f t="shared" si="7"/>
        <v>0.1472392638</v>
      </c>
      <c r="F74" s="16">
        <f t="shared" si="2"/>
        <v>0.01277955272</v>
      </c>
      <c r="G74" s="18">
        <v>9.0</v>
      </c>
      <c r="H74" s="18">
        <v>7.0</v>
      </c>
      <c r="I74" s="18">
        <v>1.0</v>
      </c>
      <c r="J74" s="18">
        <v>1.0</v>
      </c>
      <c r="K74" s="18">
        <v>6.0</v>
      </c>
      <c r="L74" s="16">
        <f t="shared" si="3"/>
        <v>0.375</v>
      </c>
    </row>
    <row r="75" ht="15.75" hidden="1" customHeight="1">
      <c r="A75" s="6"/>
      <c r="B75" s="6" t="s">
        <v>217</v>
      </c>
      <c r="C75" s="20" t="s">
        <v>52</v>
      </c>
      <c r="D75" s="12">
        <v>17.0</v>
      </c>
      <c r="E75" s="11">
        <f t="shared" si="7"/>
        <v>0.1042944785</v>
      </c>
      <c r="F75" s="11">
        <f t="shared" si="2"/>
        <v>0.009052183174</v>
      </c>
      <c r="G75" s="12">
        <v>11.0</v>
      </c>
      <c r="H75" s="12">
        <v>2.0</v>
      </c>
      <c r="I75" s="12">
        <v>0.0</v>
      </c>
      <c r="J75" s="12">
        <v>1.0</v>
      </c>
      <c r="K75" s="12">
        <v>3.0</v>
      </c>
      <c r="L75" s="11">
        <f t="shared" si="3"/>
        <v>0.6470588235</v>
      </c>
    </row>
    <row r="76" ht="15.75" customHeight="1">
      <c r="A76" s="14"/>
      <c r="B76" s="14" t="s">
        <v>646</v>
      </c>
      <c r="C76" s="19" t="s">
        <v>46</v>
      </c>
      <c r="D76" s="18">
        <v>7.0</v>
      </c>
      <c r="E76" s="16">
        <f t="shared" si="7"/>
        <v>0.04294478528</v>
      </c>
      <c r="F76" s="16">
        <f t="shared" si="2"/>
        <v>0.003727369542</v>
      </c>
      <c r="G76" s="18">
        <v>4.0</v>
      </c>
      <c r="H76" s="18">
        <v>1.0</v>
      </c>
      <c r="I76" s="18">
        <v>0.0</v>
      </c>
      <c r="J76" s="18">
        <v>1.0</v>
      </c>
      <c r="K76" s="18">
        <v>1.0</v>
      </c>
      <c r="L76" s="16">
        <f t="shared" si="3"/>
        <v>0.5714285714</v>
      </c>
    </row>
    <row r="77" ht="15.75" customHeight="1">
      <c r="A77" s="6"/>
      <c r="B77" s="6" t="s">
        <v>572</v>
      </c>
      <c r="C77" s="20" t="s">
        <v>46</v>
      </c>
      <c r="D77" s="12">
        <v>5.0</v>
      </c>
      <c r="E77" s="11">
        <f t="shared" si="7"/>
        <v>0.03067484663</v>
      </c>
      <c r="F77" s="11">
        <f t="shared" si="2"/>
        <v>0.002662406816</v>
      </c>
      <c r="G77" s="12">
        <v>3.0</v>
      </c>
      <c r="H77" s="12">
        <v>1.0</v>
      </c>
      <c r="I77" s="12">
        <v>0.0</v>
      </c>
      <c r="J77" s="12">
        <v>1.0</v>
      </c>
      <c r="K77" s="12">
        <v>0.0</v>
      </c>
      <c r="L77" s="11">
        <f t="shared" si="3"/>
        <v>0.6</v>
      </c>
    </row>
    <row r="78" ht="15.75" hidden="1" customHeight="1">
      <c r="A78" s="14"/>
      <c r="B78" s="14" t="s">
        <v>327</v>
      </c>
      <c r="C78" s="19" t="s">
        <v>49</v>
      </c>
      <c r="D78" s="18">
        <v>5.0</v>
      </c>
      <c r="E78" s="16">
        <f t="shared" si="7"/>
        <v>0.03067484663</v>
      </c>
      <c r="F78" s="16">
        <f t="shared" si="2"/>
        <v>0.002662406816</v>
      </c>
      <c r="G78" s="18">
        <v>2.0</v>
      </c>
      <c r="H78" s="18">
        <v>1.0</v>
      </c>
      <c r="I78" s="18">
        <v>0.0</v>
      </c>
      <c r="J78" s="18">
        <v>1.0</v>
      </c>
      <c r="K78" s="18">
        <v>1.0</v>
      </c>
      <c r="L78" s="16">
        <f t="shared" si="3"/>
        <v>0.4</v>
      </c>
    </row>
    <row r="79" ht="15.75" hidden="1" customHeight="1">
      <c r="A79" s="6"/>
      <c r="B79" s="6" t="s">
        <v>520</v>
      </c>
      <c r="C79" s="20" t="s">
        <v>53</v>
      </c>
      <c r="D79" s="12">
        <v>4.0</v>
      </c>
      <c r="E79" s="11">
        <f t="shared" si="7"/>
        <v>0.0245398773</v>
      </c>
      <c r="F79" s="11">
        <f t="shared" si="2"/>
        <v>0.002129925453</v>
      </c>
      <c r="G79" s="12">
        <v>2.0</v>
      </c>
      <c r="H79" s="12">
        <v>0.0</v>
      </c>
      <c r="I79" s="12">
        <v>0.0</v>
      </c>
      <c r="J79" s="12">
        <v>0.0</v>
      </c>
      <c r="K79" s="12">
        <v>2.0</v>
      </c>
      <c r="L79" s="11">
        <f t="shared" si="3"/>
        <v>0.5</v>
      </c>
    </row>
    <row r="80" ht="15.75" hidden="1" customHeight="1">
      <c r="A80" s="14"/>
      <c r="B80" s="14" t="s">
        <v>196</v>
      </c>
      <c r="C80" s="19" t="s">
        <v>52</v>
      </c>
      <c r="D80" s="18">
        <v>2.0</v>
      </c>
      <c r="E80" s="16">
        <f t="shared" si="7"/>
        <v>0.01226993865</v>
      </c>
      <c r="F80" s="16">
        <f t="shared" si="2"/>
        <v>0.001064962726</v>
      </c>
      <c r="G80" s="18">
        <v>1.0</v>
      </c>
      <c r="H80" s="18">
        <v>0.0</v>
      </c>
      <c r="I80" s="18">
        <v>1.0</v>
      </c>
      <c r="J80" s="18">
        <v>0.0</v>
      </c>
      <c r="K80" s="18">
        <v>0.0</v>
      </c>
      <c r="L80" s="16">
        <f t="shared" si="3"/>
        <v>0.5</v>
      </c>
    </row>
    <row r="81" ht="15.75" hidden="1" customHeight="1">
      <c r="A81" s="6"/>
      <c r="B81" s="6" t="s">
        <v>717</v>
      </c>
      <c r="C81" s="20" t="s">
        <v>57</v>
      </c>
      <c r="D81" s="12">
        <v>1.0</v>
      </c>
      <c r="E81" s="11">
        <f t="shared" si="7"/>
        <v>0.006134969325</v>
      </c>
      <c r="F81" s="11">
        <f t="shared" si="2"/>
        <v>0.0005324813632</v>
      </c>
      <c r="G81" s="12">
        <v>1.0</v>
      </c>
      <c r="H81" s="12">
        <v>0.0</v>
      </c>
      <c r="I81" s="12">
        <v>0.0</v>
      </c>
      <c r="J81" s="12">
        <v>0.0</v>
      </c>
      <c r="K81" s="12">
        <v>0.0</v>
      </c>
      <c r="L81" s="11">
        <f t="shared" si="3"/>
        <v>1</v>
      </c>
    </row>
    <row r="82" ht="15.75" hidden="1" customHeight="1">
      <c r="A82" s="14"/>
      <c r="B82" s="14" t="s">
        <v>114</v>
      </c>
      <c r="C82" s="19" t="s">
        <v>74</v>
      </c>
      <c r="D82" s="18">
        <v>1.0</v>
      </c>
      <c r="E82" s="16">
        <f t="shared" si="7"/>
        <v>0.006134969325</v>
      </c>
      <c r="F82" s="16">
        <f t="shared" si="2"/>
        <v>0.0005324813632</v>
      </c>
      <c r="G82" s="18">
        <v>0.0</v>
      </c>
      <c r="H82" s="18">
        <v>0.0</v>
      </c>
      <c r="I82" s="18">
        <v>0.0</v>
      </c>
      <c r="J82" s="18">
        <v>0.0</v>
      </c>
      <c r="K82" s="18">
        <v>1.0</v>
      </c>
      <c r="L82" s="16">
        <f t="shared" si="3"/>
        <v>0</v>
      </c>
    </row>
    <row r="83" ht="15.75" hidden="1" customHeight="1">
      <c r="A83" s="6"/>
      <c r="B83" s="6" t="s">
        <v>110</v>
      </c>
      <c r="C83" s="20" t="s">
        <v>71</v>
      </c>
      <c r="D83" s="12">
        <v>1.0</v>
      </c>
      <c r="E83" s="11">
        <f t="shared" si="7"/>
        <v>0.006134969325</v>
      </c>
      <c r="F83" s="11">
        <f t="shared" si="2"/>
        <v>0.0005324813632</v>
      </c>
      <c r="G83" s="12">
        <v>0.0</v>
      </c>
      <c r="H83" s="12">
        <v>0.0</v>
      </c>
      <c r="I83" s="12">
        <v>0.0</v>
      </c>
      <c r="J83" s="12">
        <v>0.0</v>
      </c>
      <c r="K83" s="12">
        <v>1.0</v>
      </c>
      <c r="L83" s="11">
        <f t="shared" si="3"/>
        <v>0</v>
      </c>
    </row>
    <row r="84" ht="15.75" hidden="1" customHeight="1">
      <c r="A84" s="14"/>
      <c r="B84" s="14" t="s">
        <v>438</v>
      </c>
      <c r="C84" s="19" t="s">
        <v>34</v>
      </c>
      <c r="D84" s="18">
        <v>1.0</v>
      </c>
      <c r="E84" s="16">
        <f t="shared" si="7"/>
        <v>0.006134969325</v>
      </c>
      <c r="F84" s="16">
        <f t="shared" si="2"/>
        <v>0.0005324813632</v>
      </c>
      <c r="G84" s="18">
        <v>1.0</v>
      </c>
      <c r="H84" s="18">
        <v>0.0</v>
      </c>
      <c r="I84" s="18">
        <v>0.0</v>
      </c>
      <c r="J84" s="18">
        <v>0.0</v>
      </c>
      <c r="K84" s="18">
        <v>0.0</v>
      </c>
      <c r="L84" s="16">
        <f t="shared" si="3"/>
        <v>1</v>
      </c>
    </row>
    <row r="85" ht="15.75" hidden="1" customHeight="1">
      <c r="A85" s="8" t="s">
        <v>59</v>
      </c>
      <c r="B85" s="8" t="s">
        <v>373</v>
      </c>
      <c r="C85" s="9" t="s">
        <v>34</v>
      </c>
      <c r="D85" s="10">
        <v>35.0</v>
      </c>
      <c r="E85" s="13">
        <f t="shared" ref="E85:E92" si="8">D85/110</f>
        <v>0.3181818182</v>
      </c>
      <c r="F85" s="13">
        <f t="shared" si="2"/>
        <v>0.01863684771</v>
      </c>
      <c r="G85" s="10">
        <v>29.0</v>
      </c>
      <c r="H85" s="10">
        <v>0.0</v>
      </c>
      <c r="I85" s="10">
        <v>0.0</v>
      </c>
      <c r="J85" s="10">
        <v>0.0</v>
      </c>
      <c r="K85" s="10">
        <v>6.0</v>
      </c>
      <c r="L85" s="13">
        <f t="shared" si="3"/>
        <v>0.8285714286</v>
      </c>
    </row>
    <row r="86" ht="15.75" hidden="1" customHeight="1">
      <c r="A86" s="14"/>
      <c r="B86" s="14" t="s">
        <v>113</v>
      </c>
      <c r="C86" s="19" t="s">
        <v>49</v>
      </c>
      <c r="D86" s="18">
        <v>33.0</v>
      </c>
      <c r="E86" s="16">
        <f t="shared" si="8"/>
        <v>0.3</v>
      </c>
      <c r="F86" s="16">
        <f t="shared" si="2"/>
        <v>0.01757188498</v>
      </c>
      <c r="G86" s="18">
        <v>15.0</v>
      </c>
      <c r="H86" s="18">
        <v>5.0</v>
      </c>
      <c r="I86" s="18">
        <v>0.0</v>
      </c>
      <c r="J86" s="18">
        <v>0.0</v>
      </c>
      <c r="K86" s="18">
        <v>13.0</v>
      </c>
      <c r="L86" s="16">
        <f t="shared" si="3"/>
        <v>0.4545454545</v>
      </c>
    </row>
    <row r="87" ht="15.75" hidden="1" customHeight="1">
      <c r="A87" s="6"/>
      <c r="B87" s="6" t="s">
        <v>117</v>
      </c>
      <c r="C87" s="20" t="s">
        <v>34</v>
      </c>
      <c r="D87" s="12">
        <v>24.0</v>
      </c>
      <c r="E87" s="11">
        <f t="shared" si="8"/>
        <v>0.2181818182</v>
      </c>
      <c r="F87" s="11">
        <f t="shared" si="2"/>
        <v>0.01277955272</v>
      </c>
      <c r="G87" s="12">
        <v>12.0</v>
      </c>
      <c r="H87" s="12">
        <v>3.0</v>
      </c>
      <c r="I87" s="12">
        <v>0.0</v>
      </c>
      <c r="J87" s="12">
        <v>1.0</v>
      </c>
      <c r="K87" s="12">
        <v>8.0</v>
      </c>
      <c r="L87" s="11">
        <f t="shared" si="3"/>
        <v>0.5</v>
      </c>
    </row>
    <row r="88" ht="15.75" hidden="1" customHeight="1">
      <c r="A88" s="14"/>
      <c r="B88" s="14" t="s">
        <v>127</v>
      </c>
      <c r="C88" s="19" t="s">
        <v>53</v>
      </c>
      <c r="D88" s="18">
        <v>10.0</v>
      </c>
      <c r="E88" s="16">
        <f t="shared" si="8"/>
        <v>0.09090909091</v>
      </c>
      <c r="F88" s="16">
        <f t="shared" si="2"/>
        <v>0.005324813632</v>
      </c>
      <c r="G88" s="18">
        <v>5.0</v>
      </c>
      <c r="H88" s="18">
        <v>1.0</v>
      </c>
      <c r="I88" s="18">
        <v>1.0</v>
      </c>
      <c r="J88" s="18">
        <v>1.0</v>
      </c>
      <c r="K88" s="18">
        <v>2.0</v>
      </c>
      <c r="L88" s="16">
        <f t="shared" si="3"/>
        <v>0.5</v>
      </c>
    </row>
    <row r="89" ht="15.75" customHeight="1">
      <c r="A89" s="6"/>
      <c r="B89" s="6" t="s">
        <v>810</v>
      </c>
      <c r="C89" s="20" t="s">
        <v>46</v>
      </c>
      <c r="D89" s="12">
        <v>3.0</v>
      </c>
      <c r="E89" s="11">
        <f t="shared" si="8"/>
        <v>0.02727272727</v>
      </c>
      <c r="F89" s="11">
        <f t="shared" si="2"/>
        <v>0.001597444089</v>
      </c>
      <c r="G89" s="12">
        <v>2.0</v>
      </c>
      <c r="H89" s="12">
        <v>1.0</v>
      </c>
      <c r="I89" s="12">
        <v>0.0</v>
      </c>
      <c r="J89" s="12">
        <v>0.0</v>
      </c>
      <c r="K89" s="12">
        <v>0.0</v>
      </c>
      <c r="L89" s="11">
        <f t="shared" si="3"/>
        <v>0.6666666667</v>
      </c>
    </row>
    <row r="90" ht="15.75" hidden="1" customHeight="1">
      <c r="A90" s="14"/>
      <c r="B90" s="14" t="s">
        <v>656</v>
      </c>
      <c r="C90" s="19" t="s">
        <v>57</v>
      </c>
      <c r="D90" s="18">
        <v>2.0</v>
      </c>
      <c r="E90" s="16">
        <f t="shared" si="8"/>
        <v>0.01818181818</v>
      </c>
      <c r="F90" s="16">
        <f t="shared" si="2"/>
        <v>0.001064962726</v>
      </c>
      <c r="G90" s="18">
        <v>1.0</v>
      </c>
      <c r="H90" s="18">
        <v>0.0</v>
      </c>
      <c r="I90" s="18">
        <v>0.0</v>
      </c>
      <c r="J90" s="18">
        <v>0.0</v>
      </c>
      <c r="K90" s="18">
        <v>1.0</v>
      </c>
      <c r="L90" s="16">
        <f t="shared" si="3"/>
        <v>0.5</v>
      </c>
    </row>
    <row r="91" ht="15.75" hidden="1" customHeight="1">
      <c r="A91" s="6"/>
      <c r="B91" s="6" t="s">
        <v>438</v>
      </c>
      <c r="C91" s="20" t="s">
        <v>34</v>
      </c>
      <c r="D91" s="12">
        <v>2.0</v>
      </c>
      <c r="E91" s="11">
        <f t="shared" si="8"/>
        <v>0.01818181818</v>
      </c>
      <c r="F91" s="11">
        <f t="shared" si="2"/>
        <v>0.001064962726</v>
      </c>
      <c r="G91" s="12">
        <v>1.0</v>
      </c>
      <c r="H91" s="12">
        <v>0.0</v>
      </c>
      <c r="I91" s="12">
        <v>1.0</v>
      </c>
      <c r="J91" s="12">
        <v>0.0</v>
      </c>
      <c r="K91" s="12">
        <v>0.0</v>
      </c>
      <c r="L91" s="11">
        <f t="shared" si="3"/>
        <v>0.5</v>
      </c>
    </row>
    <row r="92" ht="15.75" customHeight="1">
      <c r="A92" s="14"/>
      <c r="B92" s="14" t="s">
        <v>843</v>
      </c>
      <c r="C92" s="19" t="s">
        <v>46</v>
      </c>
      <c r="D92" s="18">
        <v>1.0</v>
      </c>
      <c r="E92" s="16">
        <f t="shared" si="8"/>
        <v>0.009090909091</v>
      </c>
      <c r="F92" s="16">
        <f t="shared" si="2"/>
        <v>0.0005324813632</v>
      </c>
      <c r="G92" s="18">
        <v>1.0</v>
      </c>
      <c r="H92" s="18">
        <v>0.0</v>
      </c>
      <c r="I92" s="18">
        <v>0.0</v>
      </c>
      <c r="J92" s="18">
        <v>0.0</v>
      </c>
      <c r="K92" s="18">
        <v>0.0</v>
      </c>
      <c r="L92" s="16">
        <f t="shared" si="3"/>
        <v>1</v>
      </c>
    </row>
    <row r="93" ht="15.75" hidden="1" customHeight="1">
      <c r="A93" s="8" t="s">
        <v>62</v>
      </c>
      <c r="B93" s="8" t="s">
        <v>119</v>
      </c>
      <c r="C93" s="9" t="s">
        <v>57</v>
      </c>
      <c r="D93" s="10">
        <v>22.0</v>
      </c>
      <c r="E93" s="13">
        <f t="shared" ref="E93:E106" si="9">D93/107</f>
        <v>0.2056074766</v>
      </c>
      <c r="F93" s="13">
        <f t="shared" si="2"/>
        <v>0.01171458999</v>
      </c>
      <c r="G93" s="10">
        <v>11.0</v>
      </c>
      <c r="H93" s="10">
        <v>5.0</v>
      </c>
      <c r="I93" s="10">
        <v>1.0</v>
      </c>
      <c r="J93" s="10">
        <v>2.0</v>
      </c>
      <c r="K93" s="10">
        <v>3.0</v>
      </c>
      <c r="L93" s="13">
        <f t="shared" si="3"/>
        <v>0.5</v>
      </c>
    </row>
    <row r="94" ht="15.75" hidden="1" customHeight="1">
      <c r="A94" s="14"/>
      <c r="B94" s="14" t="s">
        <v>111</v>
      </c>
      <c r="C94" s="19" t="s">
        <v>49</v>
      </c>
      <c r="D94" s="18">
        <v>18.0</v>
      </c>
      <c r="E94" s="16">
        <f t="shared" si="9"/>
        <v>0.1682242991</v>
      </c>
      <c r="F94" s="16">
        <f t="shared" si="2"/>
        <v>0.009584664537</v>
      </c>
      <c r="G94" s="18">
        <v>8.0</v>
      </c>
      <c r="H94" s="18">
        <v>4.0</v>
      </c>
      <c r="I94" s="18">
        <v>0.0</v>
      </c>
      <c r="J94" s="18">
        <v>0.0</v>
      </c>
      <c r="K94" s="18">
        <v>6.0</v>
      </c>
      <c r="L94" s="16">
        <f t="shared" si="3"/>
        <v>0.4444444444</v>
      </c>
    </row>
    <row r="95" ht="15.75" customHeight="1">
      <c r="A95" s="6"/>
      <c r="B95" s="6" t="s">
        <v>261</v>
      </c>
      <c r="C95" s="20" t="s">
        <v>46</v>
      </c>
      <c r="D95" s="12">
        <v>14.0</v>
      </c>
      <c r="E95" s="11">
        <f t="shared" si="9"/>
        <v>0.1308411215</v>
      </c>
      <c r="F95" s="11">
        <f t="shared" si="2"/>
        <v>0.007454739084</v>
      </c>
      <c r="G95" s="12">
        <v>10.0</v>
      </c>
      <c r="H95" s="12">
        <v>2.0</v>
      </c>
      <c r="I95" s="12">
        <v>0.0</v>
      </c>
      <c r="J95" s="12">
        <v>0.0</v>
      </c>
      <c r="K95" s="12">
        <v>2.0</v>
      </c>
      <c r="L95" s="11">
        <f t="shared" si="3"/>
        <v>0.7142857143</v>
      </c>
    </row>
    <row r="96" ht="15.75" customHeight="1">
      <c r="A96" s="14"/>
      <c r="B96" s="14" t="s">
        <v>107</v>
      </c>
      <c r="C96" s="19" t="s">
        <v>46</v>
      </c>
      <c r="D96" s="18">
        <v>12.0</v>
      </c>
      <c r="E96" s="16">
        <f t="shared" si="9"/>
        <v>0.1121495327</v>
      </c>
      <c r="F96" s="16">
        <f t="shared" si="2"/>
        <v>0.006389776358</v>
      </c>
      <c r="G96" s="18">
        <v>5.0</v>
      </c>
      <c r="H96" s="18">
        <v>3.0</v>
      </c>
      <c r="I96" s="18">
        <v>1.0</v>
      </c>
      <c r="J96" s="18">
        <v>1.0</v>
      </c>
      <c r="K96" s="18">
        <v>2.0</v>
      </c>
      <c r="L96" s="16">
        <f t="shared" si="3"/>
        <v>0.4166666667</v>
      </c>
    </row>
    <row r="97" ht="15.75" hidden="1" customHeight="1">
      <c r="A97" s="6"/>
      <c r="B97" s="6" t="s">
        <v>212</v>
      </c>
      <c r="C97" s="20" t="s">
        <v>34</v>
      </c>
      <c r="D97" s="12">
        <v>11.0</v>
      </c>
      <c r="E97" s="11">
        <f t="shared" si="9"/>
        <v>0.1028037383</v>
      </c>
      <c r="F97" s="11">
        <f t="shared" si="2"/>
        <v>0.005857294995</v>
      </c>
      <c r="G97" s="12">
        <v>7.0</v>
      </c>
      <c r="H97" s="12">
        <v>3.0</v>
      </c>
      <c r="I97" s="12">
        <v>0.0</v>
      </c>
      <c r="J97" s="12">
        <v>0.0</v>
      </c>
      <c r="K97" s="12">
        <v>1.0</v>
      </c>
      <c r="L97" s="11">
        <f t="shared" si="3"/>
        <v>0.6363636364</v>
      </c>
    </row>
    <row r="98" ht="15.75" customHeight="1">
      <c r="A98" s="14"/>
      <c r="B98" s="14" t="s">
        <v>105</v>
      </c>
      <c r="C98" s="19" t="s">
        <v>46</v>
      </c>
      <c r="D98" s="18">
        <v>10.0</v>
      </c>
      <c r="E98" s="16">
        <f t="shared" si="9"/>
        <v>0.09345794393</v>
      </c>
      <c r="F98" s="16">
        <f t="shared" si="2"/>
        <v>0.005324813632</v>
      </c>
      <c r="G98" s="18">
        <v>4.0</v>
      </c>
      <c r="H98" s="18">
        <v>1.0</v>
      </c>
      <c r="I98" s="18">
        <v>0.0</v>
      </c>
      <c r="J98" s="18">
        <v>0.0</v>
      </c>
      <c r="K98" s="18">
        <v>5.0</v>
      </c>
      <c r="L98" s="16">
        <f t="shared" si="3"/>
        <v>0.4</v>
      </c>
    </row>
    <row r="99" ht="15.75" hidden="1" customHeight="1">
      <c r="A99" s="6"/>
      <c r="B99" s="6" t="s">
        <v>940</v>
      </c>
      <c r="C99" s="20" t="s">
        <v>61</v>
      </c>
      <c r="D99" s="12">
        <v>5.0</v>
      </c>
      <c r="E99" s="11">
        <f t="shared" si="9"/>
        <v>0.04672897196</v>
      </c>
      <c r="F99" s="11">
        <f t="shared" si="2"/>
        <v>0.002662406816</v>
      </c>
      <c r="G99" s="12">
        <v>3.0</v>
      </c>
      <c r="H99" s="12">
        <v>0.0</v>
      </c>
      <c r="I99" s="12">
        <v>0.0</v>
      </c>
      <c r="J99" s="12">
        <v>0.0</v>
      </c>
      <c r="K99" s="12">
        <v>2.0</v>
      </c>
      <c r="L99" s="11">
        <f t="shared" si="3"/>
        <v>0.6</v>
      </c>
    </row>
    <row r="100" ht="15.75" customHeight="1">
      <c r="A100" s="14"/>
      <c r="B100" s="14" t="s">
        <v>399</v>
      </c>
      <c r="C100" s="19" t="s">
        <v>46</v>
      </c>
      <c r="D100" s="18">
        <v>4.0</v>
      </c>
      <c r="E100" s="16">
        <f t="shared" si="9"/>
        <v>0.03738317757</v>
      </c>
      <c r="F100" s="16">
        <f t="shared" si="2"/>
        <v>0.002129925453</v>
      </c>
      <c r="G100" s="18">
        <v>0.0</v>
      </c>
      <c r="H100" s="18">
        <v>1.0</v>
      </c>
      <c r="I100" s="18">
        <v>1.0</v>
      </c>
      <c r="J100" s="18">
        <v>0.0</v>
      </c>
      <c r="K100" s="18">
        <v>2.0</v>
      </c>
      <c r="L100" s="16">
        <f t="shared" si="3"/>
        <v>0</v>
      </c>
    </row>
    <row r="101" ht="15.75" hidden="1" customHeight="1">
      <c r="A101" s="6"/>
      <c r="B101" s="6" t="s">
        <v>970</v>
      </c>
      <c r="C101" s="20" t="s">
        <v>34</v>
      </c>
      <c r="D101" s="12">
        <v>4.0</v>
      </c>
      <c r="E101" s="11">
        <f t="shared" si="9"/>
        <v>0.03738317757</v>
      </c>
      <c r="F101" s="11">
        <f t="shared" si="2"/>
        <v>0.002129925453</v>
      </c>
      <c r="G101" s="12">
        <v>2.0</v>
      </c>
      <c r="H101" s="12">
        <v>1.0</v>
      </c>
      <c r="I101" s="12">
        <v>0.0</v>
      </c>
      <c r="J101" s="12">
        <v>0.0</v>
      </c>
      <c r="K101" s="12">
        <v>1.0</v>
      </c>
      <c r="L101" s="11">
        <f t="shared" si="3"/>
        <v>0.5</v>
      </c>
    </row>
    <row r="102" ht="15.75" hidden="1" customHeight="1">
      <c r="A102" s="14"/>
      <c r="B102" s="14" t="s">
        <v>983</v>
      </c>
      <c r="C102" s="19" t="s">
        <v>61</v>
      </c>
      <c r="D102" s="18">
        <v>3.0</v>
      </c>
      <c r="E102" s="16">
        <f t="shared" si="9"/>
        <v>0.02803738318</v>
      </c>
      <c r="F102" s="16">
        <f t="shared" si="2"/>
        <v>0.001597444089</v>
      </c>
      <c r="G102" s="18">
        <v>2.0</v>
      </c>
      <c r="H102" s="18">
        <v>1.0</v>
      </c>
      <c r="I102" s="18">
        <v>0.0</v>
      </c>
      <c r="J102" s="18">
        <v>0.0</v>
      </c>
      <c r="K102" s="18">
        <v>0.0</v>
      </c>
      <c r="L102" s="16">
        <f t="shared" si="3"/>
        <v>0.6666666667</v>
      </c>
    </row>
    <row r="103" ht="15.75" hidden="1" customHeight="1">
      <c r="A103" s="6"/>
      <c r="B103" s="6" t="s">
        <v>114</v>
      </c>
      <c r="C103" s="20" t="s">
        <v>74</v>
      </c>
      <c r="D103" s="12">
        <v>1.0</v>
      </c>
      <c r="E103" s="11">
        <f t="shared" si="9"/>
        <v>0.009345794393</v>
      </c>
      <c r="F103" s="11">
        <f t="shared" si="2"/>
        <v>0.0005324813632</v>
      </c>
      <c r="G103" s="12">
        <v>0.0</v>
      </c>
      <c r="H103" s="12">
        <v>0.0</v>
      </c>
      <c r="I103" s="12">
        <v>1.0</v>
      </c>
      <c r="J103" s="12">
        <v>0.0</v>
      </c>
      <c r="K103" s="12">
        <v>0.0</v>
      </c>
      <c r="L103" s="11">
        <f t="shared" si="3"/>
        <v>0</v>
      </c>
    </row>
    <row r="104" ht="15.75" hidden="1" customHeight="1">
      <c r="A104" s="14"/>
      <c r="B104" s="14" t="s">
        <v>110</v>
      </c>
      <c r="C104" s="19" t="s">
        <v>71</v>
      </c>
      <c r="D104" s="18">
        <v>1.0</v>
      </c>
      <c r="E104" s="16">
        <f t="shared" si="9"/>
        <v>0.009345794393</v>
      </c>
      <c r="F104" s="16">
        <f t="shared" si="2"/>
        <v>0.0005324813632</v>
      </c>
      <c r="G104" s="18">
        <v>0.0</v>
      </c>
      <c r="H104" s="18">
        <v>0.0</v>
      </c>
      <c r="I104" s="18">
        <v>0.0</v>
      </c>
      <c r="J104" s="18">
        <v>0.0</v>
      </c>
      <c r="K104" s="18">
        <v>1.0</v>
      </c>
      <c r="L104" s="16">
        <f t="shared" si="3"/>
        <v>0</v>
      </c>
    </row>
    <row r="105" ht="15.75" hidden="1" customHeight="1">
      <c r="A105" s="6"/>
      <c r="B105" s="6" t="s">
        <v>1001</v>
      </c>
      <c r="C105" s="20" t="s">
        <v>53</v>
      </c>
      <c r="D105" s="12">
        <v>1.0</v>
      </c>
      <c r="E105" s="11">
        <f t="shared" si="9"/>
        <v>0.009345794393</v>
      </c>
      <c r="F105" s="11">
        <f t="shared" si="2"/>
        <v>0.0005324813632</v>
      </c>
      <c r="G105" s="12">
        <v>1.0</v>
      </c>
      <c r="H105" s="12">
        <v>0.0</v>
      </c>
      <c r="I105" s="12">
        <v>0.0</v>
      </c>
      <c r="J105" s="12">
        <v>0.0</v>
      </c>
      <c r="K105" s="12">
        <v>0.0</v>
      </c>
      <c r="L105" s="11">
        <f t="shared" si="3"/>
        <v>1</v>
      </c>
    </row>
    <row r="106" ht="15.75" hidden="1" customHeight="1">
      <c r="A106" s="14"/>
      <c r="B106" s="14" t="s">
        <v>1007</v>
      </c>
      <c r="C106" s="19" t="s">
        <v>49</v>
      </c>
      <c r="D106" s="18">
        <v>1.0</v>
      </c>
      <c r="E106" s="16">
        <f t="shared" si="9"/>
        <v>0.009345794393</v>
      </c>
      <c r="F106" s="16">
        <f t="shared" si="2"/>
        <v>0.0005324813632</v>
      </c>
      <c r="G106" s="18">
        <v>1.0</v>
      </c>
      <c r="H106" s="18">
        <v>0.0</v>
      </c>
      <c r="I106" s="18">
        <v>0.0</v>
      </c>
      <c r="J106" s="18">
        <v>0.0</v>
      </c>
      <c r="K106" s="18">
        <v>0.0</v>
      </c>
      <c r="L106" s="16">
        <f t="shared" si="3"/>
        <v>1</v>
      </c>
    </row>
    <row r="107" ht="15.75" hidden="1" customHeight="1">
      <c r="A107" s="8" t="s">
        <v>69</v>
      </c>
      <c r="B107" s="8" t="s">
        <v>197</v>
      </c>
      <c r="C107" s="9" t="s">
        <v>34</v>
      </c>
      <c r="D107" s="10">
        <v>21.0</v>
      </c>
      <c r="E107" s="13">
        <f t="shared" ref="E107:E117" si="10">D107/99</f>
        <v>0.2121212121</v>
      </c>
      <c r="F107" s="13">
        <f t="shared" si="2"/>
        <v>0.01118210863</v>
      </c>
      <c r="G107" s="10">
        <v>13.0</v>
      </c>
      <c r="H107" s="10">
        <v>0.0</v>
      </c>
      <c r="I107" s="10">
        <v>1.0</v>
      </c>
      <c r="J107" s="10">
        <v>0.0</v>
      </c>
      <c r="K107" s="10">
        <v>7.0</v>
      </c>
      <c r="L107" s="13">
        <f t="shared" si="3"/>
        <v>0.619047619</v>
      </c>
    </row>
    <row r="108" ht="15.75" customHeight="1">
      <c r="A108" s="14"/>
      <c r="B108" s="14" t="s">
        <v>83</v>
      </c>
      <c r="C108" s="19" t="s">
        <v>46</v>
      </c>
      <c r="D108" s="18">
        <v>21.0</v>
      </c>
      <c r="E108" s="16">
        <f t="shared" si="10"/>
        <v>0.2121212121</v>
      </c>
      <c r="F108" s="16">
        <f t="shared" si="2"/>
        <v>0.01118210863</v>
      </c>
      <c r="G108" s="18">
        <v>7.0</v>
      </c>
      <c r="H108" s="18">
        <v>5.0</v>
      </c>
      <c r="I108" s="18">
        <v>1.0</v>
      </c>
      <c r="J108" s="18">
        <v>0.0</v>
      </c>
      <c r="K108" s="18">
        <v>8.0</v>
      </c>
      <c r="L108" s="16">
        <f t="shared" si="3"/>
        <v>0.3333333333</v>
      </c>
    </row>
    <row r="109" ht="15.75" hidden="1" customHeight="1">
      <c r="A109" s="6"/>
      <c r="B109" s="6" t="s">
        <v>86</v>
      </c>
      <c r="C109" s="20" t="s">
        <v>34</v>
      </c>
      <c r="D109" s="12">
        <v>12.0</v>
      </c>
      <c r="E109" s="11">
        <f t="shared" si="10"/>
        <v>0.1212121212</v>
      </c>
      <c r="F109" s="11">
        <f t="shared" si="2"/>
        <v>0.006389776358</v>
      </c>
      <c r="G109" s="12">
        <v>4.0</v>
      </c>
      <c r="H109" s="12">
        <v>0.0</v>
      </c>
      <c r="I109" s="12">
        <v>2.0</v>
      </c>
      <c r="J109" s="12">
        <v>0.0</v>
      </c>
      <c r="K109" s="12">
        <v>6.0</v>
      </c>
      <c r="L109" s="11">
        <f t="shared" si="3"/>
        <v>0.3333333333</v>
      </c>
    </row>
    <row r="110" ht="15.75" hidden="1" customHeight="1">
      <c r="A110" s="14"/>
      <c r="B110" s="14" t="s">
        <v>115</v>
      </c>
      <c r="C110" s="19" t="s">
        <v>53</v>
      </c>
      <c r="D110" s="18">
        <v>11.0</v>
      </c>
      <c r="E110" s="16">
        <f t="shared" si="10"/>
        <v>0.1111111111</v>
      </c>
      <c r="F110" s="16">
        <f t="shared" si="2"/>
        <v>0.005857294995</v>
      </c>
      <c r="G110" s="18">
        <v>5.0</v>
      </c>
      <c r="H110" s="18">
        <v>4.0</v>
      </c>
      <c r="I110" s="18">
        <v>0.0</v>
      </c>
      <c r="J110" s="18">
        <v>0.0</v>
      </c>
      <c r="K110" s="18">
        <v>2.0</v>
      </c>
      <c r="L110" s="16">
        <f t="shared" si="3"/>
        <v>0.4545454545</v>
      </c>
    </row>
    <row r="111" ht="15.75" customHeight="1">
      <c r="A111" s="6"/>
      <c r="B111" s="6" t="s">
        <v>888</v>
      </c>
      <c r="C111" s="20" t="s">
        <v>46</v>
      </c>
      <c r="D111" s="12">
        <v>8.0</v>
      </c>
      <c r="E111" s="11">
        <f t="shared" si="10"/>
        <v>0.08080808081</v>
      </c>
      <c r="F111" s="11">
        <f t="shared" si="2"/>
        <v>0.004259850905</v>
      </c>
      <c r="G111" s="12">
        <v>4.0</v>
      </c>
      <c r="H111" s="12">
        <v>0.0</v>
      </c>
      <c r="I111" s="12">
        <v>0.0</v>
      </c>
      <c r="J111" s="12">
        <v>0.0</v>
      </c>
      <c r="K111" s="12">
        <v>4.0</v>
      </c>
      <c r="L111" s="11">
        <f t="shared" si="3"/>
        <v>0.5</v>
      </c>
    </row>
    <row r="112" ht="15.75" hidden="1" customHeight="1">
      <c r="A112" s="14"/>
      <c r="B112" s="14" t="s">
        <v>1060</v>
      </c>
      <c r="C112" s="19" t="s">
        <v>49</v>
      </c>
      <c r="D112" s="18">
        <v>8.0</v>
      </c>
      <c r="E112" s="16">
        <f t="shared" si="10"/>
        <v>0.08080808081</v>
      </c>
      <c r="F112" s="16">
        <f t="shared" si="2"/>
        <v>0.004259850905</v>
      </c>
      <c r="G112" s="18">
        <v>3.0</v>
      </c>
      <c r="H112" s="18">
        <v>3.0</v>
      </c>
      <c r="I112" s="18">
        <v>0.0</v>
      </c>
      <c r="J112" s="18">
        <v>0.0</v>
      </c>
      <c r="K112" s="18">
        <v>2.0</v>
      </c>
      <c r="L112" s="16">
        <f t="shared" si="3"/>
        <v>0.375</v>
      </c>
    </row>
    <row r="113" ht="15.75" hidden="1" customHeight="1">
      <c r="A113" s="6"/>
      <c r="B113" s="6" t="s">
        <v>1070</v>
      </c>
      <c r="C113" s="20" t="s">
        <v>34</v>
      </c>
      <c r="D113" s="12">
        <v>5.0</v>
      </c>
      <c r="E113" s="11">
        <f t="shared" si="10"/>
        <v>0.05050505051</v>
      </c>
      <c r="F113" s="11">
        <f t="shared" si="2"/>
        <v>0.002662406816</v>
      </c>
      <c r="G113" s="12">
        <v>5.0</v>
      </c>
      <c r="H113" s="12">
        <v>0.0</v>
      </c>
      <c r="I113" s="12">
        <v>0.0</v>
      </c>
      <c r="J113" s="12">
        <v>0.0</v>
      </c>
      <c r="K113" s="12">
        <v>0.0</v>
      </c>
      <c r="L113" s="11">
        <f t="shared" si="3"/>
        <v>1</v>
      </c>
    </row>
    <row r="114" ht="15.75" hidden="1" customHeight="1">
      <c r="A114" s="14"/>
      <c r="B114" s="14" t="s">
        <v>1081</v>
      </c>
      <c r="C114" s="19" t="s">
        <v>34</v>
      </c>
      <c r="D114" s="18">
        <v>5.0</v>
      </c>
      <c r="E114" s="16">
        <f t="shared" si="10"/>
        <v>0.05050505051</v>
      </c>
      <c r="F114" s="16">
        <f t="shared" si="2"/>
        <v>0.002662406816</v>
      </c>
      <c r="G114" s="18">
        <v>4.0</v>
      </c>
      <c r="H114" s="18">
        <v>1.0</v>
      </c>
      <c r="I114" s="18">
        <v>0.0</v>
      </c>
      <c r="J114" s="18">
        <v>0.0</v>
      </c>
      <c r="K114" s="18">
        <v>0.0</v>
      </c>
      <c r="L114" s="16">
        <f t="shared" si="3"/>
        <v>0.8</v>
      </c>
    </row>
    <row r="115" ht="15.75" customHeight="1">
      <c r="A115" s="6"/>
      <c r="B115" s="6" t="s">
        <v>1095</v>
      </c>
      <c r="C115" s="20" t="s">
        <v>46</v>
      </c>
      <c r="D115" s="12">
        <v>4.0</v>
      </c>
      <c r="E115" s="11">
        <f t="shared" si="10"/>
        <v>0.0404040404</v>
      </c>
      <c r="F115" s="11">
        <f t="shared" si="2"/>
        <v>0.002129925453</v>
      </c>
      <c r="G115" s="12">
        <v>3.0</v>
      </c>
      <c r="H115" s="12">
        <v>1.0</v>
      </c>
      <c r="I115" s="12">
        <v>0.0</v>
      </c>
      <c r="J115" s="12">
        <v>0.0</v>
      </c>
      <c r="K115" s="12">
        <v>0.0</v>
      </c>
      <c r="L115" s="11">
        <f t="shared" si="3"/>
        <v>0.75</v>
      </c>
    </row>
    <row r="116" ht="15.75" hidden="1" customHeight="1">
      <c r="A116" s="14"/>
      <c r="B116" s="14" t="s">
        <v>110</v>
      </c>
      <c r="C116" s="19" t="s">
        <v>71</v>
      </c>
      <c r="D116" s="18">
        <v>3.0</v>
      </c>
      <c r="E116" s="16">
        <f t="shared" si="10"/>
        <v>0.0303030303</v>
      </c>
      <c r="F116" s="16">
        <f t="shared" si="2"/>
        <v>0.001597444089</v>
      </c>
      <c r="G116" s="18">
        <v>0.0</v>
      </c>
      <c r="H116" s="18">
        <v>0.0</v>
      </c>
      <c r="I116" s="18">
        <v>0.0</v>
      </c>
      <c r="J116" s="18">
        <v>0.0</v>
      </c>
      <c r="K116" s="18">
        <v>3.0</v>
      </c>
      <c r="L116" s="16">
        <f t="shared" si="3"/>
        <v>0</v>
      </c>
    </row>
    <row r="117" ht="15.75" hidden="1" customHeight="1">
      <c r="A117" s="6"/>
      <c r="B117" s="6" t="s">
        <v>1112</v>
      </c>
      <c r="C117" s="20" t="s">
        <v>53</v>
      </c>
      <c r="D117" s="12">
        <v>1.0</v>
      </c>
      <c r="E117" s="11">
        <f t="shared" si="10"/>
        <v>0.0101010101</v>
      </c>
      <c r="F117" s="11">
        <f t="shared" si="2"/>
        <v>0.0005324813632</v>
      </c>
      <c r="G117" s="12">
        <v>1.0</v>
      </c>
      <c r="H117" s="12">
        <v>0.0</v>
      </c>
      <c r="I117" s="12">
        <v>0.0</v>
      </c>
      <c r="J117" s="12">
        <v>0.0</v>
      </c>
      <c r="K117" s="12">
        <v>0.0</v>
      </c>
      <c r="L117" s="11">
        <f t="shared" si="3"/>
        <v>1</v>
      </c>
    </row>
    <row r="118" ht="15.75" hidden="1" customHeight="1">
      <c r="A118" s="8" t="s">
        <v>72</v>
      </c>
      <c r="B118" s="8" t="s">
        <v>90</v>
      </c>
      <c r="C118" s="9" t="s">
        <v>34</v>
      </c>
      <c r="D118" s="10">
        <v>31.0</v>
      </c>
      <c r="E118" s="13">
        <f t="shared" ref="E118:E126" si="11">D118/78</f>
        <v>0.3974358974</v>
      </c>
      <c r="F118" s="13">
        <f t="shared" si="2"/>
        <v>0.01650692226</v>
      </c>
      <c r="G118" s="10">
        <v>11.0</v>
      </c>
      <c r="H118" s="10">
        <v>3.0</v>
      </c>
      <c r="I118" s="10">
        <v>0.0</v>
      </c>
      <c r="J118" s="10">
        <v>1.0</v>
      </c>
      <c r="K118" s="10">
        <v>16.0</v>
      </c>
      <c r="L118" s="13">
        <f t="shared" si="3"/>
        <v>0.3548387097</v>
      </c>
    </row>
    <row r="119" ht="15.75" hidden="1" customHeight="1">
      <c r="A119" s="6"/>
      <c r="B119" s="6" t="s">
        <v>109</v>
      </c>
      <c r="C119" s="20" t="s">
        <v>61</v>
      </c>
      <c r="D119" s="12">
        <v>16.0</v>
      </c>
      <c r="E119" s="11">
        <f t="shared" si="11"/>
        <v>0.2051282051</v>
      </c>
      <c r="F119" s="11">
        <f t="shared" si="2"/>
        <v>0.00851970181</v>
      </c>
      <c r="G119" s="12">
        <v>7.0</v>
      </c>
      <c r="H119" s="12">
        <v>5.0</v>
      </c>
      <c r="I119" s="12">
        <v>0.0</v>
      </c>
      <c r="J119" s="12">
        <v>1.0</v>
      </c>
      <c r="K119" s="12">
        <v>3.0</v>
      </c>
      <c r="L119" s="11">
        <f t="shared" si="3"/>
        <v>0.4375</v>
      </c>
    </row>
    <row r="120" ht="15.75" customHeight="1">
      <c r="A120" s="14"/>
      <c r="B120" s="14" t="s">
        <v>1133</v>
      </c>
      <c r="C120" s="19" t="s">
        <v>46</v>
      </c>
      <c r="D120" s="18">
        <v>9.0</v>
      </c>
      <c r="E120" s="16">
        <f t="shared" si="11"/>
        <v>0.1153846154</v>
      </c>
      <c r="F120" s="16">
        <f t="shared" si="2"/>
        <v>0.004792332268</v>
      </c>
      <c r="G120" s="18">
        <v>4.0</v>
      </c>
      <c r="H120" s="18">
        <v>3.0</v>
      </c>
      <c r="I120" s="18">
        <v>0.0</v>
      </c>
      <c r="J120" s="18">
        <v>0.0</v>
      </c>
      <c r="K120" s="18">
        <v>2.0</v>
      </c>
      <c r="L120" s="16">
        <f t="shared" si="3"/>
        <v>0.4444444444</v>
      </c>
    </row>
    <row r="121" ht="15.75" hidden="1" customHeight="1">
      <c r="A121" s="6"/>
      <c r="B121" s="6" t="s">
        <v>1143</v>
      </c>
      <c r="C121" s="20" t="s">
        <v>61</v>
      </c>
      <c r="D121" s="12">
        <v>6.0</v>
      </c>
      <c r="E121" s="11">
        <f t="shared" si="11"/>
        <v>0.07692307692</v>
      </c>
      <c r="F121" s="11">
        <f t="shared" si="2"/>
        <v>0.003194888179</v>
      </c>
      <c r="G121" s="12">
        <v>3.0</v>
      </c>
      <c r="H121" s="12">
        <v>0.0</v>
      </c>
      <c r="I121" s="12">
        <v>0.0</v>
      </c>
      <c r="J121" s="12">
        <v>2.0</v>
      </c>
      <c r="K121" s="12">
        <v>1.0</v>
      </c>
      <c r="L121" s="11">
        <f t="shared" si="3"/>
        <v>0.5</v>
      </c>
    </row>
    <row r="122" ht="15.75" customHeight="1">
      <c r="A122" s="14"/>
      <c r="B122" s="14" t="s">
        <v>1152</v>
      </c>
      <c r="C122" s="19" t="s">
        <v>46</v>
      </c>
      <c r="D122" s="18">
        <v>6.0</v>
      </c>
      <c r="E122" s="16">
        <f t="shared" si="11"/>
        <v>0.07692307692</v>
      </c>
      <c r="F122" s="16">
        <f t="shared" si="2"/>
        <v>0.003194888179</v>
      </c>
      <c r="G122" s="18">
        <v>3.0</v>
      </c>
      <c r="H122" s="18">
        <v>0.0</v>
      </c>
      <c r="I122" s="18">
        <v>1.0</v>
      </c>
      <c r="J122" s="18">
        <v>0.0</v>
      </c>
      <c r="K122" s="18">
        <v>2.0</v>
      </c>
      <c r="L122" s="16">
        <f t="shared" si="3"/>
        <v>0.5</v>
      </c>
    </row>
    <row r="123" ht="15.75" customHeight="1">
      <c r="A123" s="6"/>
      <c r="B123" s="6" t="s">
        <v>1162</v>
      </c>
      <c r="C123" s="20" t="s">
        <v>46</v>
      </c>
      <c r="D123" s="12">
        <v>6.0</v>
      </c>
      <c r="E123" s="11">
        <f t="shared" si="11"/>
        <v>0.07692307692</v>
      </c>
      <c r="F123" s="11">
        <f t="shared" si="2"/>
        <v>0.003194888179</v>
      </c>
      <c r="G123" s="12">
        <v>2.0</v>
      </c>
      <c r="H123" s="12">
        <v>1.0</v>
      </c>
      <c r="I123" s="12">
        <v>0.0</v>
      </c>
      <c r="J123" s="12">
        <v>1.0</v>
      </c>
      <c r="K123" s="12">
        <v>2.0</v>
      </c>
      <c r="L123" s="11">
        <f t="shared" si="3"/>
        <v>0.3333333333</v>
      </c>
    </row>
    <row r="124" ht="15.75" hidden="1" customHeight="1">
      <c r="A124" s="14"/>
      <c r="B124" s="14" t="s">
        <v>110</v>
      </c>
      <c r="C124" s="19" t="s">
        <v>71</v>
      </c>
      <c r="D124" s="18">
        <v>2.0</v>
      </c>
      <c r="E124" s="16">
        <f t="shared" si="11"/>
        <v>0.02564102564</v>
      </c>
      <c r="F124" s="16">
        <f t="shared" si="2"/>
        <v>0.001064962726</v>
      </c>
      <c r="G124" s="18">
        <v>2.0</v>
      </c>
      <c r="H124" s="18">
        <v>0.0</v>
      </c>
      <c r="I124" s="18">
        <v>0.0</v>
      </c>
      <c r="J124" s="18">
        <v>0.0</v>
      </c>
      <c r="K124" s="18">
        <v>0.0</v>
      </c>
      <c r="L124" s="16">
        <f t="shared" si="3"/>
        <v>1</v>
      </c>
    </row>
    <row r="125" ht="15.75" customHeight="1">
      <c r="A125" s="6"/>
      <c r="B125" s="6" t="s">
        <v>118</v>
      </c>
      <c r="C125" s="20" t="s">
        <v>46</v>
      </c>
      <c r="D125" s="12">
        <v>1.0</v>
      </c>
      <c r="E125" s="11">
        <f t="shared" si="11"/>
        <v>0.01282051282</v>
      </c>
      <c r="F125" s="11">
        <f t="shared" si="2"/>
        <v>0.0005324813632</v>
      </c>
      <c r="G125" s="12">
        <v>0.0</v>
      </c>
      <c r="H125" s="12">
        <v>1.0</v>
      </c>
      <c r="I125" s="12">
        <v>0.0</v>
      </c>
      <c r="J125" s="12">
        <v>0.0</v>
      </c>
      <c r="K125" s="12">
        <v>0.0</v>
      </c>
      <c r="L125" s="11">
        <f t="shared" si="3"/>
        <v>0</v>
      </c>
    </row>
    <row r="126" ht="15.75" customHeight="1">
      <c r="A126" s="14"/>
      <c r="B126" s="14" t="s">
        <v>1184</v>
      </c>
      <c r="C126" s="19" t="s">
        <v>46</v>
      </c>
      <c r="D126" s="18">
        <v>1.0</v>
      </c>
      <c r="E126" s="16">
        <f t="shared" si="11"/>
        <v>0.01282051282</v>
      </c>
      <c r="F126" s="16">
        <f t="shared" si="2"/>
        <v>0.0005324813632</v>
      </c>
      <c r="G126" s="18">
        <v>1.0</v>
      </c>
      <c r="H126" s="18">
        <v>0.0</v>
      </c>
      <c r="I126" s="18">
        <v>0.0</v>
      </c>
      <c r="J126" s="18">
        <v>0.0</v>
      </c>
      <c r="K126" s="18">
        <v>0.0</v>
      </c>
      <c r="L126" s="16">
        <f t="shared" si="3"/>
        <v>1</v>
      </c>
    </row>
    <row r="127" ht="15.75" hidden="1" customHeight="1">
      <c r="A127" s="8" t="s">
        <v>76</v>
      </c>
      <c r="B127" s="8" t="s">
        <v>222</v>
      </c>
      <c r="C127" s="9" t="s">
        <v>34</v>
      </c>
      <c r="D127" s="10">
        <v>20.0</v>
      </c>
      <c r="E127" s="13">
        <f t="shared" ref="E127:E133" si="12">D127/47</f>
        <v>0.4255319149</v>
      </c>
      <c r="F127" s="13">
        <f t="shared" si="2"/>
        <v>0.01064962726</v>
      </c>
      <c r="G127" s="10">
        <v>13.0</v>
      </c>
      <c r="H127" s="10">
        <v>2.0</v>
      </c>
      <c r="I127" s="10">
        <v>1.0</v>
      </c>
      <c r="J127" s="10">
        <v>0.0</v>
      </c>
      <c r="K127" s="10">
        <v>4.0</v>
      </c>
      <c r="L127" s="13">
        <f t="shared" si="3"/>
        <v>0.65</v>
      </c>
    </row>
    <row r="128" ht="15.75" hidden="1" customHeight="1">
      <c r="A128" s="14"/>
      <c r="B128" s="14" t="s">
        <v>494</v>
      </c>
      <c r="C128" s="19" t="s">
        <v>34</v>
      </c>
      <c r="D128" s="18">
        <v>7.0</v>
      </c>
      <c r="E128" s="16">
        <f t="shared" si="12"/>
        <v>0.1489361702</v>
      </c>
      <c r="F128" s="16">
        <f t="shared" si="2"/>
        <v>0.003727369542</v>
      </c>
      <c r="G128" s="18">
        <v>2.0</v>
      </c>
      <c r="H128" s="18">
        <v>1.0</v>
      </c>
      <c r="I128" s="18">
        <v>2.0</v>
      </c>
      <c r="J128" s="18">
        <v>0.0</v>
      </c>
      <c r="K128" s="18">
        <v>2.0</v>
      </c>
      <c r="L128" s="16">
        <f t="shared" si="3"/>
        <v>0.2857142857</v>
      </c>
    </row>
    <row r="129" ht="15.75" hidden="1" customHeight="1">
      <c r="A129" s="6"/>
      <c r="B129" s="6" t="s">
        <v>1205</v>
      </c>
      <c r="C129" s="20" t="s">
        <v>49</v>
      </c>
      <c r="D129" s="12">
        <v>7.0</v>
      </c>
      <c r="E129" s="11">
        <f t="shared" si="12"/>
        <v>0.1489361702</v>
      </c>
      <c r="F129" s="11">
        <f t="shared" si="2"/>
        <v>0.003727369542</v>
      </c>
      <c r="G129" s="12">
        <v>4.0</v>
      </c>
      <c r="H129" s="12">
        <v>1.0</v>
      </c>
      <c r="I129" s="12">
        <v>0.0</v>
      </c>
      <c r="J129" s="12">
        <v>0.0</v>
      </c>
      <c r="K129" s="12">
        <v>2.0</v>
      </c>
      <c r="L129" s="11">
        <f t="shared" si="3"/>
        <v>0.5714285714</v>
      </c>
    </row>
    <row r="130" ht="15.75" hidden="1" customHeight="1">
      <c r="A130" s="14"/>
      <c r="B130" s="14" t="s">
        <v>1218</v>
      </c>
      <c r="C130" s="19" t="s">
        <v>34</v>
      </c>
      <c r="D130" s="18">
        <v>5.0</v>
      </c>
      <c r="E130" s="16">
        <f t="shared" si="12"/>
        <v>0.1063829787</v>
      </c>
      <c r="F130" s="16">
        <f t="shared" si="2"/>
        <v>0.002662406816</v>
      </c>
      <c r="G130" s="18">
        <v>2.0</v>
      </c>
      <c r="H130" s="18">
        <v>0.0</v>
      </c>
      <c r="I130" s="18">
        <v>1.0</v>
      </c>
      <c r="J130" s="18">
        <v>0.0</v>
      </c>
      <c r="K130" s="18">
        <v>2.0</v>
      </c>
      <c r="L130" s="16">
        <f t="shared" si="3"/>
        <v>0.4</v>
      </c>
    </row>
    <row r="131" ht="15.75" customHeight="1">
      <c r="A131" s="6"/>
      <c r="B131" s="6" t="s">
        <v>1230</v>
      </c>
      <c r="C131" s="20" t="s">
        <v>46</v>
      </c>
      <c r="D131" s="12">
        <v>4.0</v>
      </c>
      <c r="E131" s="11">
        <f t="shared" si="12"/>
        <v>0.08510638298</v>
      </c>
      <c r="F131" s="11">
        <f t="shared" si="2"/>
        <v>0.002129925453</v>
      </c>
      <c r="G131" s="12">
        <v>0.0</v>
      </c>
      <c r="H131" s="12">
        <v>1.0</v>
      </c>
      <c r="I131" s="12">
        <v>2.0</v>
      </c>
      <c r="J131" s="12">
        <v>0.0</v>
      </c>
      <c r="K131" s="12">
        <v>1.0</v>
      </c>
      <c r="L131" s="11">
        <f t="shared" si="3"/>
        <v>0</v>
      </c>
    </row>
    <row r="132" ht="15.75" customHeight="1">
      <c r="A132" s="14"/>
      <c r="B132" s="14" t="s">
        <v>496</v>
      </c>
      <c r="C132" s="19" t="s">
        <v>46</v>
      </c>
      <c r="D132" s="18">
        <v>2.0</v>
      </c>
      <c r="E132" s="16">
        <f t="shared" si="12"/>
        <v>0.04255319149</v>
      </c>
      <c r="F132" s="16">
        <f t="shared" si="2"/>
        <v>0.001064962726</v>
      </c>
      <c r="G132" s="18">
        <v>1.0</v>
      </c>
      <c r="H132" s="18">
        <v>0.0</v>
      </c>
      <c r="I132" s="18">
        <v>0.0</v>
      </c>
      <c r="J132" s="18">
        <v>0.0</v>
      </c>
      <c r="K132" s="18">
        <v>1.0</v>
      </c>
      <c r="L132" s="16">
        <f t="shared" si="3"/>
        <v>0.5</v>
      </c>
    </row>
    <row r="133" ht="15.75" hidden="1" customHeight="1">
      <c r="A133" s="6"/>
      <c r="B133" s="6" t="s">
        <v>1243</v>
      </c>
      <c r="C133" s="20" t="s">
        <v>52</v>
      </c>
      <c r="D133" s="12">
        <v>2.0</v>
      </c>
      <c r="E133" s="11">
        <f t="shared" si="12"/>
        <v>0.04255319149</v>
      </c>
      <c r="F133" s="11">
        <f t="shared" si="2"/>
        <v>0.001064962726</v>
      </c>
      <c r="G133" s="12">
        <v>1.0</v>
      </c>
      <c r="H133" s="12">
        <v>0.0</v>
      </c>
      <c r="I133" s="12">
        <v>0.0</v>
      </c>
      <c r="J133" s="12">
        <v>0.0</v>
      </c>
      <c r="K133" s="12">
        <v>1.0</v>
      </c>
      <c r="L133" s="11">
        <f t="shared" si="3"/>
        <v>0.5</v>
      </c>
    </row>
    <row r="134" ht="15.75" hidden="1" customHeight="1">
      <c r="A134" s="8" t="s">
        <v>79</v>
      </c>
      <c r="B134" s="8" t="s">
        <v>255</v>
      </c>
      <c r="C134" s="9" t="s">
        <v>49</v>
      </c>
      <c r="D134" s="10">
        <v>10.0</v>
      </c>
      <c r="E134" s="13">
        <f t="shared" ref="E134:E140" si="13">D134/31</f>
        <v>0.3225806452</v>
      </c>
      <c r="F134" s="13">
        <f t="shared" si="2"/>
        <v>0.005324813632</v>
      </c>
      <c r="G134" s="10">
        <v>7.0</v>
      </c>
      <c r="H134" s="10">
        <v>1.0</v>
      </c>
      <c r="I134" s="10">
        <v>0.0</v>
      </c>
      <c r="J134" s="10">
        <v>0.0</v>
      </c>
      <c r="K134" s="10">
        <v>2.0</v>
      </c>
      <c r="L134" s="13">
        <f t="shared" si="3"/>
        <v>0.7</v>
      </c>
    </row>
    <row r="135" ht="15.75" hidden="1" customHeight="1">
      <c r="A135" s="6"/>
      <c r="B135" s="6" t="s">
        <v>1260</v>
      </c>
      <c r="C135" s="20" t="s">
        <v>34</v>
      </c>
      <c r="D135" s="12">
        <v>7.0</v>
      </c>
      <c r="E135" s="11">
        <f t="shared" si="13"/>
        <v>0.2258064516</v>
      </c>
      <c r="F135" s="11">
        <f t="shared" si="2"/>
        <v>0.003727369542</v>
      </c>
      <c r="G135" s="12">
        <v>6.0</v>
      </c>
      <c r="H135" s="12">
        <v>0.0</v>
      </c>
      <c r="I135" s="12">
        <v>0.0</v>
      </c>
      <c r="J135" s="12">
        <v>0.0</v>
      </c>
      <c r="K135" s="12">
        <v>1.0</v>
      </c>
      <c r="L135" s="11">
        <f t="shared" si="3"/>
        <v>0.8571428571</v>
      </c>
    </row>
    <row r="136" ht="15.75" hidden="1" customHeight="1">
      <c r="A136" s="14"/>
      <c r="B136" s="14" t="s">
        <v>1271</v>
      </c>
      <c r="C136" s="19" t="s">
        <v>34</v>
      </c>
      <c r="D136" s="18">
        <v>5.0</v>
      </c>
      <c r="E136" s="16">
        <f t="shared" si="13"/>
        <v>0.1612903226</v>
      </c>
      <c r="F136" s="16">
        <f t="shared" si="2"/>
        <v>0.002662406816</v>
      </c>
      <c r="G136" s="18">
        <v>5.0</v>
      </c>
      <c r="H136" s="18">
        <v>0.0</v>
      </c>
      <c r="I136" s="18">
        <v>0.0</v>
      </c>
      <c r="J136" s="18">
        <v>0.0</v>
      </c>
      <c r="K136" s="18">
        <v>0.0</v>
      </c>
      <c r="L136" s="16">
        <f t="shared" si="3"/>
        <v>1</v>
      </c>
    </row>
    <row r="137" ht="15.75" customHeight="1">
      <c r="A137" s="6"/>
      <c r="B137" s="6" t="s">
        <v>1280</v>
      </c>
      <c r="C137" s="20" t="s">
        <v>46</v>
      </c>
      <c r="D137" s="12">
        <v>4.0</v>
      </c>
      <c r="E137" s="11">
        <f t="shared" si="13"/>
        <v>0.1290322581</v>
      </c>
      <c r="F137" s="11">
        <f t="shared" si="2"/>
        <v>0.002129925453</v>
      </c>
      <c r="G137" s="12">
        <v>2.0</v>
      </c>
      <c r="H137" s="12">
        <v>0.0</v>
      </c>
      <c r="I137" s="12">
        <v>0.0</v>
      </c>
      <c r="J137" s="12">
        <v>1.0</v>
      </c>
      <c r="K137" s="12">
        <v>1.0</v>
      </c>
      <c r="L137" s="11">
        <f t="shared" si="3"/>
        <v>0.5</v>
      </c>
    </row>
    <row r="138" ht="15.75" hidden="1" customHeight="1">
      <c r="A138" s="14"/>
      <c r="B138" s="14" t="s">
        <v>1291</v>
      </c>
      <c r="C138" s="19" t="s">
        <v>57</v>
      </c>
      <c r="D138" s="18">
        <v>2.0</v>
      </c>
      <c r="E138" s="16">
        <f t="shared" si="13"/>
        <v>0.06451612903</v>
      </c>
      <c r="F138" s="16">
        <f t="shared" si="2"/>
        <v>0.001064962726</v>
      </c>
      <c r="G138" s="18">
        <v>0.0</v>
      </c>
      <c r="H138" s="18">
        <v>1.0</v>
      </c>
      <c r="I138" s="18">
        <v>0.0</v>
      </c>
      <c r="J138" s="18">
        <v>1.0</v>
      </c>
      <c r="K138" s="18">
        <v>0.0</v>
      </c>
      <c r="L138" s="16">
        <f t="shared" si="3"/>
        <v>0</v>
      </c>
    </row>
    <row r="139" ht="15.75" customHeight="1">
      <c r="A139" s="6"/>
      <c r="B139" s="6" t="s">
        <v>1299</v>
      </c>
      <c r="C139" s="20" t="s">
        <v>46</v>
      </c>
      <c r="D139" s="12">
        <v>2.0</v>
      </c>
      <c r="E139" s="11">
        <f t="shared" si="13"/>
        <v>0.06451612903</v>
      </c>
      <c r="F139" s="11">
        <f t="shared" si="2"/>
        <v>0.001064962726</v>
      </c>
      <c r="G139" s="12">
        <v>1.0</v>
      </c>
      <c r="H139" s="12">
        <v>0.0</v>
      </c>
      <c r="I139" s="12">
        <v>0.0</v>
      </c>
      <c r="J139" s="12">
        <v>0.0</v>
      </c>
      <c r="K139" s="12">
        <v>1.0</v>
      </c>
      <c r="L139" s="11">
        <f t="shared" si="3"/>
        <v>0.5</v>
      </c>
    </row>
    <row r="140" ht="15.75" hidden="1" customHeight="1">
      <c r="A140" s="14"/>
      <c r="B140" s="14" t="s">
        <v>1305</v>
      </c>
      <c r="C140" s="19" t="s">
        <v>53</v>
      </c>
      <c r="D140" s="18">
        <v>1.0</v>
      </c>
      <c r="E140" s="16">
        <f t="shared" si="13"/>
        <v>0.03225806452</v>
      </c>
      <c r="F140" s="16">
        <f t="shared" si="2"/>
        <v>0.0005324813632</v>
      </c>
      <c r="G140" s="18">
        <v>0.0</v>
      </c>
      <c r="H140" s="18">
        <v>0.0</v>
      </c>
      <c r="I140" s="18">
        <v>0.0</v>
      </c>
      <c r="J140" s="18">
        <v>0.0</v>
      </c>
      <c r="K140" s="18">
        <v>1.0</v>
      </c>
      <c r="L140" s="16">
        <f t="shared" si="3"/>
        <v>0</v>
      </c>
    </row>
    <row r="141" ht="15.75" hidden="1" customHeight="1">
      <c r="A141" s="8" t="s">
        <v>68</v>
      </c>
      <c r="B141" s="8" t="s">
        <v>70</v>
      </c>
      <c r="C141" s="9" t="s">
        <v>53</v>
      </c>
      <c r="D141" s="10">
        <v>11.0</v>
      </c>
      <c r="E141" s="13">
        <f t="shared" ref="E141:E146" si="14">D141/21</f>
        <v>0.5238095238</v>
      </c>
      <c r="F141" s="13">
        <f t="shared" si="2"/>
        <v>0.005857294995</v>
      </c>
      <c r="G141" s="10">
        <v>3.0</v>
      </c>
      <c r="H141" s="10">
        <v>8.0</v>
      </c>
      <c r="I141" s="10">
        <v>0.0</v>
      </c>
      <c r="J141" s="10">
        <v>0.0</v>
      </c>
      <c r="K141" s="10">
        <v>0.0</v>
      </c>
      <c r="L141" s="13">
        <f t="shared" si="3"/>
        <v>0.2727272727</v>
      </c>
    </row>
    <row r="142" ht="15.75" customHeight="1">
      <c r="A142" s="14"/>
      <c r="B142" s="14" t="s">
        <v>895</v>
      </c>
      <c r="C142" s="19" t="s">
        <v>46</v>
      </c>
      <c r="D142" s="18">
        <v>3.0</v>
      </c>
      <c r="E142" s="16">
        <f t="shared" si="14"/>
        <v>0.1428571429</v>
      </c>
      <c r="F142" s="16">
        <f t="shared" si="2"/>
        <v>0.001597444089</v>
      </c>
      <c r="G142" s="18">
        <v>0.0</v>
      </c>
      <c r="H142" s="18">
        <v>3.0</v>
      </c>
      <c r="I142" s="18">
        <v>0.0</v>
      </c>
      <c r="J142" s="18">
        <v>0.0</v>
      </c>
      <c r="K142" s="18">
        <v>0.0</v>
      </c>
      <c r="L142" s="16">
        <f t="shared" si="3"/>
        <v>0</v>
      </c>
    </row>
    <row r="143" ht="15.75" hidden="1" customHeight="1">
      <c r="A143" s="6"/>
      <c r="B143" s="6" t="s">
        <v>1078</v>
      </c>
      <c r="C143" s="20" t="s">
        <v>53</v>
      </c>
      <c r="D143" s="12">
        <v>2.0</v>
      </c>
      <c r="E143" s="11">
        <f t="shared" si="14"/>
        <v>0.09523809524</v>
      </c>
      <c r="F143" s="11">
        <f t="shared" si="2"/>
        <v>0.001064962726</v>
      </c>
      <c r="G143" s="12">
        <v>2.0</v>
      </c>
      <c r="H143" s="12">
        <v>0.0</v>
      </c>
      <c r="I143" s="12">
        <v>0.0</v>
      </c>
      <c r="J143" s="12">
        <v>0.0</v>
      </c>
      <c r="K143" s="12">
        <v>0.0</v>
      </c>
      <c r="L143" s="11">
        <f t="shared" si="3"/>
        <v>1</v>
      </c>
    </row>
    <row r="144" ht="15.75" customHeight="1">
      <c r="A144" s="14"/>
      <c r="B144" s="14" t="s">
        <v>1338</v>
      </c>
      <c r="C144" s="19" t="s">
        <v>46</v>
      </c>
      <c r="D144" s="18">
        <v>2.0</v>
      </c>
      <c r="E144" s="16">
        <f t="shared" si="14"/>
        <v>0.09523809524</v>
      </c>
      <c r="F144" s="16">
        <f t="shared" si="2"/>
        <v>0.001064962726</v>
      </c>
      <c r="G144" s="18">
        <v>1.0</v>
      </c>
      <c r="H144" s="18">
        <v>0.0</v>
      </c>
      <c r="I144" s="18">
        <v>0.0</v>
      </c>
      <c r="J144" s="18">
        <v>0.0</v>
      </c>
      <c r="K144" s="18">
        <v>1.0</v>
      </c>
      <c r="L144" s="16">
        <f t="shared" si="3"/>
        <v>0.5</v>
      </c>
    </row>
    <row r="145" ht="15.75" hidden="1" customHeight="1">
      <c r="A145" s="6"/>
      <c r="B145" s="6" t="s">
        <v>356</v>
      </c>
      <c r="C145" s="20" t="s">
        <v>61</v>
      </c>
      <c r="D145" s="12">
        <v>2.0</v>
      </c>
      <c r="E145" s="11">
        <f t="shared" si="14"/>
        <v>0.09523809524</v>
      </c>
      <c r="F145" s="11">
        <f t="shared" si="2"/>
        <v>0.001064962726</v>
      </c>
      <c r="G145" s="12">
        <v>0.0</v>
      </c>
      <c r="H145" s="12">
        <v>2.0</v>
      </c>
      <c r="I145" s="12">
        <v>0.0</v>
      </c>
      <c r="J145" s="12">
        <v>0.0</v>
      </c>
      <c r="K145" s="12">
        <v>0.0</v>
      </c>
      <c r="L145" s="11">
        <f t="shared" si="3"/>
        <v>0</v>
      </c>
    </row>
    <row r="146" ht="15.75" customHeight="1">
      <c r="A146" s="14"/>
      <c r="B146" s="14" t="s">
        <v>1349</v>
      </c>
      <c r="C146" s="19" t="s">
        <v>46</v>
      </c>
      <c r="D146" s="18">
        <v>1.0</v>
      </c>
      <c r="E146" s="16">
        <f t="shared" si="14"/>
        <v>0.04761904762</v>
      </c>
      <c r="F146" s="16">
        <f t="shared" si="2"/>
        <v>0.0005324813632</v>
      </c>
      <c r="G146" s="18">
        <v>1.0</v>
      </c>
      <c r="H146" s="18">
        <v>0.0</v>
      </c>
      <c r="I146" s="18">
        <v>0.0</v>
      </c>
      <c r="J146" s="18">
        <v>0.0</v>
      </c>
      <c r="K146" s="18">
        <v>0.0</v>
      </c>
      <c r="L146" s="16">
        <f t="shared" si="3"/>
        <v>1</v>
      </c>
    </row>
    <row r="147" ht="15.75" hidden="1" customHeight="1">
      <c r="A147" s="8" t="s">
        <v>85</v>
      </c>
      <c r="B147" s="8" t="s">
        <v>102</v>
      </c>
      <c r="C147" s="9" t="s">
        <v>53</v>
      </c>
      <c r="D147" s="10">
        <v>10.0</v>
      </c>
      <c r="E147" s="13">
        <f t="shared" ref="E147:E150" si="15">D147/20</f>
        <v>0.5</v>
      </c>
      <c r="F147" s="13">
        <f t="shared" si="2"/>
        <v>0.005324813632</v>
      </c>
      <c r="G147" s="10">
        <v>4.0</v>
      </c>
      <c r="H147" s="10">
        <v>3.0</v>
      </c>
      <c r="I147" s="10">
        <v>1.0</v>
      </c>
      <c r="J147" s="10">
        <v>0.0</v>
      </c>
      <c r="K147" s="10">
        <v>2.0</v>
      </c>
      <c r="L147" s="13">
        <f t="shared" si="3"/>
        <v>0.4</v>
      </c>
    </row>
    <row r="148" ht="15.75" customHeight="1">
      <c r="A148" s="14"/>
      <c r="B148" s="14" t="s">
        <v>600</v>
      </c>
      <c r="C148" s="19" t="s">
        <v>46</v>
      </c>
      <c r="D148" s="18">
        <v>7.0</v>
      </c>
      <c r="E148" s="16">
        <f t="shared" si="15"/>
        <v>0.35</v>
      </c>
      <c r="F148" s="16">
        <f t="shared" si="2"/>
        <v>0.003727369542</v>
      </c>
      <c r="G148" s="18">
        <v>0.0</v>
      </c>
      <c r="H148" s="18">
        <v>5.0</v>
      </c>
      <c r="I148" s="18">
        <v>0.0</v>
      </c>
      <c r="J148" s="18">
        <v>2.0</v>
      </c>
      <c r="K148" s="18">
        <v>0.0</v>
      </c>
      <c r="L148" s="16">
        <f t="shared" si="3"/>
        <v>0</v>
      </c>
    </row>
    <row r="149" ht="15.75" hidden="1" customHeight="1">
      <c r="A149" s="6"/>
      <c r="B149" s="6" t="s">
        <v>1369</v>
      </c>
      <c r="C149" s="20" t="s">
        <v>61</v>
      </c>
      <c r="D149" s="12">
        <v>2.0</v>
      </c>
      <c r="E149" s="11">
        <f t="shared" si="15"/>
        <v>0.1</v>
      </c>
      <c r="F149" s="11">
        <f t="shared" si="2"/>
        <v>0.001064962726</v>
      </c>
      <c r="G149" s="12">
        <v>1.0</v>
      </c>
      <c r="H149" s="12">
        <v>1.0</v>
      </c>
      <c r="I149" s="12">
        <v>0.0</v>
      </c>
      <c r="J149" s="12">
        <v>0.0</v>
      </c>
      <c r="K149" s="12">
        <v>0.0</v>
      </c>
      <c r="L149" s="11">
        <f t="shared" si="3"/>
        <v>0.5</v>
      </c>
    </row>
    <row r="150" ht="15.75" customHeight="1">
      <c r="A150" s="14"/>
      <c r="B150" s="14" t="s">
        <v>601</v>
      </c>
      <c r="C150" s="19" t="s">
        <v>46</v>
      </c>
      <c r="D150" s="18">
        <v>1.0</v>
      </c>
      <c r="E150" s="16">
        <f t="shared" si="15"/>
        <v>0.05</v>
      </c>
      <c r="F150" s="16">
        <f t="shared" si="2"/>
        <v>0.0005324813632</v>
      </c>
      <c r="G150" s="18">
        <v>1.0</v>
      </c>
      <c r="H150" s="18">
        <v>0.0</v>
      </c>
      <c r="I150" s="18">
        <v>0.0</v>
      </c>
      <c r="J150" s="18">
        <v>0.0</v>
      </c>
      <c r="K150" s="18">
        <v>0.0</v>
      </c>
      <c r="L150" s="16">
        <f t="shared" si="3"/>
        <v>1</v>
      </c>
    </row>
    <row r="151" ht="15.75" hidden="1" customHeight="1">
      <c r="A151" s="8" t="s">
        <v>89</v>
      </c>
      <c r="B151" s="8" t="s">
        <v>1379</v>
      </c>
      <c r="C151" s="9" t="s">
        <v>49</v>
      </c>
      <c r="D151" s="10">
        <v>7.0</v>
      </c>
      <c r="E151" s="13">
        <f t="shared" ref="E151:E154" si="16">D151/16</f>
        <v>0.4375</v>
      </c>
      <c r="F151" s="13">
        <f t="shared" si="2"/>
        <v>0.003727369542</v>
      </c>
      <c r="G151" s="10">
        <v>2.0</v>
      </c>
      <c r="H151" s="10">
        <v>1.0</v>
      </c>
      <c r="I151" s="10">
        <v>0.0</v>
      </c>
      <c r="J151" s="10">
        <v>0.0</v>
      </c>
      <c r="K151" s="10">
        <v>4.0</v>
      </c>
      <c r="L151" s="13">
        <f t="shared" si="3"/>
        <v>0.2857142857</v>
      </c>
    </row>
    <row r="152" ht="15.75" hidden="1" customHeight="1">
      <c r="A152" s="14"/>
      <c r="B152" s="14" t="s">
        <v>616</v>
      </c>
      <c r="C152" s="19" t="s">
        <v>49</v>
      </c>
      <c r="D152" s="18">
        <v>6.0</v>
      </c>
      <c r="E152" s="16">
        <f t="shared" si="16"/>
        <v>0.375</v>
      </c>
      <c r="F152" s="16">
        <f t="shared" si="2"/>
        <v>0.003194888179</v>
      </c>
      <c r="G152" s="18">
        <v>2.0</v>
      </c>
      <c r="H152" s="18">
        <v>1.0</v>
      </c>
      <c r="I152" s="18">
        <v>0.0</v>
      </c>
      <c r="J152" s="18">
        <v>0.0</v>
      </c>
      <c r="K152" s="18">
        <v>3.0</v>
      </c>
      <c r="L152" s="16">
        <f t="shared" si="3"/>
        <v>0.3333333333</v>
      </c>
    </row>
    <row r="153" ht="15.75" customHeight="1">
      <c r="A153" s="6"/>
      <c r="B153" s="6" t="s">
        <v>1395</v>
      </c>
      <c r="C153" s="20" t="s">
        <v>46</v>
      </c>
      <c r="D153" s="12">
        <v>2.0</v>
      </c>
      <c r="E153" s="11">
        <f t="shared" si="16"/>
        <v>0.125</v>
      </c>
      <c r="F153" s="11">
        <f t="shared" si="2"/>
        <v>0.001064962726</v>
      </c>
      <c r="G153" s="12">
        <v>1.0</v>
      </c>
      <c r="H153" s="12">
        <v>0.0</v>
      </c>
      <c r="I153" s="12">
        <v>1.0</v>
      </c>
      <c r="J153" s="12">
        <v>0.0</v>
      </c>
      <c r="K153" s="12">
        <v>0.0</v>
      </c>
      <c r="L153" s="11">
        <f t="shared" si="3"/>
        <v>0.5</v>
      </c>
    </row>
    <row r="154" ht="15.75" hidden="1" customHeight="1">
      <c r="A154" s="14"/>
      <c r="B154" s="14" t="s">
        <v>638</v>
      </c>
      <c r="C154" s="19" t="s">
        <v>53</v>
      </c>
      <c r="D154" s="18">
        <v>1.0</v>
      </c>
      <c r="E154" s="16">
        <f t="shared" si="16"/>
        <v>0.0625</v>
      </c>
      <c r="F154" s="16">
        <f t="shared" si="2"/>
        <v>0.0005324813632</v>
      </c>
      <c r="G154" s="18">
        <v>0.0</v>
      </c>
      <c r="H154" s="18">
        <v>0.0</v>
      </c>
      <c r="I154" s="18">
        <v>0.0</v>
      </c>
      <c r="J154" s="18">
        <v>0.0</v>
      </c>
      <c r="K154" s="18">
        <v>1.0</v>
      </c>
      <c r="L154" s="16">
        <f t="shared" si="3"/>
        <v>0</v>
      </c>
    </row>
    <row r="155" ht="15.75" hidden="1" customHeight="1">
      <c r="A155" s="8" t="s">
        <v>93</v>
      </c>
      <c r="B155" s="8" t="s">
        <v>1404</v>
      </c>
      <c r="C155" s="9" t="s">
        <v>34</v>
      </c>
      <c r="D155" s="10">
        <v>9.0</v>
      </c>
      <c r="E155" s="13">
        <f t="shared" ref="E155:E156" si="17">D155/12</f>
        <v>0.75</v>
      </c>
      <c r="F155" s="13">
        <f t="shared" si="2"/>
        <v>0.004792332268</v>
      </c>
      <c r="G155" s="10">
        <v>1.0</v>
      </c>
      <c r="H155" s="10">
        <v>7.0</v>
      </c>
      <c r="I155" s="10">
        <v>0.0</v>
      </c>
      <c r="J155" s="10">
        <v>1.0</v>
      </c>
      <c r="K155" s="10">
        <v>0.0</v>
      </c>
      <c r="L155" s="13">
        <f t="shared" si="3"/>
        <v>0.1111111111</v>
      </c>
    </row>
    <row r="156" ht="15.75" customHeight="1">
      <c r="A156" s="14"/>
      <c r="B156" s="14" t="s">
        <v>1416</v>
      </c>
      <c r="C156" s="19" t="s">
        <v>46</v>
      </c>
      <c r="D156" s="18">
        <v>3.0</v>
      </c>
      <c r="E156" s="16">
        <f t="shared" si="17"/>
        <v>0.25</v>
      </c>
      <c r="F156" s="16">
        <f t="shared" si="2"/>
        <v>0.001597444089</v>
      </c>
      <c r="G156" s="18">
        <v>1.0</v>
      </c>
      <c r="H156" s="18">
        <v>1.0</v>
      </c>
      <c r="I156" s="18">
        <v>0.0</v>
      </c>
      <c r="J156" s="18">
        <v>0.0</v>
      </c>
      <c r="K156" s="18">
        <v>1.0</v>
      </c>
      <c r="L156" s="16">
        <f t="shared" si="3"/>
        <v>0.3333333333</v>
      </c>
    </row>
    <row r="157" ht="15.75" customHeight="1">
      <c r="A157" s="8" t="s">
        <v>96</v>
      </c>
      <c r="B157" s="8" t="s">
        <v>1424</v>
      </c>
      <c r="C157" s="9" t="s">
        <v>46</v>
      </c>
      <c r="D157" s="10">
        <v>2.0</v>
      </c>
      <c r="E157" s="13">
        <f t="shared" ref="E157:E160" si="18">D157/7</f>
        <v>0.2857142857</v>
      </c>
      <c r="F157" s="13">
        <f t="shared" si="2"/>
        <v>0.001064962726</v>
      </c>
      <c r="G157" s="10">
        <v>1.0</v>
      </c>
      <c r="H157" s="10">
        <v>0.0</v>
      </c>
      <c r="I157" s="10">
        <v>1.0</v>
      </c>
      <c r="J157" s="10">
        <v>0.0</v>
      </c>
      <c r="K157" s="10">
        <v>0.0</v>
      </c>
      <c r="L157" s="13">
        <f t="shared" si="3"/>
        <v>0.5</v>
      </c>
    </row>
    <row r="158" ht="15.75" customHeight="1">
      <c r="A158" s="14"/>
      <c r="B158" s="14" t="s">
        <v>1429</v>
      </c>
      <c r="C158" s="19" t="s">
        <v>46</v>
      </c>
      <c r="D158" s="18">
        <v>2.0</v>
      </c>
      <c r="E158" s="16">
        <f t="shared" si="18"/>
        <v>0.2857142857</v>
      </c>
      <c r="F158" s="16">
        <f t="shared" si="2"/>
        <v>0.001064962726</v>
      </c>
      <c r="G158" s="18">
        <v>2.0</v>
      </c>
      <c r="H158" s="18">
        <v>0.0</v>
      </c>
      <c r="I158" s="18">
        <v>0.0</v>
      </c>
      <c r="J158" s="18">
        <v>0.0</v>
      </c>
      <c r="K158" s="18">
        <v>0.0</v>
      </c>
      <c r="L158" s="16">
        <f t="shared" si="3"/>
        <v>1</v>
      </c>
    </row>
    <row r="159" ht="15.75" customHeight="1">
      <c r="A159" s="6"/>
      <c r="B159" s="6" t="s">
        <v>1436</v>
      </c>
      <c r="C159" s="20" t="s">
        <v>46</v>
      </c>
      <c r="D159" s="12">
        <v>2.0</v>
      </c>
      <c r="E159" s="11">
        <f t="shared" si="18"/>
        <v>0.2857142857</v>
      </c>
      <c r="F159" s="11">
        <f t="shared" si="2"/>
        <v>0.001064962726</v>
      </c>
      <c r="G159" s="12">
        <v>2.0</v>
      </c>
      <c r="H159" s="12">
        <v>0.0</v>
      </c>
      <c r="I159" s="12">
        <v>0.0</v>
      </c>
      <c r="J159" s="12">
        <v>0.0</v>
      </c>
      <c r="K159" s="12">
        <v>0.0</v>
      </c>
      <c r="L159" s="11">
        <f t="shared" si="3"/>
        <v>1</v>
      </c>
    </row>
    <row r="160" ht="15.75" customHeight="1">
      <c r="A160" s="14"/>
      <c r="B160" s="14" t="s">
        <v>1439</v>
      </c>
      <c r="C160" s="19" t="s">
        <v>46</v>
      </c>
      <c r="D160" s="18">
        <v>1.0</v>
      </c>
      <c r="E160" s="16">
        <f t="shared" si="18"/>
        <v>0.1428571429</v>
      </c>
      <c r="F160" s="16">
        <f t="shared" si="2"/>
        <v>0.0005324813632</v>
      </c>
      <c r="G160" s="18">
        <v>0.0</v>
      </c>
      <c r="H160" s="18">
        <v>0.0</v>
      </c>
      <c r="I160" s="18">
        <v>1.0</v>
      </c>
      <c r="J160" s="18">
        <v>0.0</v>
      </c>
      <c r="K160" s="18">
        <v>0.0</v>
      </c>
      <c r="L160" s="16">
        <f t="shared" si="3"/>
        <v>0</v>
      </c>
    </row>
    <row r="161" ht="15.75" hidden="1" customHeight="1">
      <c r="A161" s="8" t="s">
        <v>100</v>
      </c>
      <c r="B161" s="8" t="s">
        <v>1442</v>
      </c>
      <c r="C161" s="9" t="s">
        <v>34</v>
      </c>
      <c r="D161" s="10">
        <v>4.0</v>
      </c>
      <c r="E161" s="13">
        <f t="shared" ref="E161:E162" si="19">D161/5</f>
        <v>0.8</v>
      </c>
      <c r="F161" s="13">
        <f t="shared" si="2"/>
        <v>0.002129925453</v>
      </c>
      <c r="G161" s="10">
        <v>2.0</v>
      </c>
      <c r="H161" s="10">
        <v>0.0</v>
      </c>
      <c r="I161" s="10">
        <v>1.0</v>
      </c>
      <c r="J161" s="10">
        <v>1.0</v>
      </c>
      <c r="K161" s="10">
        <v>0.0</v>
      </c>
      <c r="L161" s="13">
        <f t="shared" si="3"/>
        <v>0.5</v>
      </c>
    </row>
    <row r="162" ht="15.75" hidden="1" customHeight="1">
      <c r="A162" s="14"/>
      <c r="B162" s="14" t="s">
        <v>110</v>
      </c>
      <c r="C162" s="19" t="s">
        <v>71</v>
      </c>
      <c r="D162" s="18">
        <v>1.0</v>
      </c>
      <c r="E162" s="16">
        <f t="shared" si="19"/>
        <v>0.2</v>
      </c>
      <c r="F162" s="16">
        <f t="shared" si="2"/>
        <v>0.0005324813632</v>
      </c>
      <c r="G162" s="18">
        <v>0.0</v>
      </c>
      <c r="H162" s="18">
        <v>0.0</v>
      </c>
      <c r="I162" s="18">
        <v>0.0</v>
      </c>
      <c r="J162" s="18">
        <v>1.0</v>
      </c>
      <c r="K162" s="18">
        <v>0.0</v>
      </c>
      <c r="L162" s="16">
        <f t="shared" si="3"/>
        <v>0</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162">
    <filterColumn colId="2">
      <filters>
        <filter val="Consultar información/procedimiento"/>
      </filters>
    </filterColumn>
  </autoFilter>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40.0"/>
    <col customWidth="1" min="2" max="2" width="10.0"/>
    <col customWidth="1" min="3" max="3" width="11.0"/>
    <col customWidth="1" min="4" max="4" width="14.0"/>
    <col customWidth="1" min="5" max="5" width="13.0"/>
    <col customWidth="1" min="6" max="6" width="12.0"/>
    <col customWidth="1" min="7" max="7" width="11.0"/>
    <col customWidth="1" min="8" max="8" width="14.0"/>
    <col customWidth="1" min="9" max="9" width="15.0"/>
    <col customWidth="1" min="10" max="26" width="8.71"/>
  </cols>
  <sheetData>
    <row r="1">
      <c r="A1" s="1" t="s">
        <v>2</v>
      </c>
    </row>
    <row r="2">
      <c r="A2" s="2" t="s">
        <v>7</v>
      </c>
    </row>
    <row r="4" ht="45.75" customHeight="1">
      <c r="A4" s="4" t="s">
        <v>10</v>
      </c>
      <c r="B4" s="4" t="s">
        <v>11</v>
      </c>
      <c r="C4" s="4" t="s">
        <v>13</v>
      </c>
      <c r="D4" s="4" t="s">
        <v>15</v>
      </c>
      <c r="E4" s="4" t="s">
        <v>19</v>
      </c>
      <c r="F4" s="4" t="s">
        <v>23</v>
      </c>
      <c r="G4" s="4" t="s">
        <v>25</v>
      </c>
      <c r="H4" s="4" t="s">
        <v>29</v>
      </c>
      <c r="I4" s="4" t="s">
        <v>31</v>
      </c>
    </row>
    <row r="5">
      <c r="A5" s="6" t="s">
        <v>34</v>
      </c>
      <c r="B5" s="7">
        <v>873.0</v>
      </c>
      <c r="C5" s="11">
        <f t="shared" ref="C5:C13" si="1">B5/1878</f>
        <v>0.46485623</v>
      </c>
      <c r="D5" s="12">
        <v>604.0</v>
      </c>
      <c r="E5" s="12">
        <v>103.0</v>
      </c>
      <c r="F5" s="12">
        <v>18.0</v>
      </c>
      <c r="G5" s="12">
        <v>13.0</v>
      </c>
      <c r="H5" s="12">
        <v>135.0</v>
      </c>
      <c r="I5" s="11">
        <f t="shared" ref="I5:I13" si="2">D5/B5</f>
        <v>0.6918671249</v>
      </c>
    </row>
    <row r="6">
      <c r="A6" s="17" t="s">
        <v>46</v>
      </c>
      <c r="B6" s="15">
        <v>382.0</v>
      </c>
      <c r="C6" s="16">
        <f t="shared" si="1"/>
        <v>0.2034078807</v>
      </c>
      <c r="D6" s="18">
        <v>216.0</v>
      </c>
      <c r="E6" s="18">
        <v>57.0</v>
      </c>
      <c r="F6" s="18">
        <v>18.0</v>
      </c>
      <c r="G6" s="18">
        <v>13.0</v>
      </c>
      <c r="H6" s="18">
        <v>78.0</v>
      </c>
      <c r="I6" s="16">
        <f t="shared" si="2"/>
        <v>0.5654450262</v>
      </c>
    </row>
    <row r="7">
      <c r="A7" s="17" t="s">
        <v>49</v>
      </c>
      <c r="B7" s="7">
        <v>197.0</v>
      </c>
      <c r="C7" s="11">
        <f t="shared" si="1"/>
        <v>0.1048988285</v>
      </c>
      <c r="D7" s="12">
        <v>104.0</v>
      </c>
      <c r="E7" s="12">
        <v>38.0</v>
      </c>
      <c r="F7" s="12">
        <v>1.0</v>
      </c>
      <c r="G7" s="12">
        <v>2.0</v>
      </c>
      <c r="H7" s="12">
        <v>52.0</v>
      </c>
      <c r="I7" s="11">
        <f t="shared" si="2"/>
        <v>0.5279187817</v>
      </c>
    </row>
    <row r="8">
      <c r="A8" s="14" t="s">
        <v>53</v>
      </c>
      <c r="B8" s="15">
        <v>123.0</v>
      </c>
      <c r="C8" s="16">
        <f t="shared" si="1"/>
        <v>0.06549520767</v>
      </c>
      <c r="D8" s="18">
        <v>55.0</v>
      </c>
      <c r="E8" s="18">
        <v>35.0</v>
      </c>
      <c r="F8" s="18">
        <v>2.0</v>
      </c>
      <c r="G8" s="18">
        <v>3.0</v>
      </c>
      <c r="H8" s="18">
        <v>28.0</v>
      </c>
      <c r="I8" s="16">
        <f t="shared" si="2"/>
        <v>0.4471544715</v>
      </c>
    </row>
    <row r="9">
      <c r="A9" s="17" t="s">
        <v>57</v>
      </c>
      <c r="B9" s="7">
        <v>103.0</v>
      </c>
      <c r="C9" s="11">
        <f t="shared" si="1"/>
        <v>0.0548455804</v>
      </c>
      <c r="D9" s="12">
        <v>65.0</v>
      </c>
      <c r="E9" s="12">
        <v>14.0</v>
      </c>
      <c r="F9" s="12">
        <v>3.0</v>
      </c>
      <c r="G9" s="12">
        <v>5.0</v>
      </c>
      <c r="H9" s="12">
        <v>16.0</v>
      </c>
      <c r="I9" s="11">
        <f t="shared" si="2"/>
        <v>0.6310679612</v>
      </c>
    </row>
    <row r="10">
      <c r="A10" s="14" t="s">
        <v>61</v>
      </c>
      <c r="B10" s="15">
        <v>86.0</v>
      </c>
      <c r="C10" s="16">
        <f t="shared" si="1"/>
        <v>0.04579339723</v>
      </c>
      <c r="D10" s="18">
        <v>57.0</v>
      </c>
      <c r="E10" s="18">
        <v>16.0</v>
      </c>
      <c r="F10" s="18">
        <v>0.0</v>
      </c>
      <c r="G10" s="18">
        <v>3.0</v>
      </c>
      <c r="H10" s="18">
        <v>10.0</v>
      </c>
      <c r="I10" s="16">
        <f t="shared" si="2"/>
        <v>0.6627906977</v>
      </c>
    </row>
    <row r="11">
      <c r="A11" s="17" t="s">
        <v>52</v>
      </c>
      <c r="B11" s="7">
        <v>85.0</v>
      </c>
      <c r="C11" s="11">
        <f t="shared" si="1"/>
        <v>0.04526091587</v>
      </c>
      <c r="D11" s="12">
        <v>60.0</v>
      </c>
      <c r="E11" s="12">
        <v>2.0</v>
      </c>
      <c r="F11" s="12">
        <v>3.0</v>
      </c>
      <c r="G11" s="12">
        <v>3.0</v>
      </c>
      <c r="H11" s="12">
        <v>17.0</v>
      </c>
      <c r="I11" s="11">
        <f t="shared" si="2"/>
        <v>0.7058823529</v>
      </c>
    </row>
    <row r="12">
      <c r="A12" s="14" t="s">
        <v>71</v>
      </c>
      <c r="B12" s="15">
        <v>20.0</v>
      </c>
      <c r="C12" s="16">
        <f t="shared" si="1"/>
        <v>0.01064962726</v>
      </c>
      <c r="D12" s="18">
        <v>2.0</v>
      </c>
      <c r="E12" s="18">
        <v>1.0</v>
      </c>
      <c r="F12" s="18">
        <v>0.0</v>
      </c>
      <c r="G12" s="18">
        <v>4.0</v>
      </c>
      <c r="H12" s="18">
        <v>13.0</v>
      </c>
      <c r="I12" s="16">
        <f t="shared" si="2"/>
        <v>0.1</v>
      </c>
    </row>
    <row r="13">
      <c r="A13" s="6" t="s">
        <v>74</v>
      </c>
      <c r="B13" s="7">
        <v>9.0</v>
      </c>
      <c r="C13" s="11">
        <f t="shared" si="1"/>
        <v>0.004792332268</v>
      </c>
      <c r="D13" s="12">
        <v>1.0</v>
      </c>
      <c r="E13" s="12">
        <v>0.0</v>
      </c>
      <c r="F13" s="12">
        <v>2.0</v>
      </c>
      <c r="G13" s="12">
        <v>0.0</v>
      </c>
      <c r="H13" s="12">
        <v>6.0</v>
      </c>
      <c r="I13" s="11">
        <f t="shared" si="2"/>
        <v>0.1111111111</v>
      </c>
    </row>
    <row r="16">
      <c r="A16" s="21" t="s">
        <v>78</v>
      </c>
    </row>
    <row r="17" ht="30.0" customHeight="1">
      <c r="A17" s="4" t="s">
        <v>80</v>
      </c>
      <c r="B17" s="4" t="s">
        <v>11</v>
      </c>
      <c r="C17" s="4" t="s">
        <v>13</v>
      </c>
    </row>
    <row r="18">
      <c r="A18" s="6" t="s">
        <v>81</v>
      </c>
      <c r="B18" s="7">
        <v>1116.0</v>
      </c>
      <c r="C18" s="11">
        <f t="shared" ref="C18:C24" si="3">B18/1878</f>
        <v>0.5942492013</v>
      </c>
    </row>
    <row r="19">
      <c r="A19" s="14" t="s">
        <v>87</v>
      </c>
      <c r="B19" s="15">
        <v>192.0</v>
      </c>
      <c r="C19" s="16">
        <f t="shared" si="3"/>
        <v>0.1022364217</v>
      </c>
    </row>
    <row r="20">
      <c r="A20" s="6" t="s">
        <v>66</v>
      </c>
      <c r="B20" s="7">
        <v>122.0</v>
      </c>
      <c r="C20" s="11">
        <f t="shared" si="3"/>
        <v>0.0649627263</v>
      </c>
    </row>
    <row r="21" ht="15.75" customHeight="1">
      <c r="A21" s="14" t="s">
        <v>91</v>
      </c>
      <c r="B21" s="15">
        <v>17.0</v>
      </c>
      <c r="C21" s="16">
        <f t="shared" si="3"/>
        <v>0.009052183174</v>
      </c>
    </row>
    <row r="22" ht="15.75" customHeight="1">
      <c r="A22" s="6" t="s">
        <v>94</v>
      </c>
      <c r="B22" s="7">
        <v>30.0</v>
      </c>
      <c r="C22" s="11">
        <f t="shared" si="3"/>
        <v>0.01597444089</v>
      </c>
    </row>
    <row r="23" ht="15.75" customHeight="1">
      <c r="A23" s="14" t="s">
        <v>95</v>
      </c>
      <c r="B23" s="15">
        <v>355.0</v>
      </c>
      <c r="C23" s="16">
        <f t="shared" si="3"/>
        <v>0.1890308839</v>
      </c>
    </row>
    <row r="24" ht="15.75" customHeight="1">
      <c r="A24" s="6" t="s">
        <v>97</v>
      </c>
      <c r="B24" s="7">
        <v>46.0</v>
      </c>
      <c r="C24" s="11">
        <f t="shared" si="3"/>
        <v>0.02449414271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38.0"/>
    <col customWidth="1" min="2" max="2" width="52.0"/>
    <col customWidth="1" min="3" max="3" width="8.0"/>
    <col customWidth="1" min="4" max="4" width="11.0"/>
    <col customWidth="1" min="5" max="5" width="9.0"/>
    <col customWidth="1" min="6" max="6" width="12.0"/>
    <col customWidth="1" min="7" max="7" width="11.0"/>
    <col customWidth="1" min="8" max="8" width="13.0"/>
    <col customWidth="1" min="9" max="10" width="15.0"/>
    <col customWidth="1" min="11" max="26" width="8.71"/>
  </cols>
  <sheetData>
    <row r="1">
      <c r="A1" s="1" t="s">
        <v>55</v>
      </c>
    </row>
    <row r="2">
      <c r="A2" s="2" t="s">
        <v>56</v>
      </c>
    </row>
    <row r="4" ht="30.0" customHeight="1">
      <c r="A4" s="4" t="s">
        <v>8</v>
      </c>
      <c r="B4" s="4" t="s">
        <v>60</v>
      </c>
      <c r="C4" s="4" t="s">
        <v>11</v>
      </c>
      <c r="D4" s="4" t="s">
        <v>63</v>
      </c>
      <c r="E4" s="4" t="s">
        <v>64</v>
      </c>
      <c r="F4" s="4" t="s">
        <v>23</v>
      </c>
      <c r="G4" s="4" t="s">
        <v>25</v>
      </c>
      <c r="H4" s="4" t="s">
        <v>40</v>
      </c>
      <c r="I4" s="4" t="s">
        <v>66</v>
      </c>
      <c r="J4" s="4" t="s">
        <v>67</v>
      </c>
    </row>
    <row r="5">
      <c r="A5" s="6" t="s">
        <v>68</v>
      </c>
      <c r="B5" s="6" t="s">
        <v>70</v>
      </c>
      <c r="C5" s="12">
        <v>11.0</v>
      </c>
      <c r="D5" s="11">
        <f>3/C5</f>
        <v>0.2727272727</v>
      </c>
      <c r="E5" s="12">
        <v>8.0</v>
      </c>
      <c r="F5" s="12">
        <v>0.0</v>
      </c>
      <c r="G5" s="12">
        <v>0.0</v>
      </c>
      <c r="H5" s="12">
        <v>0.0</v>
      </c>
      <c r="I5" s="12">
        <v>8.0</v>
      </c>
      <c r="J5" s="12">
        <f>C5-3</f>
        <v>8</v>
      </c>
    </row>
    <row r="6">
      <c r="A6" s="14" t="s">
        <v>50</v>
      </c>
      <c r="B6" s="14" t="s">
        <v>75</v>
      </c>
      <c r="C6" s="18">
        <v>52.0</v>
      </c>
      <c r="D6" s="16">
        <f>17/C6</f>
        <v>0.3269230769</v>
      </c>
      <c r="E6" s="18">
        <v>18.0</v>
      </c>
      <c r="F6" s="18">
        <v>0.0</v>
      </c>
      <c r="G6" s="18">
        <v>2.0</v>
      </c>
      <c r="H6" s="18">
        <v>15.0</v>
      </c>
      <c r="I6" s="18">
        <v>17.0</v>
      </c>
      <c r="J6" s="18">
        <f>C6-17</f>
        <v>35</v>
      </c>
    </row>
    <row r="7">
      <c r="A7" s="6" t="s">
        <v>69</v>
      </c>
      <c r="B7" s="6" t="s">
        <v>83</v>
      </c>
      <c r="C7" s="12">
        <v>21.0</v>
      </c>
      <c r="D7" s="11">
        <f>7/C7</f>
        <v>0.3333333333</v>
      </c>
      <c r="E7" s="12">
        <v>5.0</v>
      </c>
      <c r="F7" s="12">
        <v>1.0</v>
      </c>
      <c r="G7" s="12">
        <v>0.0</v>
      </c>
      <c r="H7" s="12">
        <v>8.0</v>
      </c>
      <c r="I7" s="12">
        <v>2.0</v>
      </c>
      <c r="J7" s="12">
        <f>C7-7</f>
        <v>14</v>
      </c>
    </row>
    <row r="8">
      <c r="A8" s="14" t="s">
        <v>69</v>
      </c>
      <c r="B8" s="14" t="s">
        <v>86</v>
      </c>
      <c r="C8" s="18">
        <v>12.0</v>
      </c>
      <c r="D8" s="16">
        <f>4/C8</f>
        <v>0.3333333333</v>
      </c>
      <c r="E8" s="18">
        <v>0.0</v>
      </c>
      <c r="F8" s="18">
        <v>2.0</v>
      </c>
      <c r="G8" s="18">
        <v>0.0</v>
      </c>
      <c r="H8" s="18">
        <v>6.0</v>
      </c>
      <c r="I8" s="18">
        <v>0.0</v>
      </c>
      <c r="J8" s="18">
        <f>C8-4</f>
        <v>8</v>
      </c>
    </row>
    <row r="9">
      <c r="A9" s="6" t="s">
        <v>72</v>
      </c>
      <c r="B9" s="6" t="s">
        <v>90</v>
      </c>
      <c r="C9" s="12">
        <v>31.0</v>
      </c>
      <c r="D9" s="11">
        <f>11/C9</f>
        <v>0.3548387097</v>
      </c>
      <c r="E9" s="12">
        <v>3.0</v>
      </c>
      <c r="F9" s="12">
        <v>0.0</v>
      </c>
      <c r="G9" s="12">
        <v>1.0</v>
      </c>
      <c r="H9" s="12">
        <v>16.0</v>
      </c>
      <c r="I9" s="12">
        <v>0.0</v>
      </c>
      <c r="J9" s="12">
        <f>C9-11</f>
        <v>20</v>
      </c>
    </row>
    <row r="10">
      <c r="A10" s="14" t="s">
        <v>54</v>
      </c>
      <c r="B10" s="14" t="s">
        <v>99</v>
      </c>
      <c r="C10" s="18">
        <v>24.0</v>
      </c>
      <c r="D10" s="16">
        <f>9/C10</f>
        <v>0.375</v>
      </c>
      <c r="E10" s="18">
        <v>7.0</v>
      </c>
      <c r="F10" s="18">
        <v>1.0</v>
      </c>
      <c r="G10" s="18">
        <v>1.0</v>
      </c>
      <c r="H10" s="18">
        <v>6.0</v>
      </c>
      <c r="I10" s="18">
        <v>0.0</v>
      </c>
      <c r="J10" s="18">
        <f>C10-9</f>
        <v>15</v>
      </c>
    </row>
    <row r="11">
      <c r="A11" s="6" t="s">
        <v>85</v>
      </c>
      <c r="B11" s="6" t="s">
        <v>102</v>
      </c>
      <c r="C11" s="12">
        <v>10.0</v>
      </c>
      <c r="D11" s="11">
        <f t="shared" ref="D11:D12" si="1">4/C11</f>
        <v>0.4</v>
      </c>
      <c r="E11" s="12">
        <v>3.0</v>
      </c>
      <c r="F11" s="12">
        <v>1.0</v>
      </c>
      <c r="G11" s="12">
        <v>0.0</v>
      </c>
      <c r="H11" s="12">
        <v>2.0</v>
      </c>
      <c r="I11" s="12">
        <v>3.0</v>
      </c>
      <c r="J11" s="12">
        <f t="shared" ref="J11:J12" si="2">C11-4</f>
        <v>6</v>
      </c>
    </row>
    <row r="12">
      <c r="A12" s="14" t="s">
        <v>62</v>
      </c>
      <c r="B12" s="14" t="s">
        <v>105</v>
      </c>
      <c r="C12" s="18">
        <v>10.0</v>
      </c>
      <c r="D12" s="16">
        <f t="shared" si="1"/>
        <v>0.4</v>
      </c>
      <c r="E12" s="18">
        <v>1.0</v>
      </c>
      <c r="F12" s="18">
        <v>0.0</v>
      </c>
      <c r="G12" s="18">
        <v>0.0</v>
      </c>
      <c r="H12" s="18">
        <v>5.0</v>
      </c>
      <c r="I12" s="18">
        <v>0.0</v>
      </c>
      <c r="J12" s="18">
        <f t="shared" si="2"/>
        <v>6</v>
      </c>
    </row>
    <row r="13">
      <c r="A13" s="6" t="s">
        <v>62</v>
      </c>
      <c r="B13" s="6" t="s">
        <v>107</v>
      </c>
      <c r="C13" s="12">
        <v>12.0</v>
      </c>
      <c r="D13" s="11">
        <f>5/C13</f>
        <v>0.4166666667</v>
      </c>
      <c r="E13" s="12">
        <v>3.0</v>
      </c>
      <c r="F13" s="12">
        <v>1.0</v>
      </c>
      <c r="G13" s="12">
        <v>1.0</v>
      </c>
      <c r="H13" s="12">
        <v>2.0</v>
      </c>
      <c r="I13" s="12">
        <v>3.0</v>
      </c>
      <c r="J13" s="12">
        <f>C13-5</f>
        <v>7</v>
      </c>
    </row>
    <row r="14">
      <c r="A14" s="14" t="s">
        <v>72</v>
      </c>
      <c r="B14" s="14" t="s">
        <v>109</v>
      </c>
      <c r="C14" s="18">
        <v>16.0</v>
      </c>
      <c r="D14" s="16">
        <f>7/C14</f>
        <v>0.4375</v>
      </c>
      <c r="E14" s="18">
        <v>5.0</v>
      </c>
      <c r="F14" s="18">
        <v>0.0</v>
      </c>
      <c r="G14" s="18">
        <v>1.0</v>
      </c>
      <c r="H14" s="18">
        <v>3.0</v>
      </c>
      <c r="I14" s="18">
        <v>4.0</v>
      </c>
      <c r="J14" s="18">
        <f>C14-7</f>
        <v>9</v>
      </c>
    </row>
    <row r="15">
      <c r="A15" s="6" t="s">
        <v>62</v>
      </c>
      <c r="B15" s="6" t="s">
        <v>111</v>
      </c>
      <c r="C15" s="12">
        <v>18.0</v>
      </c>
      <c r="D15" s="11">
        <f>8/C15</f>
        <v>0.4444444444</v>
      </c>
      <c r="E15" s="12">
        <v>4.0</v>
      </c>
      <c r="F15" s="12">
        <v>0.0</v>
      </c>
      <c r="G15" s="12">
        <v>0.0</v>
      </c>
      <c r="H15" s="12">
        <v>6.0</v>
      </c>
      <c r="I15" s="12">
        <v>3.0</v>
      </c>
      <c r="J15" s="12">
        <f>C15-8</f>
        <v>10</v>
      </c>
    </row>
    <row r="16">
      <c r="A16" s="14" t="s">
        <v>59</v>
      </c>
      <c r="B16" s="14" t="s">
        <v>113</v>
      </c>
      <c r="C16" s="18">
        <v>33.0</v>
      </c>
      <c r="D16" s="16">
        <f>15/C16</f>
        <v>0.4545454545</v>
      </c>
      <c r="E16" s="18">
        <v>5.0</v>
      </c>
      <c r="F16" s="18">
        <v>0.0</v>
      </c>
      <c r="G16" s="18">
        <v>0.0</v>
      </c>
      <c r="H16" s="18">
        <v>13.0</v>
      </c>
      <c r="I16" s="18">
        <v>0.0</v>
      </c>
      <c r="J16" s="18">
        <f>C16-15</f>
        <v>18</v>
      </c>
    </row>
    <row r="17">
      <c r="A17" s="6" t="s">
        <v>36</v>
      </c>
      <c r="B17" s="6" t="s">
        <v>88</v>
      </c>
      <c r="C17" s="12">
        <v>11.0</v>
      </c>
      <c r="D17" s="11">
        <f t="shared" ref="D17:D18" si="3">5/C17</f>
        <v>0.4545454545</v>
      </c>
      <c r="E17" s="12">
        <v>0.0</v>
      </c>
      <c r="F17" s="12">
        <v>0.0</v>
      </c>
      <c r="G17" s="12">
        <v>1.0</v>
      </c>
      <c r="H17" s="12">
        <v>5.0</v>
      </c>
      <c r="I17" s="12">
        <v>0.0</v>
      </c>
      <c r="J17" s="12">
        <f t="shared" ref="J17:J18" si="4">C17-5</f>
        <v>6</v>
      </c>
    </row>
    <row r="18">
      <c r="A18" s="14" t="s">
        <v>69</v>
      </c>
      <c r="B18" s="14" t="s">
        <v>115</v>
      </c>
      <c r="C18" s="18">
        <v>11.0</v>
      </c>
      <c r="D18" s="16">
        <f t="shared" si="3"/>
        <v>0.4545454545</v>
      </c>
      <c r="E18" s="18">
        <v>4.0</v>
      </c>
      <c r="F18" s="18">
        <v>0.0</v>
      </c>
      <c r="G18" s="18">
        <v>0.0</v>
      </c>
      <c r="H18" s="18">
        <v>2.0</v>
      </c>
      <c r="I18" s="18">
        <v>4.0</v>
      </c>
      <c r="J18" s="18">
        <f t="shared" si="4"/>
        <v>6</v>
      </c>
    </row>
    <row r="19">
      <c r="A19" s="6" t="s">
        <v>59</v>
      </c>
      <c r="B19" s="6" t="s">
        <v>117</v>
      </c>
      <c r="C19" s="12">
        <v>24.0</v>
      </c>
      <c r="D19" s="11">
        <f>12/C19</f>
        <v>0.5</v>
      </c>
      <c r="E19" s="12">
        <v>3.0</v>
      </c>
      <c r="F19" s="12">
        <v>0.0</v>
      </c>
      <c r="G19" s="12">
        <v>1.0</v>
      </c>
      <c r="H19" s="12">
        <v>8.0</v>
      </c>
      <c r="I19" s="12">
        <v>0.0</v>
      </c>
      <c r="J19" s="12">
        <f>C19-12</f>
        <v>12</v>
      </c>
    </row>
    <row r="20">
      <c r="A20" s="14" t="s">
        <v>62</v>
      </c>
      <c r="B20" s="14" t="s">
        <v>119</v>
      </c>
      <c r="C20" s="18">
        <v>22.0</v>
      </c>
      <c r="D20" s="16">
        <f>11/C20</f>
        <v>0.5</v>
      </c>
      <c r="E20" s="18">
        <v>5.0</v>
      </c>
      <c r="F20" s="18">
        <v>1.0</v>
      </c>
      <c r="G20" s="18">
        <v>2.0</v>
      </c>
      <c r="H20" s="18">
        <v>3.0</v>
      </c>
      <c r="I20" s="18">
        <v>2.0</v>
      </c>
      <c r="J20" s="18">
        <f>C20-11</f>
        <v>11</v>
      </c>
    </row>
    <row r="21" ht="15.75" customHeight="1">
      <c r="A21" s="6" t="s">
        <v>36</v>
      </c>
      <c r="B21" s="6" t="s">
        <v>84</v>
      </c>
      <c r="C21" s="12">
        <v>12.0</v>
      </c>
      <c r="D21" s="11">
        <f>6/C21</f>
        <v>0.5</v>
      </c>
      <c r="E21" s="12">
        <v>3.0</v>
      </c>
      <c r="F21" s="12">
        <v>1.0</v>
      </c>
      <c r="G21" s="12">
        <v>0.0</v>
      </c>
      <c r="H21" s="12">
        <v>2.0</v>
      </c>
      <c r="I21" s="12">
        <v>0.0</v>
      </c>
      <c r="J21" s="12">
        <f>C21-6</f>
        <v>6</v>
      </c>
    </row>
    <row r="22" ht="15.75" customHeight="1">
      <c r="A22" s="14" t="s">
        <v>59</v>
      </c>
      <c r="B22" s="14" t="s">
        <v>127</v>
      </c>
      <c r="C22" s="18">
        <v>10.0</v>
      </c>
      <c r="D22" s="16">
        <f>5/C22</f>
        <v>0.5</v>
      </c>
      <c r="E22" s="18">
        <v>1.0</v>
      </c>
      <c r="F22" s="18">
        <v>1.0</v>
      </c>
      <c r="G22" s="18">
        <v>1.0</v>
      </c>
      <c r="H22" s="18">
        <v>2.0</v>
      </c>
      <c r="I22" s="18">
        <v>0.0</v>
      </c>
      <c r="J22" s="18">
        <f>C22-5</f>
        <v>5</v>
      </c>
    </row>
    <row r="23" ht="15.75" customHeight="1">
      <c r="A23" s="6" t="s">
        <v>36</v>
      </c>
      <c r="B23" s="6" t="s">
        <v>47</v>
      </c>
      <c r="C23" s="12">
        <v>68.0</v>
      </c>
      <c r="D23" s="11">
        <f>36/C23</f>
        <v>0.5294117647</v>
      </c>
      <c r="E23" s="12">
        <v>17.0</v>
      </c>
      <c r="F23" s="12">
        <v>3.0</v>
      </c>
      <c r="G23" s="12">
        <v>0.0</v>
      </c>
      <c r="H23" s="12">
        <v>12.0</v>
      </c>
      <c r="I23" s="12">
        <v>3.0</v>
      </c>
      <c r="J23" s="12">
        <f>C23-36</f>
        <v>32</v>
      </c>
    </row>
    <row r="24" ht="15.75" customHeight="1">
      <c r="A24" s="14" t="s">
        <v>45</v>
      </c>
      <c r="B24" s="14" t="s">
        <v>143</v>
      </c>
      <c r="C24" s="18">
        <v>18.0</v>
      </c>
      <c r="D24" s="16">
        <f>10/C24</f>
        <v>0.5555555556</v>
      </c>
      <c r="E24" s="18">
        <v>3.0</v>
      </c>
      <c r="F24" s="18">
        <v>0.0</v>
      </c>
      <c r="G24" s="18">
        <v>0.0</v>
      </c>
      <c r="H24" s="18">
        <v>5.0</v>
      </c>
      <c r="I24" s="18">
        <v>0.0</v>
      </c>
      <c r="J24" s="18">
        <f>C24-10</f>
        <v>8</v>
      </c>
    </row>
    <row r="25" ht="15.75" customHeight="1">
      <c r="A25" s="6" t="s">
        <v>36</v>
      </c>
      <c r="B25" s="6" t="s">
        <v>77</v>
      </c>
      <c r="C25" s="12">
        <v>16.0</v>
      </c>
      <c r="D25" s="11">
        <f>9/C25</f>
        <v>0.5625</v>
      </c>
      <c r="E25" s="12">
        <v>3.0</v>
      </c>
      <c r="F25" s="12">
        <v>0.0</v>
      </c>
      <c r="G25" s="12">
        <v>0.0</v>
      </c>
      <c r="H25" s="12">
        <v>4.0</v>
      </c>
      <c r="I25" s="12">
        <v>0.0</v>
      </c>
      <c r="J25" s="12">
        <f>C25-9</f>
        <v>7</v>
      </c>
    </row>
    <row r="26" ht="15.75" customHeight="1">
      <c r="A26" s="14" t="s">
        <v>36</v>
      </c>
      <c r="B26" s="14" t="s">
        <v>73</v>
      </c>
      <c r="C26" s="18">
        <v>19.0</v>
      </c>
      <c r="D26" s="16">
        <f>11/C26</f>
        <v>0.5789473684</v>
      </c>
      <c r="E26" s="18">
        <v>3.0</v>
      </c>
      <c r="F26" s="18">
        <v>0.0</v>
      </c>
      <c r="G26" s="18">
        <v>0.0</v>
      </c>
      <c r="H26" s="18">
        <v>5.0</v>
      </c>
      <c r="I26" s="18">
        <v>0.0</v>
      </c>
      <c r="J26" s="18">
        <f>C26-11</f>
        <v>8</v>
      </c>
    </row>
    <row r="27" ht="15.75" customHeight="1">
      <c r="A27" s="6" t="s">
        <v>45</v>
      </c>
      <c r="B27" s="6" t="s">
        <v>166</v>
      </c>
      <c r="C27" s="12">
        <v>17.0</v>
      </c>
      <c r="D27" s="11">
        <f>10/C27</f>
        <v>0.5882352941</v>
      </c>
      <c r="E27" s="12">
        <v>4.0</v>
      </c>
      <c r="F27" s="12">
        <v>0.0</v>
      </c>
      <c r="G27" s="12">
        <v>0.0</v>
      </c>
      <c r="H27" s="12">
        <v>3.0</v>
      </c>
      <c r="I27" s="12">
        <v>0.0</v>
      </c>
      <c r="J27" s="12">
        <f>C27-10</f>
        <v>7</v>
      </c>
    </row>
    <row r="28" ht="15.75" customHeight="1">
      <c r="A28" s="14" t="s">
        <v>36</v>
      </c>
      <c r="B28" s="14" t="s">
        <v>58</v>
      </c>
      <c r="C28" s="18">
        <v>22.0</v>
      </c>
      <c r="D28" s="16">
        <f>13/C28</f>
        <v>0.5909090909</v>
      </c>
      <c r="E28" s="18">
        <v>7.0</v>
      </c>
      <c r="F28" s="18">
        <v>0.0</v>
      </c>
      <c r="G28" s="18">
        <v>0.0</v>
      </c>
      <c r="H28" s="18">
        <v>2.0</v>
      </c>
      <c r="I28" s="18">
        <v>0.0</v>
      </c>
      <c r="J28" s="18">
        <f>C28-13</f>
        <v>9</v>
      </c>
    </row>
    <row r="29" ht="15.75" customHeight="1">
      <c r="A29" s="6" t="s">
        <v>54</v>
      </c>
      <c r="B29" s="6" t="s">
        <v>182</v>
      </c>
      <c r="C29" s="12">
        <v>95.0</v>
      </c>
      <c r="D29" s="11">
        <f>57/C29</f>
        <v>0.6</v>
      </c>
      <c r="E29" s="12">
        <v>22.0</v>
      </c>
      <c r="F29" s="12">
        <v>2.0</v>
      </c>
      <c r="G29" s="12">
        <v>2.0</v>
      </c>
      <c r="H29" s="12">
        <v>12.0</v>
      </c>
      <c r="I29" s="12">
        <v>20.0</v>
      </c>
      <c r="J29" s="12">
        <f>C29-57</f>
        <v>38</v>
      </c>
    </row>
    <row r="30" ht="15.75" customHeight="1">
      <c r="A30" s="14" t="s">
        <v>50</v>
      </c>
      <c r="B30" s="14" t="s">
        <v>189</v>
      </c>
      <c r="C30" s="18">
        <v>10.0</v>
      </c>
      <c r="D30" s="16">
        <f>6/C30</f>
        <v>0.6</v>
      </c>
      <c r="E30" s="18">
        <v>2.0</v>
      </c>
      <c r="F30" s="18">
        <v>0.0</v>
      </c>
      <c r="G30" s="18">
        <v>0.0</v>
      </c>
      <c r="H30" s="18">
        <v>2.0</v>
      </c>
      <c r="I30" s="18">
        <v>0.0</v>
      </c>
      <c r="J30" s="18">
        <f>C30-6</f>
        <v>4</v>
      </c>
    </row>
    <row r="31" ht="15.75" customHeight="1">
      <c r="A31" s="6" t="s">
        <v>69</v>
      </c>
      <c r="B31" s="6" t="s">
        <v>197</v>
      </c>
      <c r="C31" s="12">
        <v>21.0</v>
      </c>
      <c r="D31" s="11">
        <f>13/C31</f>
        <v>0.619047619</v>
      </c>
      <c r="E31" s="12">
        <v>0.0</v>
      </c>
      <c r="F31" s="12">
        <v>1.0</v>
      </c>
      <c r="G31" s="12">
        <v>0.0</v>
      </c>
      <c r="H31" s="12">
        <v>7.0</v>
      </c>
      <c r="I31" s="12">
        <v>0.0</v>
      </c>
      <c r="J31" s="12">
        <f>C31-13</f>
        <v>8</v>
      </c>
    </row>
    <row r="32" ht="15.75" customHeight="1">
      <c r="A32" s="14" t="s">
        <v>36</v>
      </c>
      <c r="B32" s="14" t="s">
        <v>44</v>
      </c>
      <c r="C32" s="18">
        <v>73.0</v>
      </c>
      <c r="D32" s="16">
        <f>46/C32</f>
        <v>0.6301369863</v>
      </c>
      <c r="E32" s="18">
        <v>23.0</v>
      </c>
      <c r="F32" s="18">
        <v>0.0</v>
      </c>
      <c r="G32" s="18">
        <v>1.0</v>
      </c>
      <c r="H32" s="18">
        <v>3.0</v>
      </c>
      <c r="I32" s="18">
        <v>0.0</v>
      </c>
      <c r="J32" s="18">
        <f>C32-46</f>
        <v>27</v>
      </c>
    </row>
    <row r="33" ht="15.75" customHeight="1">
      <c r="A33" s="6" t="s">
        <v>62</v>
      </c>
      <c r="B33" s="6" t="s">
        <v>212</v>
      </c>
      <c r="C33" s="12">
        <v>11.0</v>
      </c>
      <c r="D33" s="11">
        <f>7/C33</f>
        <v>0.6363636364</v>
      </c>
      <c r="E33" s="12">
        <v>3.0</v>
      </c>
      <c r="F33" s="12">
        <v>0.0</v>
      </c>
      <c r="G33" s="12">
        <v>0.0</v>
      </c>
      <c r="H33" s="12">
        <v>1.0</v>
      </c>
      <c r="I33" s="12">
        <v>2.0</v>
      </c>
      <c r="J33" s="12">
        <f>C33-7</f>
        <v>4</v>
      </c>
    </row>
    <row r="34" ht="15.75" customHeight="1">
      <c r="A34" s="14" t="s">
        <v>54</v>
      </c>
      <c r="B34" s="14" t="s">
        <v>217</v>
      </c>
      <c r="C34" s="18">
        <v>17.0</v>
      </c>
      <c r="D34" s="16">
        <f>11/C34</f>
        <v>0.6470588235</v>
      </c>
      <c r="E34" s="18">
        <v>2.0</v>
      </c>
      <c r="F34" s="18">
        <v>0.0</v>
      </c>
      <c r="G34" s="18">
        <v>1.0</v>
      </c>
      <c r="H34" s="18">
        <v>3.0</v>
      </c>
      <c r="I34" s="18">
        <v>2.0</v>
      </c>
      <c r="J34" s="18">
        <f>C34-11</f>
        <v>6</v>
      </c>
    </row>
    <row r="35" ht="15.75" customHeight="1">
      <c r="A35" s="6" t="s">
        <v>76</v>
      </c>
      <c r="B35" s="6" t="s">
        <v>222</v>
      </c>
      <c r="C35" s="12">
        <v>20.0</v>
      </c>
      <c r="D35" s="11">
        <f>13/C35</f>
        <v>0.65</v>
      </c>
      <c r="E35" s="12">
        <v>2.0</v>
      </c>
      <c r="F35" s="12">
        <v>1.0</v>
      </c>
      <c r="G35" s="12">
        <v>0.0</v>
      </c>
      <c r="H35" s="12">
        <v>4.0</v>
      </c>
      <c r="I35" s="12">
        <v>1.0</v>
      </c>
      <c r="J35" s="12">
        <f>C35-13</f>
        <v>7</v>
      </c>
    </row>
    <row r="36" ht="15.75" customHeight="1">
      <c r="A36" s="14" t="s">
        <v>45</v>
      </c>
      <c r="B36" s="14" t="s">
        <v>161</v>
      </c>
      <c r="C36" s="18">
        <v>18.0</v>
      </c>
      <c r="D36" s="16">
        <f>12/C36</f>
        <v>0.6666666667</v>
      </c>
      <c r="E36" s="18">
        <v>0.0</v>
      </c>
      <c r="F36" s="18">
        <v>1.0</v>
      </c>
      <c r="G36" s="18">
        <v>1.0</v>
      </c>
      <c r="H36" s="18">
        <v>4.0</v>
      </c>
      <c r="I36" s="18">
        <v>0.0</v>
      </c>
      <c r="J36" s="18">
        <f>C36-12</f>
        <v>6</v>
      </c>
    </row>
    <row r="37" ht="15.75" customHeight="1">
      <c r="A37" s="6" t="s">
        <v>36</v>
      </c>
      <c r="B37" s="6" t="s">
        <v>82</v>
      </c>
      <c r="C37" s="12">
        <v>15.0</v>
      </c>
      <c r="D37" s="11">
        <f t="shared" ref="D37:D38" si="5">10/C37</f>
        <v>0.6666666667</v>
      </c>
      <c r="E37" s="12">
        <v>0.0</v>
      </c>
      <c r="F37" s="12">
        <v>0.0</v>
      </c>
      <c r="G37" s="12">
        <v>2.0</v>
      </c>
      <c r="H37" s="12">
        <v>3.0</v>
      </c>
      <c r="I37" s="12">
        <v>0.0</v>
      </c>
      <c r="J37" s="12">
        <f t="shared" ref="J37:J38" si="6">C37-10</f>
        <v>5</v>
      </c>
    </row>
    <row r="38" ht="15.75" customHeight="1">
      <c r="A38" s="14" t="s">
        <v>45</v>
      </c>
      <c r="B38" s="14" t="s">
        <v>183</v>
      </c>
      <c r="C38" s="18">
        <v>15.0</v>
      </c>
      <c r="D38" s="16">
        <f t="shared" si="5"/>
        <v>0.6666666667</v>
      </c>
      <c r="E38" s="18">
        <v>1.0</v>
      </c>
      <c r="F38" s="18">
        <v>1.0</v>
      </c>
      <c r="G38" s="18">
        <v>0.0</v>
      </c>
      <c r="H38" s="18">
        <v>3.0</v>
      </c>
      <c r="I38" s="18">
        <v>0.0</v>
      </c>
      <c r="J38" s="18">
        <f t="shared" si="6"/>
        <v>5</v>
      </c>
    </row>
    <row r="39" ht="15.75" customHeight="1">
      <c r="A39" s="6" t="s">
        <v>50</v>
      </c>
      <c r="B39" s="6" t="s">
        <v>245</v>
      </c>
      <c r="C39" s="12">
        <v>48.0</v>
      </c>
      <c r="D39" s="11">
        <f>33/C39</f>
        <v>0.6875</v>
      </c>
      <c r="E39" s="12">
        <v>7.0</v>
      </c>
      <c r="F39" s="12">
        <v>0.0</v>
      </c>
      <c r="G39" s="12">
        <v>1.0</v>
      </c>
      <c r="H39" s="12">
        <v>7.0</v>
      </c>
      <c r="I39" s="12">
        <v>2.0</v>
      </c>
      <c r="J39" s="12">
        <f>C39-33</f>
        <v>15</v>
      </c>
    </row>
    <row r="40" ht="15.75" customHeight="1">
      <c r="A40" s="14" t="s">
        <v>79</v>
      </c>
      <c r="B40" s="14" t="s">
        <v>255</v>
      </c>
      <c r="C40" s="18">
        <v>10.0</v>
      </c>
      <c r="D40" s="16">
        <f>7/C40</f>
        <v>0.7</v>
      </c>
      <c r="E40" s="18">
        <v>1.0</v>
      </c>
      <c r="F40" s="18">
        <v>0.0</v>
      </c>
      <c r="G40" s="18">
        <v>0.0</v>
      </c>
      <c r="H40" s="18">
        <v>2.0</v>
      </c>
      <c r="I40" s="18">
        <v>0.0</v>
      </c>
      <c r="J40" s="18">
        <f>C40-7</f>
        <v>3</v>
      </c>
    </row>
    <row r="41" ht="15.75" customHeight="1">
      <c r="A41" s="6" t="s">
        <v>62</v>
      </c>
      <c r="B41" s="6" t="s">
        <v>261</v>
      </c>
      <c r="C41" s="12">
        <v>14.0</v>
      </c>
      <c r="D41" s="11">
        <f>10/C41</f>
        <v>0.7142857143</v>
      </c>
      <c r="E41" s="12">
        <v>2.0</v>
      </c>
      <c r="F41" s="12">
        <v>0.0</v>
      </c>
      <c r="G41" s="12">
        <v>0.0</v>
      </c>
      <c r="H41" s="12">
        <v>2.0</v>
      </c>
      <c r="I41" s="12">
        <v>0.0</v>
      </c>
      <c r="J41" s="12">
        <f>C41-10</f>
        <v>4</v>
      </c>
    </row>
    <row r="42" ht="15.75" customHeight="1">
      <c r="A42" s="14" t="s">
        <v>48</v>
      </c>
      <c r="B42" s="14" t="s">
        <v>267</v>
      </c>
      <c r="C42" s="18">
        <v>36.0</v>
      </c>
      <c r="D42" s="16">
        <f>26/C42</f>
        <v>0.7222222222</v>
      </c>
      <c r="E42" s="18">
        <v>1.0</v>
      </c>
      <c r="F42" s="18">
        <v>0.0</v>
      </c>
      <c r="G42" s="18">
        <v>2.0</v>
      </c>
      <c r="H42" s="18">
        <v>7.0</v>
      </c>
      <c r="I42" s="18">
        <v>0.0</v>
      </c>
      <c r="J42" s="18">
        <f>C42-26</f>
        <v>10</v>
      </c>
    </row>
    <row r="43" ht="15.75" customHeight="1">
      <c r="A43" s="6" t="s">
        <v>36</v>
      </c>
      <c r="B43" s="6" t="s">
        <v>92</v>
      </c>
      <c r="C43" s="12">
        <v>11.0</v>
      </c>
      <c r="D43" s="11">
        <f>8/C43</f>
        <v>0.7272727273</v>
      </c>
      <c r="E43" s="12">
        <v>0.0</v>
      </c>
      <c r="F43" s="12">
        <v>0.0</v>
      </c>
      <c r="G43" s="12">
        <v>0.0</v>
      </c>
      <c r="H43" s="12">
        <v>3.0</v>
      </c>
      <c r="I43" s="12">
        <v>0.0</v>
      </c>
      <c r="J43" s="12">
        <f>C43-8</f>
        <v>3</v>
      </c>
    </row>
    <row r="44" ht="15.75" customHeight="1">
      <c r="A44" s="14" t="s">
        <v>48</v>
      </c>
      <c r="B44" s="14" t="s">
        <v>284</v>
      </c>
      <c r="C44" s="18">
        <v>30.0</v>
      </c>
      <c r="D44" s="16">
        <f>22/C44</f>
        <v>0.7333333333</v>
      </c>
      <c r="E44" s="18">
        <v>1.0</v>
      </c>
      <c r="F44" s="18">
        <v>3.0</v>
      </c>
      <c r="G44" s="18">
        <v>1.0</v>
      </c>
      <c r="H44" s="18">
        <v>3.0</v>
      </c>
      <c r="I44" s="18">
        <v>1.0</v>
      </c>
      <c r="J44" s="18">
        <f>C44-22</f>
        <v>8</v>
      </c>
    </row>
    <row r="45" ht="15.75" customHeight="1">
      <c r="A45" s="6" t="s">
        <v>48</v>
      </c>
      <c r="B45" s="6" t="s">
        <v>248</v>
      </c>
      <c r="C45" s="12">
        <v>54.0</v>
      </c>
      <c r="D45" s="11">
        <f>40/C45</f>
        <v>0.7407407407</v>
      </c>
      <c r="E45" s="12">
        <v>5.0</v>
      </c>
      <c r="F45" s="12">
        <v>2.0</v>
      </c>
      <c r="G45" s="12">
        <v>2.0</v>
      </c>
      <c r="H45" s="12">
        <v>5.0</v>
      </c>
      <c r="I45" s="12">
        <v>2.0</v>
      </c>
      <c r="J45" s="12">
        <f>C45-40</f>
        <v>14</v>
      </c>
    </row>
    <row r="46" ht="15.75" customHeight="1">
      <c r="A46" s="14" t="s">
        <v>50</v>
      </c>
      <c r="B46" s="14" t="s">
        <v>311</v>
      </c>
      <c r="C46" s="18">
        <v>17.0</v>
      </c>
      <c r="D46" s="16">
        <f>13/C46</f>
        <v>0.7647058824</v>
      </c>
      <c r="E46" s="18">
        <v>0.0</v>
      </c>
      <c r="F46" s="18">
        <v>0.0</v>
      </c>
      <c r="G46" s="18">
        <v>0.0</v>
      </c>
      <c r="H46" s="18">
        <v>4.0</v>
      </c>
      <c r="I46" s="18">
        <v>0.0</v>
      </c>
      <c r="J46" s="18">
        <f>C46-13</f>
        <v>4</v>
      </c>
    </row>
    <row r="47" ht="15.75" customHeight="1">
      <c r="A47" s="6" t="s">
        <v>50</v>
      </c>
      <c r="B47" s="6" t="s">
        <v>328</v>
      </c>
      <c r="C47" s="12">
        <v>30.0</v>
      </c>
      <c r="D47" s="11">
        <f>23/C47</f>
        <v>0.7666666667</v>
      </c>
      <c r="E47" s="12">
        <v>2.0</v>
      </c>
      <c r="F47" s="12">
        <v>0.0</v>
      </c>
      <c r="G47" s="12">
        <v>0.0</v>
      </c>
      <c r="H47" s="12">
        <v>5.0</v>
      </c>
      <c r="I47" s="12">
        <v>1.0</v>
      </c>
      <c r="J47" s="12">
        <f>C47-23</f>
        <v>7</v>
      </c>
    </row>
    <row r="48" ht="15.75" customHeight="1">
      <c r="A48" s="14" t="s">
        <v>48</v>
      </c>
      <c r="B48" s="14" t="s">
        <v>339</v>
      </c>
      <c r="C48" s="18">
        <v>13.0</v>
      </c>
      <c r="D48" s="16">
        <f>10/C48</f>
        <v>0.7692307692</v>
      </c>
      <c r="E48" s="18">
        <v>1.0</v>
      </c>
      <c r="F48" s="18">
        <v>0.0</v>
      </c>
      <c r="G48" s="18">
        <v>0.0</v>
      </c>
      <c r="H48" s="18">
        <v>2.0</v>
      </c>
      <c r="I48" s="18">
        <v>0.0</v>
      </c>
      <c r="J48" s="18">
        <f>C48-10</f>
        <v>3</v>
      </c>
    </row>
    <row r="49" ht="15.75" customHeight="1">
      <c r="A49" s="6" t="s">
        <v>48</v>
      </c>
      <c r="B49" s="6" t="s">
        <v>299</v>
      </c>
      <c r="C49" s="12">
        <v>23.0</v>
      </c>
      <c r="D49" s="11">
        <f>18/C49</f>
        <v>0.7826086957</v>
      </c>
      <c r="E49" s="12">
        <v>1.0</v>
      </c>
      <c r="F49" s="12">
        <v>0.0</v>
      </c>
      <c r="G49" s="12">
        <v>0.0</v>
      </c>
      <c r="H49" s="12">
        <v>4.0</v>
      </c>
      <c r="I49" s="12">
        <v>0.0</v>
      </c>
      <c r="J49" s="12">
        <f>C49-18</f>
        <v>5</v>
      </c>
    </row>
    <row r="50" ht="15.75" customHeight="1">
      <c r="A50" s="14" t="s">
        <v>48</v>
      </c>
      <c r="B50" s="14" t="s">
        <v>258</v>
      </c>
      <c r="C50" s="18">
        <v>48.0</v>
      </c>
      <c r="D50" s="16">
        <f>38/C50</f>
        <v>0.7916666667</v>
      </c>
      <c r="E50" s="18">
        <v>6.0</v>
      </c>
      <c r="F50" s="18">
        <v>0.0</v>
      </c>
      <c r="G50" s="18">
        <v>0.0</v>
      </c>
      <c r="H50" s="18">
        <v>4.0</v>
      </c>
      <c r="I50" s="18">
        <v>2.0</v>
      </c>
      <c r="J50" s="18">
        <f>C50-38</f>
        <v>10</v>
      </c>
    </row>
    <row r="51" ht="15.75" customHeight="1">
      <c r="A51" s="6" t="s">
        <v>45</v>
      </c>
      <c r="B51" s="6" t="s">
        <v>148</v>
      </c>
      <c r="C51" s="12">
        <v>37.0</v>
      </c>
      <c r="D51" s="11">
        <f>30/C51</f>
        <v>0.8108108108</v>
      </c>
      <c r="E51" s="12">
        <v>2.0</v>
      </c>
      <c r="F51" s="12">
        <v>0.0</v>
      </c>
      <c r="G51" s="12">
        <v>0.0</v>
      </c>
      <c r="H51" s="12">
        <v>5.0</v>
      </c>
      <c r="I51" s="12">
        <v>0.0</v>
      </c>
      <c r="J51" s="12">
        <f>C51-30</f>
        <v>7</v>
      </c>
    </row>
    <row r="52" ht="15.75" customHeight="1">
      <c r="A52" s="14" t="s">
        <v>48</v>
      </c>
      <c r="B52" s="14" t="s">
        <v>265</v>
      </c>
      <c r="C52" s="18">
        <v>44.0</v>
      </c>
      <c r="D52" s="16">
        <f>36/C52</f>
        <v>0.8181818182</v>
      </c>
      <c r="E52" s="18">
        <v>1.0</v>
      </c>
      <c r="F52" s="18">
        <v>0.0</v>
      </c>
      <c r="G52" s="18">
        <v>2.0</v>
      </c>
      <c r="H52" s="18">
        <v>5.0</v>
      </c>
      <c r="I52" s="18">
        <v>0.0</v>
      </c>
      <c r="J52" s="18">
        <f>C52-36</f>
        <v>8</v>
      </c>
    </row>
    <row r="53" ht="15.75" customHeight="1">
      <c r="A53" s="6" t="s">
        <v>45</v>
      </c>
      <c r="B53" s="6" t="s">
        <v>130</v>
      </c>
      <c r="C53" s="12">
        <v>105.0</v>
      </c>
      <c r="D53" s="11">
        <f>87/C53</f>
        <v>0.8285714286</v>
      </c>
      <c r="E53" s="12">
        <v>5.0</v>
      </c>
      <c r="F53" s="12">
        <v>2.0</v>
      </c>
      <c r="G53" s="12">
        <v>0.0</v>
      </c>
      <c r="H53" s="12">
        <v>11.0</v>
      </c>
      <c r="I53" s="12">
        <v>0.0</v>
      </c>
      <c r="J53" s="12">
        <f>C53-87</f>
        <v>18</v>
      </c>
    </row>
    <row r="54" ht="15.75" customHeight="1">
      <c r="A54" s="14" t="s">
        <v>59</v>
      </c>
      <c r="B54" s="14" t="s">
        <v>373</v>
      </c>
      <c r="C54" s="18">
        <v>35.0</v>
      </c>
      <c r="D54" s="16">
        <f>29/C54</f>
        <v>0.8285714286</v>
      </c>
      <c r="E54" s="18">
        <v>0.0</v>
      </c>
      <c r="F54" s="18">
        <v>0.0</v>
      </c>
      <c r="G54" s="18">
        <v>0.0</v>
      </c>
      <c r="H54" s="18">
        <v>6.0</v>
      </c>
      <c r="I54" s="18">
        <v>0.0</v>
      </c>
      <c r="J54" s="18">
        <f>C54-29</f>
        <v>6</v>
      </c>
    </row>
    <row r="55" ht="15.75" customHeight="1">
      <c r="A55" s="6" t="s">
        <v>48</v>
      </c>
      <c r="B55" s="6" t="s">
        <v>365</v>
      </c>
      <c r="C55" s="12">
        <v>12.0</v>
      </c>
      <c r="D55" s="11">
        <f>10/C55</f>
        <v>0.8333333333</v>
      </c>
      <c r="E55" s="12">
        <v>0.0</v>
      </c>
      <c r="F55" s="12">
        <v>0.0</v>
      </c>
      <c r="G55" s="12">
        <v>0.0</v>
      </c>
      <c r="H55" s="12">
        <v>2.0</v>
      </c>
      <c r="I55" s="12">
        <v>0.0</v>
      </c>
      <c r="J55" s="12">
        <f>C55-10</f>
        <v>2</v>
      </c>
    </row>
    <row r="56" ht="15.75" customHeight="1">
      <c r="A56" s="14" t="s">
        <v>36</v>
      </c>
      <c r="B56" s="14" t="s">
        <v>51</v>
      </c>
      <c r="C56" s="18">
        <v>25.0</v>
      </c>
      <c r="D56" s="16">
        <f>21/C56</f>
        <v>0.84</v>
      </c>
      <c r="E56" s="18">
        <v>0.0</v>
      </c>
      <c r="F56" s="18">
        <v>2.0</v>
      </c>
      <c r="G56" s="18">
        <v>1.0</v>
      </c>
      <c r="H56" s="18">
        <v>1.0</v>
      </c>
      <c r="I56" s="18">
        <v>0.0</v>
      </c>
      <c r="J56" s="18">
        <f>C56-21</f>
        <v>4</v>
      </c>
    </row>
    <row r="57" ht="15.75" customHeight="1">
      <c r="A57" s="6" t="s">
        <v>45</v>
      </c>
      <c r="B57" s="6" t="s">
        <v>140</v>
      </c>
      <c r="C57" s="12">
        <v>60.0</v>
      </c>
      <c r="D57" s="11">
        <f>52/C57</f>
        <v>0.8666666667</v>
      </c>
      <c r="E57" s="12">
        <v>2.0</v>
      </c>
      <c r="F57" s="12">
        <v>1.0</v>
      </c>
      <c r="G57" s="12">
        <v>0.0</v>
      </c>
      <c r="H57" s="12">
        <v>5.0</v>
      </c>
      <c r="I57" s="12">
        <v>0.0</v>
      </c>
      <c r="J57" s="12">
        <f>C57-52</f>
        <v>8</v>
      </c>
    </row>
    <row r="58" ht="15.75" customHeight="1">
      <c r="A58" s="14" t="s">
        <v>48</v>
      </c>
      <c r="B58" s="14" t="s">
        <v>313</v>
      </c>
      <c r="C58" s="18">
        <v>18.0</v>
      </c>
      <c r="D58" s="16">
        <f>16/C58</f>
        <v>0.8888888889</v>
      </c>
      <c r="E58" s="18">
        <v>0.0</v>
      </c>
      <c r="F58" s="18">
        <v>0.0</v>
      </c>
      <c r="G58" s="18">
        <v>0.0</v>
      </c>
      <c r="H58" s="18">
        <v>2.0</v>
      </c>
      <c r="I58" s="18">
        <v>0.0</v>
      </c>
      <c r="J58" s="18">
        <f>C58-16</f>
        <v>2</v>
      </c>
    </row>
    <row r="59" ht="15.75" customHeight="1">
      <c r="A59" s="6" t="s">
        <v>36</v>
      </c>
      <c r="B59" s="6" t="s">
        <v>65</v>
      </c>
      <c r="C59" s="12">
        <v>22.0</v>
      </c>
      <c r="D59" s="11">
        <f>20/C59</f>
        <v>0.9090909091</v>
      </c>
      <c r="E59" s="12">
        <v>1.0</v>
      </c>
      <c r="F59" s="12">
        <v>0.0</v>
      </c>
      <c r="G59" s="12">
        <v>0.0</v>
      </c>
      <c r="H59" s="12">
        <v>1.0</v>
      </c>
      <c r="I59" s="12">
        <v>0.0</v>
      </c>
      <c r="J59" s="12">
        <f>C59-20</f>
        <v>2</v>
      </c>
    </row>
    <row r="60" ht="15.75" customHeight="1">
      <c r="A60" s="14" t="s">
        <v>45</v>
      </c>
      <c r="B60" s="14" t="s">
        <v>169</v>
      </c>
      <c r="C60" s="18">
        <v>18.0</v>
      </c>
      <c r="D60" s="16">
        <f>17/C60</f>
        <v>0.9444444444</v>
      </c>
      <c r="E60" s="18">
        <v>0.0</v>
      </c>
      <c r="F60" s="18">
        <v>0.0</v>
      </c>
      <c r="G60" s="18">
        <v>0.0</v>
      </c>
      <c r="H60" s="18">
        <v>1.0</v>
      </c>
      <c r="I60" s="18">
        <v>0.0</v>
      </c>
      <c r="J60" s="18">
        <f>C60-17</f>
        <v>1</v>
      </c>
    </row>
    <row r="61" ht="15.75" customHeight="1">
      <c r="A61" s="6" t="s">
        <v>48</v>
      </c>
      <c r="B61" s="6" t="s">
        <v>329</v>
      </c>
      <c r="C61" s="12">
        <v>15.0</v>
      </c>
      <c r="D61" s="11">
        <f>15/C61</f>
        <v>1</v>
      </c>
      <c r="E61" s="12">
        <v>0.0</v>
      </c>
      <c r="F61" s="12">
        <v>0.0</v>
      </c>
      <c r="G61" s="12">
        <v>0.0</v>
      </c>
      <c r="H61" s="12">
        <v>0.0</v>
      </c>
      <c r="I61" s="12">
        <v>0.0</v>
      </c>
      <c r="J61" s="12">
        <f>C61-15</f>
        <v>0</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30.0"/>
    <col customWidth="1" min="2" max="2" width="42.0"/>
    <col customWidth="1" min="3" max="3" width="7.0"/>
    <col customWidth="1" min="4" max="5" width="62.0"/>
    <col customWidth="1" min="6" max="6" width="20.0"/>
    <col customWidth="1" min="7" max="26" width="8.71"/>
  </cols>
  <sheetData>
    <row r="1">
      <c r="A1" s="1" t="s">
        <v>122</v>
      </c>
    </row>
    <row r="2">
      <c r="A2" s="2" t="s">
        <v>123</v>
      </c>
    </row>
    <row r="4" ht="30.0" customHeight="1">
      <c r="A4" s="4" t="s">
        <v>8</v>
      </c>
      <c r="B4" s="4" t="s">
        <v>60</v>
      </c>
      <c r="C4" s="4" t="s">
        <v>11</v>
      </c>
      <c r="D4" s="4" t="s">
        <v>124</v>
      </c>
      <c r="E4" s="4" t="s">
        <v>125</v>
      </c>
      <c r="F4" s="4" t="s">
        <v>126</v>
      </c>
    </row>
    <row r="5">
      <c r="A5" s="6" t="s">
        <v>36</v>
      </c>
      <c r="B5" s="6" t="s">
        <v>44</v>
      </c>
      <c r="C5" s="6">
        <v>73.0</v>
      </c>
      <c r="D5" s="6" t="s">
        <v>128</v>
      </c>
      <c r="E5" s="6" t="s">
        <v>129</v>
      </c>
      <c r="F5" s="6" t="s">
        <v>15</v>
      </c>
    </row>
    <row r="6">
      <c r="A6" s="6"/>
      <c r="B6" s="6"/>
      <c r="C6" s="6"/>
      <c r="D6" s="6" t="s">
        <v>131</v>
      </c>
      <c r="E6" s="6" t="s">
        <v>132</v>
      </c>
      <c r="F6" s="6" t="s">
        <v>15</v>
      </c>
    </row>
    <row r="7">
      <c r="A7" s="6"/>
      <c r="B7" s="6"/>
      <c r="C7" s="6"/>
      <c r="D7" s="6" t="s">
        <v>133</v>
      </c>
      <c r="E7" s="6" t="s">
        <v>134</v>
      </c>
      <c r="F7" s="6" t="s">
        <v>15</v>
      </c>
    </row>
    <row r="8">
      <c r="A8" s="6" t="s">
        <v>36</v>
      </c>
      <c r="B8" s="6" t="s">
        <v>47</v>
      </c>
      <c r="C8" s="6">
        <v>68.0</v>
      </c>
      <c r="D8" s="6" t="s">
        <v>135</v>
      </c>
      <c r="E8" s="6" t="s">
        <v>136</v>
      </c>
      <c r="F8" s="6" t="s">
        <v>29</v>
      </c>
    </row>
    <row r="9">
      <c r="A9" s="6"/>
      <c r="B9" s="6"/>
      <c r="C9" s="6"/>
      <c r="D9" s="6" t="s">
        <v>137</v>
      </c>
      <c r="E9" s="6" t="s">
        <v>138</v>
      </c>
      <c r="F9" s="6" t="s">
        <v>15</v>
      </c>
    </row>
    <row r="10">
      <c r="A10" s="6"/>
      <c r="B10" s="6"/>
      <c r="C10" s="6"/>
      <c r="D10" s="6" t="s">
        <v>139</v>
      </c>
      <c r="E10" s="6" t="s">
        <v>132</v>
      </c>
      <c r="F10" s="6" t="s">
        <v>15</v>
      </c>
    </row>
    <row r="11">
      <c r="A11" s="6" t="s">
        <v>36</v>
      </c>
      <c r="B11" s="6" t="s">
        <v>51</v>
      </c>
      <c r="C11" s="6">
        <v>25.0</v>
      </c>
      <c r="D11" s="6" t="s">
        <v>141</v>
      </c>
      <c r="E11" s="6" t="s">
        <v>142</v>
      </c>
      <c r="F11" s="6" t="s">
        <v>15</v>
      </c>
    </row>
    <row r="12">
      <c r="A12" s="6"/>
      <c r="B12" s="6"/>
      <c r="C12" s="6"/>
      <c r="D12" s="6" t="s">
        <v>144</v>
      </c>
      <c r="E12" s="6" t="s">
        <v>145</v>
      </c>
      <c r="F12" s="6" t="s">
        <v>15</v>
      </c>
    </row>
    <row r="13">
      <c r="A13" s="6"/>
      <c r="B13" s="6"/>
      <c r="C13" s="6"/>
      <c r="D13" s="6" t="s">
        <v>146</v>
      </c>
      <c r="E13" s="6" t="s">
        <v>147</v>
      </c>
      <c r="F13" s="6" t="s">
        <v>15</v>
      </c>
    </row>
    <row r="14">
      <c r="A14" s="6" t="s">
        <v>36</v>
      </c>
      <c r="B14" s="6" t="s">
        <v>58</v>
      </c>
      <c r="C14" s="6">
        <v>22.0</v>
      </c>
      <c r="D14" s="6" t="s">
        <v>149</v>
      </c>
      <c r="E14" s="6" t="s">
        <v>150</v>
      </c>
      <c r="F14" s="6" t="s">
        <v>15</v>
      </c>
    </row>
    <row r="15">
      <c r="A15" s="6"/>
      <c r="B15" s="6"/>
      <c r="C15" s="6"/>
      <c r="D15" s="6" t="s">
        <v>151</v>
      </c>
      <c r="E15" s="6" t="s">
        <v>152</v>
      </c>
      <c r="F15" s="6" t="s">
        <v>15</v>
      </c>
    </row>
    <row r="16">
      <c r="A16" s="6"/>
      <c r="B16" s="6"/>
      <c r="C16" s="6"/>
      <c r="D16" s="6" t="s">
        <v>153</v>
      </c>
      <c r="E16" s="6" t="s">
        <v>154</v>
      </c>
      <c r="F16" s="6" t="s">
        <v>15</v>
      </c>
    </row>
    <row r="17">
      <c r="A17" s="6" t="s">
        <v>36</v>
      </c>
      <c r="B17" s="6" t="s">
        <v>65</v>
      </c>
      <c r="C17" s="6">
        <v>22.0</v>
      </c>
      <c r="D17" s="6" t="s">
        <v>155</v>
      </c>
      <c r="E17" s="6" t="s">
        <v>156</v>
      </c>
      <c r="F17" s="6" t="s">
        <v>15</v>
      </c>
    </row>
    <row r="18">
      <c r="A18" s="6"/>
      <c r="B18" s="6"/>
      <c r="C18" s="6"/>
      <c r="D18" s="6" t="s">
        <v>155</v>
      </c>
      <c r="E18" s="6" t="s">
        <v>136</v>
      </c>
      <c r="F18" s="6" t="s">
        <v>29</v>
      </c>
    </row>
    <row r="19">
      <c r="A19" s="6"/>
      <c r="B19" s="6"/>
      <c r="C19" s="6"/>
      <c r="D19" s="6" t="s">
        <v>157</v>
      </c>
      <c r="E19" s="6" t="s">
        <v>158</v>
      </c>
      <c r="F19" s="6" t="s">
        <v>15</v>
      </c>
    </row>
    <row r="20">
      <c r="A20" s="6" t="s">
        <v>36</v>
      </c>
      <c r="B20" s="6" t="s">
        <v>73</v>
      </c>
      <c r="C20" s="6">
        <v>19.0</v>
      </c>
      <c r="D20" s="6" t="s">
        <v>159</v>
      </c>
      <c r="E20" s="6" t="s">
        <v>160</v>
      </c>
      <c r="F20" s="6" t="s">
        <v>15</v>
      </c>
    </row>
    <row r="21" ht="15.75" customHeight="1">
      <c r="A21" s="6"/>
      <c r="B21" s="6"/>
      <c r="C21" s="6"/>
      <c r="D21" s="6" t="s">
        <v>162</v>
      </c>
      <c r="E21" s="6" t="s">
        <v>163</v>
      </c>
      <c r="F21" s="6" t="s">
        <v>15</v>
      </c>
    </row>
    <row r="22" ht="15.75" customHeight="1">
      <c r="A22" s="6"/>
      <c r="B22" s="6"/>
      <c r="C22" s="6"/>
      <c r="D22" s="6" t="s">
        <v>164</v>
      </c>
      <c r="E22" s="6" t="s">
        <v>165</v>
      </c>
      <c r="F22" s="6" t="s">
        <v>15</v>
      </c>
    </row>
    <row r="23" ht="15.75" customHeight="1">
      <c r="A23" s="6" t="s">
        <v>36</v>
      </c>
      <c r="B23" s="6" t="s">
        <v>77</v>
      </c>
      <c r="C23" s="6">
        <v>16.0</v>
      </c>
      <c r="D23" s="6" t="s">
        <v>167</v>
      </c>
      <c r="E23" s="6" t="s">
        <v>168</v>
      </c>
      <c r="F23" s="6" t="s">
        <v>15</v>
      </c>
    </row>
    <row r="24" ht="15.75" customHeight="1">
      <c r="A24" s="6"/>
      <c r="B24" s="6"/>
      <c r="C24" s="6"/>
      <c r="D24" s="6" t="s">
        <v>170</v>
      </c>
      <c r="E24" s="6" t="s">
        <v>171</v>
      </c>
      <c r="F24" s="6" t="s">
        <v>15</v>
      </c>
    </row>
    <row r="25" ht="15.75" customHeight="1">
      <c r="A25" s="6"/>
      <c r="B25" s="6"/>
      <c r="C25" s="6"/>
      <c r="D25" s="6" t="s">
        <v>172</v>
      </c>
      <c r="E25" s="6" t="s">
        <v>173</v>
      </c>
      <c r="F25" s="6" t="s">
        <v>15</v>
      </c>
    </row>
    <row r="26" ht="15.75" customHeight="1">
      <c r="A26" s="6" t="s">
        <v>36</v>
      </c>
      <c r="B26" s="6" t="s">
        <v>82</v>
      </c>
      <c r="C26" s="6">
        <v>15.0</v>
      </c>
      <c r="D26" s="6" t="s">
        <v>174</v>
      </c>
      <c r="E26" s="6" t="s">
        <v>175</v>
      </c>
      <c r="F26" s="6" t="s">
        <v>29</v>
      </c>
    </row>
    <row r="27" ht="15.75" customHeight="1">
      <c r="A27" s="6"/>
      <c r="B27" s="6"/>
      <c r="C27" s="6"/>
      <c r="D27" s="6" t="s">
        <v>176</v>
      </c>
      <c r="E27" s="6" t="s">
        <v>132</v>
      </c>
      <c r="F27" s="6" t="s">
        <v>15</v>
      </c>
    </row>
    <row r="28" ht="15.75" customHeight="1">
      <c r="A28" s="6"/>
      <c r="B28" s="6"/>
      <c r="C28" s="6"/>
      <c r="D28" s="6" t="s">
        <v>177</v>
      </c>
      <c r="E28" s="6" t="s">
        <v>178</v>
      </c>
      <c r="F28" s="6" t="s">
        <v>15</v>
      </c>
    </row>
    <row r="29" ht="15.75" customHeight="1">
      <c r="A29" s="6" t="s">
        <v>36</v>
      </c>
      <c r="B29" s="6" t="s">
        <v>84</v>
      </c>
      <c r="C29" s="6">
        <v>12.0</v>
      </c>
      <c r="D29" s="6" t="s">
        <v>179</v>
      </c>
      <c r="E29" s="6" t="s">
        <v>180</v>
      </c>
      <c r="F29" s="6" t="s">
        <v>15</v>
      </c>
    </row>
    <row r="30" ht="15.75" customHeight="1">
      <c r="A30" s="6"/>
      <c r="B30" s="6"/>
      <c r="C30" s="6"/>
      <c r="D30" s="6" t="s">
        <v>181</v>
      </c>
      <c r="E30" s="6" t="s">
        <v>132</v>
      </c>
      <c r="F30" s="6" t="s">
        <v>15</v>
      </c>
    </row>
    <row r="31" ht="15.75" customHeight="1">
      <c r="A31" s="6"/>
      <c r="B31" s="6"/>
      <c r="C31" s="6"/>
      <c r="D31" s="6" t="s">
        <v>184</v>
      </c>
      <c r="E31" s="6" t="s">
        <v>185</v>
      </c>
      <c r="F31" s="6" t="s">
        <v>15</v>
      </c>
    </row>
    <row r="32" ht="15.75" customHeight="1">
      <c r="A32" s="6" t="s">
        <v>36</v>
      </c>
      <c r="B32" s="6" t="s">
        <v>88</v>
      </c>
      <c r="C32" s="6">
        <v>11.0</v>
      </c>
      <c r="D32" s="6" t="s">
        <v>186</v>
      </c>
      <c r="E32" s="6" t="s">
        <v>136</v>
      </c>
      <c r="F32" s="6" t="s">
        <v>29</v>
      </c>
    </row>
    <row r="33" ht="15.75" customHeight="1">
      <c r="A33" s="6"/>
      <c r="B33" s="6"/>
      <c r="C33" s="6"/>
      <c r="D33" s="6" t="s">
        <v>187</v>
      </c>
      <c r="E33" s="6" t="s">
        <v>188</v>
      </c>
      <c r="F33" s="6" t="s">
        <v>15</v>
      </c>
    </row>
    <row r="34" ht="15.75" customHeight="1">
      <c r="A34" s="6"/>
      <c r="B34" s="6"/>
      <c r="C34" s="6"/>
      <c r="D34" s="6" t="s">
        <v>190</v>
      </c>
      <c r="E34" s="6" t="s">
        <v>191</v>
      </c>
      <c r="F34" s="6" t="s">
        <v>15</v>
      </c>
    </row>
    <row r="35" ht="15.75" customHeight="1">
      <c r="A35" s="6" t="s">
        <v>36</v>
      </c>
      <c r="B35" s="6" t="s">
        <v>92</v>
      </c>
      <c r="C35" s="6">
        <v>11.0</v>
      </c>
      <c r="D35" s="6" t="s">
        <v>192</v>
      </c>
      <c r="E35" s="6" t="s">
        <v>193</v>
      </c>
      <c r="F35" s="6" t="s">
        <v>15</v>
      </c>
    </row>
    <row r="36" ht="15.75" customHeight="1">
      <c r="A36" s="6"/>
      <c r="B36" s="6"/>
      <c r="C36" s="6"/>
      <c r="D36" s="6" t="s">
        <v>194</v>
      </c>
      <c r="E36" s="6" t="s">
        <v>195</v>
      </c>
      <c r="F36" s="6" t="s">
        <v>15</v>
      </c>
    </row>
    <row r="37" ht="15.75" customHeight="1">
      <c r="A37" s="6"/>
      <c r="B37" s="6"/>
      <c r="C37" s="6"/>
      <c r="D37" s="6" t="s">
        <v>198</v>
      </c>
      <c r="E37" s="6" t="s">
        <v>199</v>
      </c>
      <c r="F37" s="6" t="s">
        <v>29</v>
      </c>
    </row>
    <row r="38" ht="15.75" customHeight="1">
      <c r="A38" s="6" t="s">
        <v>36</v>
      </c>
      <c r="B38" s="6" t="s">
        <v>98</v>
      </c>
      <c r="C38" s="6">
        <v>7.0</v>
      </c>
      <c r="D38" s="6" t="s">
        <v>200</v>
      </c>
      <c r="E38" s="6" t="s">
        <v>132</v>
      </c>
      <c r="F38" s="6" t="s">
        <v>15</v>
      </c>
    </row>
    <row r="39" ht="15.75" customHeight="1">
      <c r="A39" s="6"/>
      <c r="B39" s="6"/>
      <c r="C39" s="6"/>
      <c r="D39" s="6" t="s">
        <v>201</v>
      </c>
      <c r="E39" s="6" t="s">
        <v>202</v>
      </c>
      <c r="F39" s="6" t="s">
        <v>15</v>
      </c>
    </row>
    <row r="40" ht="15.75" customHeight="1">
      <c r="A40" s="6"/>
      <c r="B40" s="6"/>
      <c r="C40" s="6"/>
      <c r="D40" s="6" t="s">
        <v>203</v>
      </c>
      <c r="E40" s="6" t="s">
        <v>132</v>
      </c>
      <c r="F40" s="6" t="s">
        <v>15</v>
      </c>
    </row>
    <row r="41" ht="15.75" customHeight="1">
      <c r="A41" s="6" t="s">
        <v>36</v>
      </c>
      <c r="B41" s="6" t="s">
        <v>101</v>
      </c>
      <c r="C41" s="6">
        <v>7.0</v>
      </c>
      <c r="D41" s="6" t="s">
        <v>205</v>
      </c>
      <c r="E41" s="6" t="s">
        <v>136</v>
      </c>
      <c r="F41" s="6" t="s">
        <v>29</v>
      </c>
    </row>
    <row r="42" ht="15.75" customHeight="1">
      <c r="A42" s="6"/>
      <c r="B42" s="6"/>
      <c r="C42" s="6"/>
      <c r="D42" s="6" t="s">
        <v>206</v>
      </c>
      <c r="E42" s="6" t="s">
        <v>207</v>
      </c>
      <c r="F42" s="6" t="s">
        <v>15</v>
      </c>
    </row>
    <row r="43" ht="15.75" customHeight="1">
      <c r="A43" s="6"/>
      <c r="B43" s="6"/>
      <c r="C43" s="6"/>
      <c r="D43" s="6" t="s">
        <v>208</v>
      </c>
      <c r="E43" s="6" t="s">
        <v>209</v>
      </c>
      <c r="F43" s="6" t="s">
        <v>15</v>
      </c>
    </row>
    <row r="44" ht="15.75" customHeight="1">
      <c r="A44" s="6" t="s">
        <v>36</v>
      </c>
      <c r="B44" s="6" t="s">
        <v>104</v>
      </c>
      <c r="C44" s="6">
        <v>6.0</v>
      </c>
      <c r="D44" s="6" t="s">
        <v>210</v>
      </c>
      <c r="E44" s="6" t="s">
        <v>211</v>
      </c>
      <c r="F44" s="6" t="s">
        <v>19</v>
      </c>
    </row>
    <row r="45" ht="15.75" customHeight="1">
      <c r="A45" s="6"/>
      <c r="B45" s="6"/>
      <c r="C45" s="6"/>
      <c r="D45" s="6" t="s">
        <v>213</v>
      </c>
      <c r="E45" s="6" t="s">
        <v>214</v>
      </c>
      <c r="F45" s="6" t="s">
        <v>19</v>
      </c>
    </row>
    <row r="46" ht="15.75" customHeight="1">
      <c r="A46" s="6"/>
      <c r="B46" s="6"/>
      <c r="C46" s="6"/>
      <c r="D46" s="6" t="s">
        <v>215</v>
      </c>
      <c r="E46" s="6" t="s">
        <v>136</v>
      </c>
      <c r="F46" s="6" t="s">
        <v>29</v>
      </c>
    </row>
    <row r="47" ht="15.75" customHeight="1">
      <c r="A47" s="6" t="s">
        <v>36</v>
      </c>
      <c r="B47" s="6" t="s">
        <v>106</v>
      </c>
      <c r="C47" s="6">
        <v>5.0</v>
      </c>
      <c r="D47" s="6" t="s">
        <v>216</v>
      </c>
      <c r="E47" s="6" t="s">
        <v>136</v>
      </c>
      <c r="F47" s="6" t="s">
        <v>29</v>
      </c>
    </row>
    <row r="48" ht="15.75" customHeight="1">
      <c r="A48" s="6"/>
      <c r="B48" s="6"/>
      <c r="C48" s="6"/>
      <c r="D48" s="6" t="s">
        <v>218</v>
      </c>
      <c r="E48" s="6" t="s">
        <v>219</v>
      </c>
      <c r="F48" s="6" t="s">
        <v>15</v>
      </c>
    </row>
    <row r="49" ht="15.75" customHeight="1">
      <c r="A49" s="6"/>
      <c r="B49" s="6"/>
      <c r="C49" s="6"/>
      <c r="D49" s="6" t="s">
        <v>221</v>
      </c>
      <c r="E49" s="6" t="s">
        <v>223</v>
      </c>
      <c r="F49" s="6" t="s">
        <v>19</v>
      </c>
    </row>
    <row r="50" ht="15.75" customHeight="1">
      <c r="A50" s="6" t="s">
        <v>36</v>
      </c>
      <c r="B50" s="6" t="s">
        <v>108</v>
      </c>
      <c r="C50" s="6">
        <v>5.0</v>
      </c>
      <c r="D50" s="6" t="s">
        <v>224</v>
      </c>
      <c r="E50" s="6" t="s">
        <v>225</v>
      </c>
      <c r="F50" s="6" t="s">
        <v>15</v>
      </c>
    </row>
    <row r="51" ht="15.75" customHeight="1">
      <c r="A51" s="6"/>
      <c r="B51" s="6"/>
      <c r="C51" s="6"/>
      <c r="D51" s="6" t="s">
        <v>227</v>
      </c>
      <c r="E51" s="6" t="s">
        <v>228</v>
      </c>
      <c r="F51" s="6" t="s">
        <v>15</v>
      </c>
    </row>
    <row r="52" ht="15.75" customHeight="1">
      <c r="A52" s="6"/>
      <c r="B52" s="6"/>
      <c r="C52" s="6"/>
      <c r="D52" s="6" t="s">
        <v>229</v>
      </c>
      <c r="E52" s="6" t="s">
        <v>230</v>
      </c>
      <c r="F52" s="6" t="s">
        <v>15</v>
      </c>
    </row>
    <row r="53" ht="15.75" customHeight="1">
      <c r="A53" s="6" t="s">
        <v>36</v>
      </c>
      <c r="B53" s="6" t="s">
        <v>110</v>
      </c>
      <c r="C53" s="6">
        <v>5.0</v>
      </c>
      <c r="D53" s="6" t="s">
        <v>231</v>
      </c>
      <c r="E53" s="6" t="s">
        <v>232</v>
      </c>
      <c r="F53" s="6" t="s">
        <v>29</v>
      </c>
    </row>
    <row r="54" ht="15.75" customHeight="1">
      <c r="A54" s="6"/>
      <c r="B54" s="6"/>
      <c r="C54" s="6"/>
      <c r="D54" s="6" t="s">
        <v>231</v>
      </c>
      <c r="E54" s="6" t="s">
        <v>233</v>
      </c>
      <c r="F54" s="6" t="s">
        <v>29</v>
      </c>
    </row>
    <row r="55" ht="15.75" customHeight="1">
      <c r="A55" s="6"/>
      <c r="B55" s="6"/>
      <c r="C55" s="6"/>
      <c r="D55" s="6" t="s">
        <v>231</v>
      </c>
      <c r="E55" s="6" t="s">
        <v>234</v>
      </c>
      <c r="F55" s="6" t="s">
        <v>29</v>
      </c>
    </row>
    <row r="56" ht="15.75" customHeight="1">
      <c r="A56" s="6" t="s">
        <v>36</v>
      </c>
      <c r="B56" s="6" t="s">
        <v>112</v>
      </c>
      <c r="C56" s="6">
        <v>4.0</v>
      </c>
      <c r="D56" s="6" t="s">
        <v>235</v>
      </c>
      <c r="E56" s="6" t="s">
        <v>236</v>
      </c>
      <c r="F56" s="6" t="s">
        <v>15</v>
      </c>
    </row>
    <row r="57" ht="15.75" customHeight="1">
      <c r="A57" s="6"/>
      <c r="B57" s="6"/>
      <c r="C57" s="6"/>
      <c r="D57" s="6" t="s">
        <v>237</v>
      </c>
      <c r="E57" s="6" t="s">
        <v>238</v>
      </c>
      <c r="F57" s="6" t="s">
        <v>15</v>
      </c>
    </row>
    <row r="58" ht="15.75" customHeight="1">
      <c r="A58" s="6"/>
      <c r="B58" s="6"/>
      <c r="C58" s="6"/>
      <c r="D58" s="6" t="s">
        <v>240</v>
      </c>
      <c r="E58" s="6" t="s">
        <v>241</v>
      </c>
      <c r="F58" s="6" t="s">
        <v>15</v>
      </c>
    </row>
    <row r="59" ht="15.75" customHeight="1">
      <c r="A59" s="6" t="s">
        <v>36</v>
      </c>
      <c r="B59" s="6" t="s">
        <v>114</v>
      </c>
      <c r="C59" s="6">
        <v>3.0</v>
      </c>
      <c r="D59" s="6" t="s">
        <v>242</v>
      </c>
      <c r="E59" s="6" t="s">
        <v>136</v>
      </c>
      <c r="F59" s="6" t="s">
        <v>29</v>
      </c>
    </row>
    <row r="60" ht="15.75" customHeight="1">
      <c r="A60" s="6" t="s">
        <v>36</v>
      </c>
      <c r="B60" s="6" t="s">
        <v>116</v>
      </c>
      <c r="C60" s="6">
        <v>2.0</v>
      </c>
      <c r="D60" s="6" t="s">
        <v>243</v>
      </c>
      <c r="E60" s="6" t="s">
        <v>244</v>
      </c>
      <c r="F60" s="6" t="s">
        <v>29</v>
      </c>
    </row>
    <row r="61" ht="15.75" customHeight="1">
      <c r="A61" s="6"/>
      <c r="B61" s="6"/>
      <c r="C61" s="6"/>
      <c r="D61" s="6" t="s">
        <v>246</v>
      </c>
      <c r="E61" s="6" t="s">
        <v>247</v>
      </c>
      <c r="F61" s="6" t="s">
        <v>25</v>
      </c>
    </row>
    <row r="62" ht="15.75" customHeight="1">
      <c r="A62" s="6" t="s">
        <v>36</v>
      </c>
      <c r="B62" s="6" t="s">
        <v>118</v>
      </c>
      <c r="C62" s="6">
        <v>1.0</v>
      </c>
      <c r="D62" s="6" t="s">
        <v>249</v>
      </c>
      <c r="E62" s="6" t="s">
        <v>250</v>
      </c>
      <c r="F62" s="6" t="s">
        <v>29</v>
      </c>
    </row>
    <row r="63" ht="15.75" customHeight="1">
      <c r="A63" s="6" t="s">
        <v>36</v>
      </c>
      <c r="B63" s="6" t="s">
        <v>120</v>
      </c>
      <c r="C63" s="6">
        <v>1.0</v>
      </c>
      <c r="D63" s="6" t="s">
        <v>251</v>
      </c>
      <c r="E63" s="6" t="s">
        <v>252</v>
      </c>
      <c r="F63" s="6" t="s">
        <v>15</v>
      </c>
    </row>
    <row r="64" ht="15.75" customHeight="1">
      <c r="A64" s="6" t="s">
        <v>36</v>
      </c>
      <c r="B64" s="6" t="s">
        <v>121</v>
      </c>
      <c r="C64" s="6">
        <v>1.0</v>
      </c>
      <c r="D64" s="6" t="s">
        <v>253</v>
      </c>
      <c r="E64" s="6" t="s">
        <v>254</v>
      </c>
      <c r="F64" s="6" t="s">
        <v>15</v>
      </c>
    </row>
    <row r="65" ht="15.75" customHeight="1">
      <c r="A65" s="6" t="s">
        <v>45</v>
      </c>
      <c r="B65" s="6" t="s">
        <v>130</v>
      </c>
      <c r="C65" s="6">
        <v>105.0</v>
      </c>
      <c r="D65" s="6" t="s">
        <v>256</v>
      </c>
      <c r="E65" s="6" t="s">
        <v>257</v>
      </c>
      <c r="F65" s="6" t="s">
        <v>15</v>
      </c>
    </row>
    <row r="66" ht="15.75" customHeight="1">
      <c r="A66" s="6"/>
      <c r="B66" s="6"/>
      <c r="C66" s="6"/>
      <c r="D66" s="6" t="s">
        <v>259</v>
      </c>
      <c r="E66" s="6" t="s">
        <v>136</v>
      </c>
      <c r="F66" s="6" t="s">
        <v>29</v>
      </c>
    </row>
    <row r="67" ht="15.75" customHeight="1">
      <c r="A67" s="6"/>
      <c r="B67" s="6"/>
      <c r="C67" s="6"/>
      <c r="D67" s="6" t="s">
        <v>260</v>
      </c>
      <c r="E67" s="6" t="s">
        <v>136</v>
      </c>
      <c r="F67" s="6" t="s">
        <v>29</v>
      </c>
    </row>
    <row r="68" ht="15.75" customHeight="1">
      <c r="A68" s="6" t="s">
        <v>45</v>
      </c>
      <c r="B68" s="6" t="s">
        <v>140</v>
      </c>
      <c r="C68" s="6">
        <v>60.0</v>
      </c>
      <c r="D68" s="6" t="s">
        <v>262</v>
      </c>
      <c r="E68" s="6" t="s">
        <v>263</v>
      </c>
      <c r="F68" s="6" t="s">
        <v>15</v>
      </c>
    </row>
    <row r="69" ht="15.75" customHeight="1">
      <c r="A69" s="6"/>
      <c r="B69" s="6"/>
      <c r="C69" s="6"/>
      <c r="D69" s="6" t="s">
        <v>264</v>
      </c>
      <c r="E69" s="6" t="s">
        <v>136</v>
      </c>
      <c r="F69" s="6" t="s">
        <v>29</v>
      </c>
    </row>
    <row r="70" ht="15.75" customHeight="1">
      <c r="A70" s="6"/>
      <c r="B70" s="6"/>
      <c r="C70" s="6"/>
      <c r="D70" s="6" t="s">
        <v>266</v>
      </c>
      <c r="E70" s="6" t="s">
        <v>257</v>
      </c>
      <c r="F70" s="6" t="s">
        <v>15</v>
      </c>
    </row>
    <row r="71" ht="15.75" customHeight="1">
      <c r="A71" s="6" t="s">
        <v>45</v>
      </c>
      <c r="B71" s="6" t="s">
        <v>148</v>
      </c>
      <c r="C71" s="6">
        <v>37.0</v>
      </c>
      <c r="D71" s="6" t="s">
        <v>268</v>
      </c>
      <c r="E71" s="6" t="s">
        <v>269</v>
      </c>
      <c r="F71" s="6" t="s">
        <v>15</v>
      </c>
    </row>
    <row r="72" ht="15.75" customHeight="1">
      <c r="A72" s="6"/>
      <c r="B72" s="6"/>
      <c r="C72" s="6"/>
      <c r="D72" s="6" t="s">
        <v>270</v>
      </c>
      <c r="E72" s="6" t="s">
        <v>271</v>
      </c>
      <c r="F72" s="6" t="s">
        <v>15</v>
      </c>
    </row>
    <row r="73" ht="15.75" customHeight="1">
      <c r="A73" s="6"/>
      <c r="B73" s="6"/>
      <c r="C73" s="6"/>
      <c r="D73" s="6" t="s">
        <v>272</v>
      </c>
      <c r="E73" s="6" t="s">
        <v>273</v>
      </c>
      <c r="F73" s="6" t="s">
        <v>15</v>
      </c>
    </row>
    <row r="74" ht="15.75" customHeight="1">
      <c r="A74" s="6" t="s">
        <v>45</v>
      </c>
      <c r="B74" s="6" t="s">
        <v>143</v>
      </c>
      <c r="C74" s="6">
        <v>18.0</v>
      </c>
      <c r="D74" s="6" t="s">
        <v>274</v>
      </c>
      <c r="E74" s="6" t="s">
        <v>275</v>
      </c>
      <c r="F74" s="6" t="s">
        <v>15</v>
      </c>
    </row>
    <row r="75" ht="15.75" customHeight="1">
      <c r="A75" s="6"/>
      <c r="B75" s="6"/>
      <c r="C75" s="6"/>
      <c r="D75" s="6" t="s">
        <v>277</v>
      </c>
      <c r="E75" s="6" t="s">
        <v>136</v>
      </c>
      <c r="F75" s="6" t="s">
        <v>29</v>
      </c>
    </row>
    <row r="76" ht="15.75" customHeight="1">
      <c r="A76" s="6"/>
      <c r="B76" s="6"/>
      <c r="C76" s="6"/>
      <c r="D76" s="6" t="s">
        <v>280</v>
      </c>
      <c r="E76" s="6" t="s">
        <v>281</v>
      </c>
      <c r="F76" s="6" t="s">
        <v>19</v>
      </c>
    </row>
    <row r="77" ht="15.75" customHeight="1">
      <c r="A77" s="6" t="s">
        <v>45</v>
      </c>
      <c r="B77" s="6" t="s">
        <v>161</v>
      </c>
      <c r="C77" s="6">
        <v>18.0</v>
      </c>
      <c r="D77" s="6" t="s">
        <v>285</v>
      </c>
      <c r="E77" s="6" t="s">
        <v>136</v>
      </c>
      <c r="F77" s="6" t="s">
        <v>29</v>
      </c>
    </row>
    <row r="78" ht="15.75" customHeight="1">
      <c r="A78" s="6"/>
      <c r="B78" s="6"/>
      <c r="C78" s="6"/>
      <c r="D78" s="6" t="s">
        <v>288</v>
      </c>
      <c r="E78" s="6" t="s">
        <v>136</v>
      </c>
      <c r="F78" s="6" t="s">
        <v>29</v>
      </c>
    </row>
    <row r="79" ht="15.75" customHeight="1">
      <c r="A79" s="6"/>
      <c r="B79" s="6"/>
      <c r="C79" s="6"/>
      <c r="D79" s="6" t="s">
        <v>294</v>
      </c>
      <c r="E79" s="6" t="s">
        <v>296</v>
      </c>
      <c r="F79" s="6" t="s">
        <v>15</v>
      </c>
    </row>
    <row r="80" ht="15.75" customHeight="1">
      <c r="A80" s="6" t="s">
        <v>45</v>
      </c>
      <c r="B80" s="6" t="s">
        <v>169</v>
      </c>
      <c r="C80" s="6">
        <v>18.0</v>
      </c>
      <c r="D80" s="6" t="s">
        <v>301</v>
      </c>
      <c r="E80" s="6" t="s">
        <v>136</v>
      </c>
      <c r="F80" s="6" t="s">
        <v>29</v>
      </c>
    </row>
    <row r="81" ht="15.75" customHeight="1">
      <c r="A81" s="6"/>
      <c r="B81" s="6"/>
      <c r="C81" s="6"/>
      <c r="D81" s="6" t="s">
        <v>304</v>
      </c>
      <c r="E81" s="6" t="s">
        <v>306</v>
      </c>
      <c r="F81" s="6" t="s">
        <v>15</v>
      </c>
    </row>
    <row r="82" ht="15.75" customHeight="1">
      <c r="A82" s="6"/>
      <c r="B82" s="6"/>
      <c r="C82" s="6"/>
      <c r="D82" s="6" t="s">
        <v>309</v>
      </c>
      <c r="E82" s="6" t="s">
        <v>257</v>
      </c>
      <c r="F82" s="6" t="s">
        <v>15</v>
      </c>
    </row>
    <row r="83" ht="15.75" customHeight="1">
      <c r="A83" s="6" t="s">
        <v>45</v>
      </c>
      <c r="B83" s="6" t="s">
        <v>166</v>
      </c>
      <c r="C83" s="6">
        <v>17.0</v>
      </c>
      <c r="D83" s="6" t="s">
        <v>316</v>
      </c>
      <c r="E83" s="6" t="s">
        <v>317</v>
      </c>
      <c r="F83" s="6" t="s">
        <v>29</v>
      </c>
    </row>
    <row r="84" ht="15.75" customHeight="1">
      <c r="A84" s="6"/>
      <c r="B84" s="6"/>
      <c r="C84" s="6"/>
      <c r="D84" s="6" t="s">
        <v>319</v>
      </c>
      <c r="E84" s="6" t="s">
        <v>136</v>
      </c>
      <c r="F84" s="6" t="s">
        <v>29</v>
      </c>
    </row>
    <row r="85" ht="15.75" customHeight="1">
      <c r="A85" s="6"/>
      <c r="B85" s="6"/>
      <c r="C85" s="6"/>
      <c r="D85" s="6" t="s">
        <v>323</v>
      </c>
      <c r="E85" s="6" t="s">
        <v>325</v>
      </c>
      <c r="F85" s="6" t="s">
        <v>15</v>
      </c>
    </row>
    <row r="86" ht="15.75" customHeight="1">
      <c r="A86" s="6" t="s">
        <v>45</v>
      </c>
      <c r="B86" s="6" t="s">
        <v>183</v>
      </c>
      <c r="C86" s="6">
        <v>15.0</v>
      </c>
      <c r="D86" s="6" t="s">
        <v>330</v>
      </c>
      <c r="E86" s="6" t="s">
        <v>331</v>
      </c>
      <c r="F86" s="6" t="s">
        <v>15</v>
      </c>
    </row>
    <row r="87" ht="15.75" customHeight="1">
      <c r="A87" s="6"/>
      <c r="B87" s="6"/>
      <c r="C87" s="6"/>
      <c r="D87" s="6" t="s">
        <v>335</v>
      </c>
      <c r="E87" s="6" t="s">
        <v>337</v>
      </c>
      <c r="F87" s="6" t="s">
        <v>15</v>
      </c>
    </row>
    <row r="88" ht="15.75" customHeight="1">
      <c r="A88" s="6"/>
      <c r="B88" s="6"/>
      <c r="C88" s="6"/>
      <c r="D88" s="6" t="s">
        <v>340</v>
      </c>
      <c r="E88" s="6" t="s">
        <v>341</v>
      </c>
      <c r="F88" s="6" t="s">
        <v>15</v>
      </c>
    </row>
    <row r="89" ht="15.75" customHeight="1">
      <c r="A89" s="6" t="s">
        <v>45</v>
      </c>
      <c r="B89" s="6" t="s">
        <v>82</v>
      </c>
      <c r="C89" s="6">
        <v>8.0</v>
      </c>
      <c r="D89" s="6" t="s">
        <v>344</v>
      </c>
      <c r="E89" s="6" t="s">
        <v>346</v>
      </c>
      <c r="F89" s="6" t="s">
        <v>15</v>
      </c>
    </row>
    <row r="90" ht="15.75" customHeight="1">
      <c r="A90" s="6"/>
      <c r="B90" s="6"/>
      <c r="C90" s="6"/>
      <c r="D90" s="6" t="s">
        <v>348</v>
      </c>
      <c r="E90" s="6" t="s">
        <v>349</v>
      </c>
      <c r="F90" s="6" t="s">
        <v>15</v>
      </c>
    </row>
    <row r="91" ht="15.75" customHeight="1">
      <c r="A91" s="6"/>
      <c r="B91" s="6"/>
      <c r="C91" s="6"/>
      <c r="D91" s="6" t="s">
        <v>352</v>
      </c>
      <c r="E91" s="6" t="s">
        <v>353</v>
      </c>
      <c r="F91" s="6" t="s">
        <v>15</v>
      </c>
    </row>
    <row r="92" ht="15.75" customHeight="1">
      <c r="A92" s="6" t="s">
        <v>45</v>
      </c>
      <c r="B92" s="6" t="s">
        <v>196</v>
      </c>
      <c r="C92" s="6">
        <v>7.0</v>
      </c>
      <c r="D92" s="6" t="s">
        <v>357</v>
      </c>
      <c r="E92" s="6" t="s">
        <v>136</v>
      </c>
      <c r="F92" s="6" t="s">
        <v>29</v>
      </c>
    </row>
    <row r="93" ht="15.75" customHeight="1">
      <c r="A93" s="6"/>
      <c r="B93" s="6"/>
      <c r="C93" s="6"/>
      <c r="D93" s="6" t="s">
        <v>360</v>
      </c>
      <c r="E93" s="6" t="s">
        <v>362</v>
      </c>
      <c r="F93" s="6" t="s">
        <v>29</v>
      </c>
    </row>
    <row r="94" ht="15.75" customHeight="1">
      <c r="A94" s="6"/>
      <c r="B94" s="6"/>
      <c r="C94" s="6"/>
      <c r="D94" s="6" t="s">
        <v>367</v>
      </c>
      <c r="E94" s="6" t="s">
        <v>136</v>
      </c>
      <c r="F94" s="6" t="s">
        <v>29</v>
      </c>
    </row>
    <row r="95" ht="15.75" customHeight="1">
      <c r="A95" s="6" t="s">
        <v>45</v>
      </c>
      <c r="B95" s="6" t="s">
        <v>204</v>
      </c>
      <c r="C95" s="6">
        <v>7.0</v>
      </c>
      <c r="D95" s="6" t="s">
        <v>374</v>
      </c>
      <c r="E95" s="6" t="s">
        <v>375</v>
      </c>
      <c r="F95" s="6" t="s">
        <v>15</v>
      </c>
    </row>
    <row r="96" ht="15.75" customHeight="1">
      <c r="A96" s="6"/>
      <c r="B96" s="6"/>
      <c r="C96" s="6"/>
      <c r="D96" s="6" t="s">
        <v>377</v>
      </c>
      <c r="E96" s="6" t="s">
        <v>136</v>
      </c>
      <c r="F96" s="6" t="s">
        <v>29</v>
      </c>
    </row>
    <row r="97" ht="15.75" customHeight="1">
      <c r="A97" s="6"/>
      <c r="B97" s="6"/>
      <c r="C97" s="6"/>
      <c r="D97" s="6" t="s">
        <v>381</v>
      </c>
      <c r="E97" s="6" t="s">
        <v>136</v>
      </c>
      <c r="F97" s="6" t="s">
        <v>29</v>
      </c>
    </row>
    <row r="98" ht="15.75" customHeight="1">
      <c r="A98" s="6" t="s">
        <v>45</v>
      </c>
      <c r="B98" s="6" t="s">
        <v>118</v>
      </c>
      <c r="C98" s="6">
        <v>3.0</v>
      </c>
      <c r="D98" s="6" t="s">
        <v>384</v>
      </c>
      <c r="E98" s="6" t="s">
        <v>317</v>
      </c>
      <c r="F98" s="6" t="s">
        <v>29</v>
      </c>
    </row>
    <row r="99" ht="15.75" customHeight="1">
      <c r="A99" s="6"/>
      <c r="B99" s="6"/>
      <c r="C99" s="6"/>
      <c r="D99" s="6" t="s">
        <v>388</v>
      </c>
      <c r="E99" s="6" t="s">
        <v>389</v>
      </c>
      <c r="F99" s="6" t="s">
        <v>15</v>
      </c>
    </row>
    <row r="100" ht="15.75" customHeight="1">
      <c r="A100" s="6"/>
      <c r="B100" s="6"/>
      <c r="C100" s="6"/>
      <c r="D100" s="6" t="s">
        <v>392</v>
      </c>
      <c r="E100" s="6" t="s">
        <v>136</v>
      </c>
      <c r="F100" s="6" t="s">
        <v>29</v>
      </c>
    </row>
    <row r="101" ht="15.75" customHeight="1">
      <c r="A101" s="6" t="s">
        <v>45</v>
      </c>
      <c r="B101" s="6" t="s">
        <v>220</v>
      </c>
      <c r="C101" s="6">
        <v>3.0</v>
      </c>
      <c r="D101" s="6" t="s">
        <v>396</v>
      </c>
      <c r="E101" s="6" t="s">
        <v>136</v>
      </c>
      <c r="F101" s="6" t="s">
        <v>29</v>
      </c>
    </row>
    <row r="102" ht="15.75" customHeight="1">
      <c r="A102" s="6"/>
      <c r="B102" s="6"/>
      <c r="C102" s="6"/>
      <c r="D102" s="6" t="s">
        <v>400</v>
      </c>
      <c r="E102" s="6" t="s">
        <v>402</v>
      </c>
      <c r="F102" s="6" t="s">
        <v>19</v>
      </c>
    </row>
    <row r="103" ht="15.75" customHeight="1">
      <c r="A103" s="6"/>
      <c r="B103" s="6"/>
      <c r="C103" s="6"/>
      <c r="D103" s="6" t="s">
        <v>404</v>
      </c>
      <c r="E103" s="6" t="s">
        <v>406</v>
      </c>
      <c r="F103" s="6" t="s">
        <v>15</v>
      </c>
    </row>
    <row r="104" ht="15.75" customHeight="1">
      <c r="A104" s="6" t="s">
        <v>45</v>
      </c>
      <c r="B104" s="6" t="s">
        <v>226</v>
      </c>
      <c r="C104" s="6">
        <v>3.0</v>
      </c>
      <c r="D104" s="6" t="s">
        <v>408</v>
      </c>
      <c r="E104" s="6" t="s">
        <v>136</v>
      </c>
      <c r="F104" s="6" t="s">
        <v>29</v>
      </c>
    </row>
    <row r="105" ht="15.75" customHeight="1">
      <c r="A105" s="6"/>
      <c r="B105" s="6"/>
      <c r="C105" s="6"/>
      <c r="D105" s="6" t="s">
        <v>408</v>
      </c>
      <c r="E105" s="6" t="s">
        <v>411</v>
      </c>
      <c r="F105" s="6" t="s">
        <v>15</v>
      </c>
    </row>
    <row r="106" ht="15.75" customHeight="1">
      <c r="A106" s="6"/>
      <c r="B106" s="6"/>
      <c r="C106" s="6"/>
      <c r="D106" s="6" t="s">
        <v>414</v>
      </c>
      <c r="E106" s="6" t="s">
        <v>415</v>
      </c>
      <c r="F106" s="6" t="s">
        <v>19</v>
      </c>
    </row>
    <row r="107" ht="15.75" customHeight="1">
      <c r="A107" s="6" t="s">
        <v>45</v>
      </c>
      <c r="B107" s="6" t="s">
        <v>114</v>
      </c>
      <c r="C107" s="6">
        <v>1.0</v>
      </c>
      <c r="D107" s="6" t="s">
        <v>417</v>
      </c>
      <c r="E107" s="6" t="s">
        <v>418</v>
      </c>
      <c r="F107" s="6" t="s">
        <v>23</v>
      </c>
    </row>
    <row r="108" ht="15.75" customHeight="1">
      <c r="A108" s="6" t="s">
        <v>45</v>
      </c>
      <c r="B108" s="6" t="s">
        <v>239</v>
      </c>
      <c r="C108" s="6">
        <v>1.0</v>
      </c>
      <c r="D108" s="6" t="s">
        <v>421</v>
      </c>
      <c r="E108" s="6" t="s">
        <v>424</v>
      </c>
      <c r="F108" s="6" t="s">
        <v>15</v>
      </c>
    </row>
    <row r="109" ht="15.75" customHeight="1">
      <c r="A109" s="6" t="s">
        <v>48</v>
      </c>
      <c r="B109" s="6" t="s">
        <v>248</v>
      </c>
      <c r="C109" s="6">
        <v>54.0</v>
      </c>
      <c r="D109" s="6" t="s">
        <v>425</v>
      </c>
      <c r="E109" s="6" t="s">
        <v>426</v>
      </c>
      <c r="F109" s="6" t="s">
        <v>15</v>
      </c>
    </row>
    <row r="110" ht="15.75" customHeight="1">
      <c r="A110" s="6"/>
      <c r="B110" s="6"/>
      <c r="C110" s="6"/>
      <c r="D110" s="6" t="s">
        <v>431</v>
      </c>
      <c r="E110" s="6" t="s">
        <v>247</v>
      </c>
      <c r="F110" s="6" t="s">
        <v>25</v>
      </c>
    </row>
    <row r="111" ht="15.75" customHeight="1">
      <c r="A111" s="6"/>
      <c r="B111" s="6"/>
      <c r="C111" s="6"/>
      <c r="D111" s="6" t="s">
        <v>434</v>
      </c>
      <c r="E111" s="6" t="s">
        <v>435</v>
      </c>
      <c r="F111" s="6" t="s">
        <v>15</v>
      </c>
    </row>
    <row r="112" ht="15.75" customHeight="1">
      <c r="A112" s="6" t="s">
        <v>48</v>
      </c>
      <c r="B112" s="6" t="s">
        <v>258</v>
      </c>
      <c r="C112" s="6">
        <v>48.0</v>
      </c>
      <c r="D112" s="6" t="s">
        <v>441</v>
      </c>
      <c r="E112" s="6" t="s">
        <v>442</v>
      </c>
      <c r="F112" s="6" t="s">
        <v>15</v>
      </c>
    </row>
    <row r="113" ht="15.75" customHeight="1">
      <c r="A113" s="6"/>
      <c r="B113" s="6"/>
      <c r="C113" s="6"/>
      <c r="D113" s="6" t="s">
        <v>444</v>
      </c>
      <c r="E113" s="6" t="s">
        <v>445</v>
      </c>
      <c r="F113" s="6" t="s">
        <v>15</v>
      </c>
    </row>
    <row r="114" ht="15.75" customHeight="1">
      <c r="A114" s="6"/>
      <c r="B114" s="6"/>
      <c r="C114" s="6"/>
      <c r="D114" s="6" t="s">
        <v>449</v>
      </c>
      <c r="E114" s="6" t="s">
        <v>450</v>
      </c>
      <c r="F114" s="6" t="s">
        <v>15</v>
      </c>
    </row>
    <row r="115" ht="15.75" customHeight="1">
      <c r="A115" s="6" t="s">
        <v>48</v>
      </c>
      <c r="B115" s="6" t="s">
        <v>265</v>
      </c>
      <c r="C115" s="6">
        <v>44.0</v>
      </c>
      <c r="D115" s="6" t="s">
        <v>452</v>
      </c>
      <c r="E115" s="6" t="s">
        <v>136</v>
      </c>
      <c r="F115" s="6" t="s">
        <v>29</v>
      </c>
    </row>
    <row r="116" ht="15.75" customHeight="1">
      <c r="A116" s="6"/>
      <c r="B116" s="6"/>
      <c r="C116" s="6"/>
      <c r="D116" s="6" t="s">
        <v>455</v>
      </c>
      <c r="E116" s="6" t="s">
        <v>136</v>
      </c>
      <c r="F116" s="6" t="s">
        <v>29</v>
      </c>
    </row>
    <row r="117" ht="15.75" customHeight="1">
      <c r="A117" s="6"/>
      <c r="B117" s="6"/>
      <c r="C117" s="6"/>
      <c r="D117" s="6" t="s">
        <v>457</v>
      </c>
      <c r="E117" s="6" t="s">
        <v>458</v>
      </c>
      <c r="F117" s="6" t="s">
        <v>15</v>
      </c>
    </row>
    <row r="118" ht="15.75" customHeight="1">
      <c r="A118" s="6" t="s">
        <v>48</v>
      </c>
      <c r="B118" s="6" t="s">
        <v>267</v>
      </c>
      <c r="C118" s="6">
        <v>36.0</v>
      </c>
      <c r="D118" s="6" t="s">
        <v>462</v>
      </c>
      <c r="E118" s="6" t="s">
        <v>464</v>
      </c>
      <c r="F118" s="6" t="s">
        <v>15</v>
      </c>
    </row>
    <row r="119" ht="15.75" customHeight="1">
      <c r="A119" s="6"/>
      <c r="B119" s="6"/>
      <c r="C119" s="6"/>
      <c r="D119" s="6" t="s">
        <v>462</v>
      </c>
      <c r="E119" s="6" t="s">
        <v>466</v>
      </c>
      <c r="F119" s="6" t="s">
        <v>29</v>
      </c>
    </row>
    <row r="120" ht="15.75" customHeight="1">
      <c r="A120" s="6"/>
      <c r="B120" s="6"/>
      <c r="C120" s="6"/>
      <c r="D120" s="6" t="s">
        <v>470</v>
      </c>
      <c r="E120" s="6" t="s">
        <v>472</v>
      </c>
      <c r="F120" s="6" t="s">
        <v>15</v>
      </c>
    </row>
    <row r="121" ht="15.75" customHeight="1">
      <c r="A121" s="6" t="s">
        <v>48</v>
      </c>
      <c r="B121" s="6" t="s">
        <v>284</v>
      </c>
      <c r="C121" s="6">
        <v>30.0</v>
      </c>
      <c r="D121" s="6" t="s">
        <v>474</v>
      </c>
      <c r="E121" s="6" t="s">
        <v>475</v>
      </c>
      <c r="F121" s="6" t="s">
        <v>15</v>
      </c>
    </row>
    <row r="122" ht="15.75" customHeight="1">
      <c r="A122" s="6"/>
      <c r="B122" s="6"/>
      <c r="C122" s="6"/>
      <c r="D122" s="6" t="s">
        <v>481</v>
      </c>
      <c r="E122" s="6" t="s">
        <v>484</v>
      </c>
      <c r="F122" s="6" t="s">
        <v>15</v>
      </c>
    </row>
    <row r="123" ht="15.75" customHeight="1">
      <c r="A123" s="6"/>
      <c r="B123" s="6"/>
      <c r="C123" s="6"/>
      <c r="D123" s="6" t="s">
        <v>486</v>
      </c>
      <c r="E123" s="6" t="s">
        <v>487</v>
      </c>
      <c r="F123" s="6" t="s">
        <v>15</v>
      </c>
    </row>
    <row r="124" ht="15.75" customHeight="1">
      <c r="A124" s="6" t="s">
        <v>48</v>
      </c>
      <c r="B124" s="6" t="s">
        <v>299</v>
      </c>
      <c r="C124" s="6">
        <v>23.0</v>
      </c>
      <c r="D124" s="6" t="s">
        <v>489</v>
      </c>
      <c r="E124" s="6" t="s">
        <v>491</v>
      </c>
      <c r="F124" s="6" t="s">
        <v>29</v>
      </c>
    </row>
    <row r="125" ht="15.75" customHeight="1">
      <c r="A125" s="6"/>
      <c r="B125" s="6"/>
      <c r="C125" s="6"/>
      <c r="D125" s="6" t="s">
        <v>495</v>
      </c>
      <c r="E125" s="6" t="s">
        <v>497</v>
      </c>
      <c r="F125" s="6" t="s">
        <v>15</v>
      </c>
    </row>
    <row r="126" ht="15.75" customHeight="1">
      <c r="A126" s="6"/>
      <c r="B126" s="6"/>
      <c r="C126" s="6"/>
      <c r="D126" s="6" t="s">
        <v>499</v>
      </c>
      <c r="E126" s="6" t="s">
        <v>501</v>
      </c>
      <c r="F126" s="6" t="s">
        <v>15</v>
      </c>
    </row>
    <row r="127" ht="15.75" customHeight="1">
      <c r="A127" s="6" t="s">
        <v>48</v>
      </c>
      <c r="B127" s="6" t="s">
        <v>313</v>
      </c>
      <c r="C127" s="6">
        <v>18.0</v>
      </c>
      <c r="D127" s="6" t="s">
        <v>504</v>
      </c>
      <c r="E127" s="6" t="s">
        <v>505</v>
      </c>
      <c r="F127" s="6" t="s">
        <v>15</v>
      </c>
    </row>
    <row r="128" ht="15.75" customHeight="1">
      <c r="A128" s="6"/>
      <c r="B128" s="6"/>
      <c r="C128" s="6"/>
      <c r="D128" s="6" t="s">
        <v>507</v>
      </c>
      <c r="E128" s="6" t="s">
        <v>509</v>
      </c>
      <c r="F128" s="6" t="s">
        <v>15</v>
      </c>
    </row>
    <row r="129" ht="15.75" customHeight="1">
      <c r="A129" s="6"/>
      <c r="B129" s="6"/>
      <c r="C129" s="6"/>
      <c r="D129" s="6" t="s">
        <v>512</v>
      </c>
      <c r="E129" s="6" t="s">
        <v>513</v>
      </c>
      <c r="F129" s="6" t="s">
        <v>15</v>
      </c>
    </row>
    <row r="130" ht="15.75" customHeight="1">
      <c r="A130" s="6" t="s">
        <v>48</v>
      </c>
      <c r="B130" s="6" t="s">
        <v>329</v>
      </c>
      <c r="C130" s="6">
        <v>15.0</v>
      </c>
      <c r="D130" s="6" t="s">
        <v>515</v>
      </c>
      <c r="E130" s="6" t="s">
        <v>517</v>
      </c>
      <c r="F130" s="6" t="s">
        <v>15</v>
      </c>
    </row>
    <row r="131" ht="15.75" customHeight="1">
      <c r="A131" s="6"/>
      <c r="B131" s="6"/>
      <c r="C131" s="6"/>
      <c r="D131" s="6" t="s">
        <v>521</v>
      </c>
      <c r="E131" s="6" t="s">
        <v>522</v>
      </c>
      <c r="F131" s="6" t="s">
        <v>15</v>
      </c>
    </row>
    <row r="132" ht="15.75" customHeight="1">
      <c r="A132" s="6"/>
      <c r="B132" s="6"/>
      <c r="C132" s="6"/>
      <c r="D132" s="6" t="s">
        <v>524</v>
      </c>
      <c r="E132" s="6" t="s">
        <v>525</v>
      </c>
      <c r="F132" s="6" t="s">
        <v>15</v>
      </c>
    </row>
    <row r="133" ht="15.75" customHeight="1">
      <c r="A133" s="6" t="s">
        <v>48</v>
      </c>
      <c r="B133" s="6" t="s">
        <v>339</v>
      </c>
      <c r="C133" s="6">
        <v>13.0</v>
      </c>
      <c r="D133" s="6" t="s">
        <v>528</v>
      </c>
      <c r="E133" s="6" t="s">
        <v>529</v>
      </c>
      <c r="F133" s="6" t="s">
        <v>15</v>
      </c>
    </row>
    <row r="134" ht="15.75" customHeight="1">
      <c r="A134" s="6"/>
      <c r="B134" s="6"/>
      <c r="C134" s="6"/>
      <c r="D134" s="6" t="s">
        <v>531</v>
      </c>
      <c r="E134" s="6" t="s">
        <v>532</v>
      </c>
      <c r="F134" s="6" t="s">
        <v>15</v>
      </c>
    </row>
    <row r="135" ht="15.75" customHeight="1">
      <c r="A135" s="6"/>
      <c r="B135" s="6"/>
      <c r="C135" s="6"/>
      <c r="D135" s="6" t="s">
        <v>536</v>
      </c>
      <c r="E135" s="6" t="s">
        <v>538</v>
      </c>
      <c r="F135" s="6" t="s">
        <v>15</v>
      </c>
    </row>
    <row r="136" ht="15.75" customHeight="1">
      <c r="A136" s="6" t="s">
        <v>48</v>
      </c>
      <c r="B136" s="6" t="s">
        <v>365</v>
      </c>
      <c r="C136" s="6">
        <v>12.0</v>
      </c>
      <c r="D136" s="6" t="s">
        <v>541</v>
      </c>
      <c r="E136" s="6" t="s">
        <v>542</v>
      </c>
      <c r="F136" s="6" t="s">
        <v>15</v>
      </c>
    </row>
    <row r="137" ht="15.75" customHeight="1">
      <c r="A137" s="6"/>
      <c r="B137" s="6"/>
      <c r="C137" s="6"/>
      <c r="D137" s="6" t="s">
        <v>546</v>
      </c>
      <c r="E137" s="6" t="s">
        <v>547</v>
      </c>
      <c r="F137" s="6" t="s">
        <v>15</v>
      </c>
    </row>
    <row r="138" ht="15.75" customHeight="1">
      <c r="A138" s="6"/>
      <c r="B138" s="6"/>
      <c r="C138" s="6"/>
      <c r="D138" s="6" t="s">
        <v>550</v>
      </c>
      <c r="E138" s="6" t="s">
        <v>552</v>
      </c>
      <c r="F138" s="6" t="s">
        <v>15</v>
      </c>
    </row>
    <row r="139" ht="15.75" customHeight="1">
      <c r="A139" s="6" t="s">
        <v>48</v>
      </c>
      <c r="B139" s="6" t="s">
        <v>378</v>
      </c>
      <c r="C139" s="6">
        <v>7.0</v>
      </c>
      <c r="D139" s="6" t="s">
        <v>555</v>
      </c>
      <c r="E139" s="6" t="s">
        <v>556</v>
      </c>
      <c r="F139" s="6" t="s">
        <v>15</v>
      </c>
    </row>
    <row r="140" ht="15.75" customHeight="1">
      <c r="A140" s="6"/>
      <c r="B140" s="6"/>
      <c r="C140" s="6"/>
      <c r="D140" s="6" t="s">
        <v>559</v>
      </c>
      <c r="E140" s="6" t="s">
        <v>561</v>
      </c>
      <c r="F140" s="6" t="s">
        <v>15</v>
      </c>
    </row>
    <row r="141" ht="15.75" customHeight="1">
      <c r="A141" s="6"/>
      <c r="B141" s="6"/>
      <c r="C141" s="6"/>
      <c r="D141" s="6" t="s">
        <v>563</v>
      </c>
      <c r="E141" s="6" t="s">
        <v>564</v>
      </c>
      <c r="F141" s="6" t="s">
        <v>15</v>
      </c>
    </row>
    <row r="142" ht="15.75" customHeight="1">
      <c r="A142" s="6" t="s">
        <v>48</v>
      </c>
      <c r="B142" s="6" t="s">
        <v>386</v>
      </c>
      <c r="C142" s="6">
        <v>6.0</v>
      </c>
      <c r="D142" s="6" t="s">
        <v>569</v>
      </c>
      <c r="E142" s="6" t="s">
        <v>570</v>
      </c>
      <c r="F142" s="6" t="s">
        <v>15</v>
      </c>
    </row>
    <row r="143" ht="15.75" customHeight="1">
      <c r="A143" s="6"/>
      <c r="B143" s="6"/>
      <c r="C143" s="6"/>
      <c r="D143" s="6" t="s">
        <v>573</v>
      </c>
      <c r="E143" s="6" t="s">
        <v>575</v>
      </c>
      <c r="F143" s="6" t="s">
        <v>15</v>
      </c>
    </row>
    <row r="144" ht="15.75" customHeight="1">
      <c r="A144" s="6"/>
      <c r="B144" s="6"/>
      <c r="C144" s="6"/>
      <c r="D144" s="6" t="s">
        <v>577</v>
      </c>
      <c r="E144" s="6" t="s">
        <v>579</v>
      </c>
      <c r="F144" s="6" t="s">
        <v>15</v>
      </c>
    </row>
    <row r="145" ht="15.75" customHeight="1">
      <c r="A145" s="6" t="s">
        <v>48</v>
      </c>
      <c r="B145" s="6" t="s">
        <v>401</v>
      </c>
      <c r="C145" s="6">
        <v>4.0</v>
      </c>
      <c r="D145" s="6" t="s">
        <v>582</v>
      </c>
      <c r="E145" s="6" t="s">
        <v>583</v>
      </c>
      <c r="F145" s="6" t="s">
        <v>15</v>
      </c>
    </row>
    <row r="146" ht="15.75" customHeight="1">
      <c r="A146" s="6"/>
      <c r="B146" s="6"/>
      <c r="C146" s="6"/>
      <c r="D146" s="6" t="s">
        <v>587</v>
      </c>
      <c r="E146" s="6" t="s">
        <v>588</v>
      </c>
      <c r="F146" s="6" t="s">
        <v>15</v>
      </c>
    </row>
    <row r="147" ht="15.75" customHeight="1">
      <c r="A147" s="6"/>
      <c r="B147" s="6"/>
      <c r="C147" s="6"/>
      <c r="D147" s="6" t="s">
        <v>591</v>
      </c>
      <c r="E147" s="6" t="s">
        <v>593</v>
      </c>
      <c r="F147" s="6" t="s">
        <v>19</v>
      </c>
    </row>
    <row r="148" ht="15.75" customHeight="1">
      <c r="A148" s="6" t="s">
        <v>48</v>
      </c>
      <c r="B148" s="6" t="s">
        <v>413</v>
      </c>
      <c r="C148" s="6">
        <v>2.0</v>
      </c>
      <c r="D148" s="6" t="s">
        <v>596</v>
      </c>
      <c r="E148" s="6" t="s">
        <v>598</v>
      </c>
      <c r="F148" s="6" t="s">
        <v>15</v>
      </c>
    </row>
    <row r="149" ht="15.75" customHeight="1">
      <c r="A149" s="6"/>
      <c r="B149" s="6"/>
      <c r="C149" s="6"/>
      <c r="D149" s="6" t="s">
        <v>478</v>
      </c>
      <c r="E149" s="6" t="s">
        <v>480</v>
      </c>
      <c r="F149" s="6" t="s">
        <v>15</v>
      </c>
    </row>
    <row r="150" ht="15.75" customHeight="1">
      <c r="A150" s="6" t="s">
        <v>48</v>
      </c>
      <c r="B150" s="6" t="s">
        <v>110</v>
      </c>
      <c r="C150" s="6">
        <v>2.0</v>
      </c>
      <c r="D150" s="6" t="s">
        <v>605</v>
      </c>
      <c r="E150" s="6" t="s">
        <v>607</v>
      </c>
      <c r="F150" s="6" t="s">
        <v>19</v>
      </c>
    </row>
    <row r="151" ht="15.75" customHeight="1">
      <c r="A151" s="6" t="s">
        <v>48</v>
      </c>
      <c r="B151" s="6" t="s">
        <v>438</v>
      </c>
      <c r="C151" s="6">
        <v>2.0</v>
      </c>
      <c r="D151" s="6" t="s">
        <v>609</v>
      </c>
      <c r="E151" s="6" t="s">
        <v>610</v>
      </c>
      <c r="F151" s="6" t="s">
        <v>15</v>
      </c>
    </row>
    <row r="152" ht="15.75" customHeight="1">
      <c r="A152" s="6"/>
      <c r="B152" s="6"/>
      <c r="C152" s="6"/>
      <c r="D152" s="6" t="s">
        <v>615</v>
      </c>
      <c r="E152" s="6" t="s">
        <v>617</v>
      </c>
      <c r="F152" s="6" t="s">
        <v>15</v>
      </c>
    </row>
    <row r="153" ht="15.75" customHeight="1">
      <c r="A153" s="6" t="s">
        <v>48</v>
      </c>
      <c r="B153" s="6" t="s">
        <v>114</v>
      </c>
      <c r="C153" s="6">
        <v>1.0</v>
      </c>
      <c r="D153" s="6" t="s">
        <v>620</v>
      </c>
      <c r="E153" s="6" t="s">
        <v>622</v>
      </c>
      <c r="F153" s="6" t="s">
        <v>15</v>
      </c>
    </row>
    <row r="154" ht="15.75" customHeight="1">
      <c r="A154" s="6" t="s">
        <v>48</v>
      </c>
      <c r="B154" s="6" t="s">
        <v>118</v>
      </c>
      <c r="C154" s="6">
        <v>1.0</v>
      </c>
      <c r="D154" s="6" t="s">
        <v>626</v>
      </c>
      <c r="E154" s="6" t="s">
        <v>136</v>
      </c>
      <c r="F154" s="6" t="s">
        <v>29</v>
      </c>
    </row>
    <row r="155" ht="15.75" customHeight="1">
      <c r="A155" s="6" t="s">
        <v>50</v>
      </c>
      <c r="B155" s="6" t="s">
        <v>75</v>
      </c>
      <c r="C155" s="6">
        <v>52.0</v>
      </c>
      <c r="D155" s="6" t="s">
        <v>629</v>
      </c>
      <c r="E155" s="6" t="s">
        <v>358</v>
      </c>
      <c r="F155" s="6" t="s">
        <v>19</v>
      </c>
    </row>
    <row r="156" ht="15.75" customHeight="1">
      <c r="A156" s="6"/>
      <c r="B156" s="6"/>
      <c r="C156" s="6"/>
      <c r="D156" s="6" t="s">
        <v>632</v>
      </c>
      <c r="E156" s="6" t="s">
        <v>358</v>
      </c>
      <c r="F156" s="6" t="s">
        <v>19</v>
      </c>
    </row>
    <row r="157" ht="15.75" customHeight="1">
      <c r="A157" s="6"/>
      <c r="B157" s="6"/>
      <c r="C157" s="6"/>
      <c r="D157" s="6" t="s">
        <v>633</v>
      </c>
      <c r="E157" s="6" t="s">
        <v>358</v>
      </c>
      <c r="F157" s="6" t="s">
        <v>19</v>
      </c>
    </row>
    <row r="158" ht="15.75" customHeight="1">
      <c r="A158" s="6" t="s">
        <v>50</v>
      </c>
      <c r="B158" s="6" t="s">
        <v>245</v>
      </c>
      <c r="C158" s="6">
        <v>48.0</v>
      </c>
      <c r="D158" s="6" t="s">
        <v>634</v>
      </c>
      <c r="E158" s="6" t="s">
        <v>635</v>
      </c>
      <c r="F158" s="6" t="s">
        <v>15</v>
      </c>
    </row>
    <row r="159" ht="15.75" customHeight="1">
      <c r="A159" s="6"/>
      <c r="B159" s="6"/>
      <c r="C159" s="6"/>
      <c r="D159" s="6" t="s">
        <v>636</v>
      </c>
      <c r="E159" s="6" t="s">
        <v>637</v>
      </c>
      <c r="F159" s="6" t="s">
        <v>15</v>
      </c>
    </row>
    <row r="160" ht="15.75" customHeight="1">
      <c r="A160" s="6"/>
      <c r="B160" s="6"/>
      <c r="C160" s="6"/>
      <c r="D160" s="6" t="s">
        <v>639</v>
      </c>
      <c r="E160" s="6" t="s">
        <v>640</v>
      </c>
      <c r="F160" s="6" t="s">
        <v>15</v>
      </c>
    </row>
    <row r="161" ht="15.75" customHeight="1">
      <c r="A161" s="6" t="s">
        <v>50</v>
      </c>
      <c r="B161" s="6" t="s">
        <v>328</v>
      </c>
      <c r="C161" s="6">
        <v>30.0</v>
      </c>
      <c r="D161" s="6" t="s">
        <v>645</v>
      </c>
      <c r="E161" s="6" t="s">
        <v>647</v>
      </c>
      <c r="F161" s="6" t="s">
        <v>15</v>
      </c>
    </row>
    <row r="162" ht="15.75" customHeight="1">
      <c r="A162" s="6"/>
      <c r="B162" s="6"/>
      <c r="C162" s="6"/>
      <c r="D162" s="6" t="s">
        <v>649</v>
      </c>
      <c r="E162" s="6" t="s">
        <v>650</v>
      </c>
      <c r="F162" s="6" t="s">
        <v>15</v>
      </c>
    </row>
    <row r="163" ht="15.75" customHeight="1">
      <c r="A163" s="6"/>
      <c r="B163" s="6"/>
      <c r="C163" s="6"/>
      <c r="D163" s="6" t="s">
        <v>654</v>
      </c>
      <c r="E163" s="6" t="s">
        <v>655</v>
      </c>
      <c r="F163" s="6" t="s">
        <v>15</v>
      </c>
    </row>
    <row r="164" ht="15.75" customHeight="1">
      <c r="A164" s="6" t="s">
        <v>50</v>
      </c>
      <c r="B164" s="6" t="s">
        <v>311</v>
      </c>
      <c r="C164" s="6">
        <v>17.0</v>
      </c>
      <c r="D164" s="6" t="s">
        <v>658</v>
      </c>
      <c r="E164" s="6" t="s">
        <v>132</v>
      </c>
      <c r="F164" s="6" t="s">
        <v>15</v>
      </c>
    </row>
    <row r="165" ht="15.75" customHeight="1">
      <c r="A165" s="6"/>
      <c r="B165" s="6"/>
      <c r="C165" s="6"/>
      <c r="D165" s="6" t="s">
        <v>662</v>
      </c>
      <c r="E165" s="6" t="s">
        <v>664</v>
      </c>
      <c r="F165" s="6" t="s">
        <v>15</v>
      </c>
    </row>
    <row r="166" ht="15.75" customHeight="1">
      <c r="A166" s="6"/>
      <c r="B166" s="6"/>
      <c r="C166" s="6"/>
      <c r="D166" s="6" t="s">
        <v>666</v>
      </c>
      <c r="E166" s="6" t="s">
        <v>667</v>
      </c>
      <c r="F166" s="6" t="s">
        <v>15</v>
      </c>
    </row>
    <row r="167" ht="15.75" customHeight="1">
      <c r="A167" s="6" t="s">
        <v>50</v>
      </c>
      <c r="B167" s="6" t="s">
        <v>189</v>
      </c>
      <c r="C167" s="6">
        <v>10.0</v>
      </c>
      <c r="D167" s="6" t="s">
        <v>671</v>
      </c>
      <c r="E167" s="6" t="s">
        <v>673</v>
      </c>
      <c r="F167" s="6" t="s">
        <v>15</v>
      </c>
    </row>
    <row r="168" ht="15.75" customHeight="1">
      <c r="A168" s="6"/>
      <c r="B168" s="6"/>
      <c r="C168" s="6"/>
      <c r="D168" s="6" t="s">
        <v>675</v>
      </c>
      <c r="E168" s="6" t="s">
        <v>673</v>
      </c>
      <c r="F168" s="6" t="s">
        <v>15</v>
      </c>
    </row>
    <row r="169" ht="15.75" customHeight="1">
      <c r="A169" s="6"/>
      <c r="B169" s="6"/>
      <c r="C169" s="6"/>
      <c r="D169" s="6" t="s">
        <v>678</v>
      </c>
      <c r="E169" s="6" t="s">
        <v>679</v>
      </c>
      <c r="F169" s="6" t="s">
        <v>15</v>
      </c>
    </row>
    <row r="170" ht="15.75" customHeight="1">
      <c r="A170" s="6" t="s">
        <v>50</v>
      </c>
      <c r="B170" s="6" t="s">
        <v>539</v>
      </c>
      <c r="C170" s="6">
        <v>9.0</v>
      </c>
      <c r="D170" s="6" t="s">
        <v>682</v>
      </c>
      <c r="E170" s="6" t="s">
        <v>683</v>
      </c>
      <c r="F170" s="6" t="s">
        <v>15</v>
      </c>
    </row>
    <row r="171" ht="15.75" customHeight="1">
      <c r="A171" s="6"/>
      <c r="B171" s="6"/>
      <c r="C171" s="6"/>
      <c r="D171" s="6" t="s">
        <v>687</v>
      </c>
      <c r="E171" s="6" t="s">
        <v>688</v>
      </c>
      <c r="F171" s="6" t="s">
        <v>15</v>
      </c>
    </row>
    <row r="172" ht="15.75" customHeight="1">
      <c r="A172" s="6"/>
      <c r="B172" s="6"/>
      <c r="C172" s="6"/>
      <c r="D172" s="6" t="s">
        <v>690</v>
      </c>
      <c r="E172" s="6" t="s">
        <v>691</v>
      </c>
      <c r="F172" s="6" t="s">
        <v>15</v>
      </c>
    </row>
    <row r="173" ht="15.75" customHeight="1">
      <c r="A173" s="6" t="s">
        <v>50</v>
      </c>
      <c r="B173" s="6" t="s">
        <v>548</v>
      </c>
      <c r="C173" s="6">
        <v>5.0</v>
      </c>
      <c r="D173" s="6" t="s">
        <v>693</v>
      </c>
      <c r="E173" s="6" t="s">
        <v>694</v>
      </c>
      <c r="F173" s="6" t="s">
        <v>19</v>
      </c>
    </row>
    <row r="174" ht="15.75" customHeight="1">
      <c r="A174" s="6"/>
      <c r="B174" s="6"/>
      <c r="C174" s="6"/>
      <c r="D174" s="6" t="s">
        <v>699</v>
      </c>
      <c r="E174" s="6" t="s">
        <v>358</v>
      </c>
      <c r="F174" s="6" t="s">
        <v>19</v>
      </c>
    </row>
    <row r="175" ht="15.75" customHeight="1">
      <c r="A175" s="6"/>
      <c r="B175" s="6"/>
      <c r="C175" s="6"/>
      <c r="D175" s="6" t="s">
        <v>701</v>
      </c>
      <c r="E175" s="6" t="s">
        <v>702</v>
      </c>
      <c r="F175" s="6" t="s">
        <v>15</v>
      </c>
    </row>
    <row r="176" ht="15.75" customHeight="1">
      <c r="A176" s="6" t="s">
        <v>50</v>
      </c>
      <c r="B176" s="6" t="s">
        <v>110</v>
      </c>
      <c r="C176" s="6">
        <v>5.0</v>
      </c>
      <c r="D176" s="6" t="s">
        <v>705</v>
      </c>
      <c r="E176" s="6" t="s">
        <v>136</v>
      </c>
      <c r="F176" s="6" t="s">
        <v>29</v>
      </c>
    </row>
    <row r="177" ht="15.75" customHeight="1">
      <c r="A177" s="6"/>
      <c r="B177" s="6"/>
      <c r="C177" s="6"/>
      <c r="D177" s="6" t="s">
        <v>707</v>
      </c>
      <c r="E177" s="6" t="s">
        <v>136</v>
      </c>
      <c r="F177" s="6" t="s">
        <v>29</v>
      </c>
    </row>
    <row r="178" ht="15.75" customHeight="1">
      <c r="A178" s="6" t="s">
        <v>50</v>
      </c>
      <c r="B178" s="6" t="s">
        <v>566</v>
      </c>
      <c r="C178" s="6">
        <v>2.0</v>
      </c>
      <c r="D178" s="6" t="s">
        <v>710</v>
      </c>
      <c r="E178" s="6" t="s">
        <v>136</v>
      </c>
      <c r="F178" s="6" t="s">
        <v>29</v>
      </c>
    </row>
    <row r="179" ht="15.75" customHeight="1">
      <c r="A179" s="6" t="s">
        <v>50</v>
      </c>
      <c r="B179" s="6" t="s">
        <v>581</v>
      </c>
      <c r="C179" s="6">
        <v>2.0</v>
      </c>
      <c r="D179" s="6" t="s">
        <v>713</v>
      </c>
      <c r="E179" s="6" t="s">
        <v>714</v>
      </c>
      <c r="F179" s="6" t="s">
        <v>15</v>
      </c>
    </row>
    <row r="180" ht="15.75" customHeight="1">
      <c r="A180" s="6" t="s">
        <v>50</v>
      </c>
      <c r="B180" s="6" t="s">
        <v>114</v>
      </c>
      <c r="C180" s="6">
        <v>2.0</v>
      </c>
      <c r="D180" s="6" t="s">
        <v>719</v>
      </c>
      <c r="E180" s="6" t="s">
        <v>721</v>
      </c>
      <c r="F180" s="6" t="s">
        <v>29</v>
      </c>
    </row>
    <row r="181" ht="15.75" customHeight="1">
      <c r="A181" s="6" t="s">
        <v>54</v>
      </c>
      <c r="B181" s="6" t="s">
        <v>182</v>
      </c>
      <c r="C181" s="6">
        <v>95.0</v>
      </c>
      <c r="D181" s="6" t="s">
        <v>722</v>
      </c>
      <c r="E181" s="6" t="s">
        <v>723</v>
      </c>
      <c r="F181" s="6" t="s">
        <v>15</v>
      </c>
    </row>
    <row r="182" ht="15.75" customHeight="1">
      <c r="A182" s="6"/>
      <c r="B182" s="6"/>
      <c r="C182" s="6"/>
      <c r="D182" s="6" t="s">
        <v>726</v>
      </c>
      <c r="E182" s="6" t="s">
        <v>728</v>
      </c>
      <c r="F182" s="6" t="s">
        <v>19</v>
      </c>
    </row>
    <row r="183" ht="15.75" customHeight="1">
      <c r="A183" s="6"/>
      <c r="B183" s="6"/>
      <c r="C183" s="6"/>
      <c r="D183" s="6" t="s">
        <v>730</v>
      </c>
      <c r="E183" s="6" t="s">
        <v>731</v>
      </c>
      <c r="F183" s="6" t="s">
        <v>19</v>
      </c>
    </row>
    <row r="184" ht="15.75" customHeight="1">
      <c r="A184" s="6" t="s">
        <v>54</v>
      </c>
      <c r="B184" s="6" t="s">
        <v>99</v>
      </c>
      <c r="C184" s="6">
        <v>24.0</v>
      </c>
      <c r="D184" s="6" t="s">
        <v>734</v>
      </c>
      <c r="E184" s="6" t="s">
        <v>735</v>
      </c>
      <c r="F184" s="6" t="s">
        <v>19</v>
      </c>
    </row>
    <row r="185" ht="15.75" customHeight="1">
      <c r="A185" s="6"/>
      <c r="B185" s="6"/>
      <c r="C185" s="6"/>
      <c r="D185" s="6" t="s">
        <v>737</v>
      </c>
      <c r="E185" s="6" t="s">
        <v>738</v>
      </c>
      <c r="F185" s="6" t="s">
        <v>15</v>
      </c>
    </row>
    <row r="186" ht="15.75" customHeight="1">
      <c r="A186" s="6"/>
      <c r="B186" s="6"/>
      <c r="C186" s="6"/>
      <c r="D186" s="6" t="s">
        <v>739</v>
      </c>
      <c r="E186" s="6" t="s">
        <v>742</v>
      </c>
      <c r="F186" s="6" t="s">
        <v>19</v>
      </c>
    </row>
    <row r="187" ht="15.75" customHeight="1">
      <c r="A187" s="6" t="s">
        <v>54</v>
      </c>
      <c r="B187" s="6" t="s">
        <v>217</v>
      </c>
      <c r="C187" s="6">
        <v>17.0</v>
      </c>
      <c r="D187" s="6" t="s">
        <v>745</v>
      </c>
      <c r="E187" s="6" t="s">
        <v>746</v>
      </c>
      <c r="F187" s="6" t="s">
        <v>15</v>
      </c>
    </row>
    <row r="188" ht="15.75" customHeight="1">
      <c r="A188" s="6"/>
      <c r="B188" s="6"/>
      <c r="C188" s="6"/>
      <c r="D188" s="6" t="s">
        <v>748</v>
      </c>
      <c r="E188" s="6" t="s">
        <v>749</v>
      </c>
      <c r="F188" s="6" t="s">
        <v>19</v>
      </c>
    </row>
    <row r="189" ht="15.75" customHeight="1">
      <c r="A189" s="6"/>
      <c r="B189" s="6"/>
      <c r="C189" s="6"/>
      <c r="D189" s="6" t="s">
        <v>753</v>
      </c>
      <c r="E189" s="6" t="s">
        <v>136</v>
      </c>
      <c r="F189" s="6" t="s">
        <v>29</v>
      </c>
    </row>
    <row r="190" ht="15.75" customHeight="1">
      <c r="A190" s="6" t="s">
        <v>54</v>
      </c>
      <c r="B190" s="6" t="s">
        <v>646</v>
      </c>
      <c r="C190" s="6">
        <v>7.0</v>
      </c>
      <c r="D190" s="6" t="s">
        <v>755</v>
      </c>
      <c r="E190" s="6" t="s">
        <v>757</v>
      </c>
      <c r="F190" s="6" t="s">
        <v>15</v>
      </c>
    </row>
    <row r="191" ht="15.75" customHeight="1">
      <c r="A191" s="6"/>
      <c r="B191" s="6"/>
      <c r="C191" s="6"/>
      <c r="D191" s="6" t="s">
        <v>761</v>
      </c>
      <c r="E191" s="6" t="s">
        <v>762</v>
      </c>
      <c r="F191" s="6" t="s">
        <v>15</v>
      </c>
    </row>
    <row r="192" ht="15.75" customHeight="1">
      <c r="A192" s="6"/>
      <c r="B192" s="6"/>
      <c r="C192" s="6"/>
      <c r="D192" s="6" t="s">
        <v>766</v>
      </c>
      <c r="E192" s="6" t="s">
        <v>769</v>
      </c>
      <c r="F192" s="6" t="s">
        <v>15</v>
      </c>
    </row>
    <row r="193" ht="15.75" customHeight="1">
      <c r="A193" s="6" t="s">
        <v>54</v>
      </c>
      <c r="B193" s="6" t="s">
        <v>572</v>
      </c>
      <c r="C193" s="6">
        <v>5.0</v>
      </c>
      <c r="D193" s="6" t="s">
        <v>771</v>
      </c>
      <c r="E193" s="6" t="s">
        <v>773</v>
      </c>
      <c r="F193" s="6" t="s">
        <v>15</v>
      </c>
    </row>
    <row r="194" ht="15.75" customHeight="1">
      <c r="A194" s="6"/>
      <c r="B194" s="6"/>
      <c r="C194" s="6"/>
      <c r="D194" s="6" t="s">
        <v>776</v>
      </c>
      <c r="E194" s="6" t="s">
        <v>247</v>
      </c>
      <c r="F194" s="6" t="s">
        <v>25</v>
      </c>
    </row>
    <row r="195" ht="15.75" customHeight="1">
      <c r="A195" s="6"/>
      <c r="B195" s="6"/>
      <c r="C195" s="6"/>
      <c r="D195" s="6" t="s">
        <v>778</v>
      </c>
      <c r="E195" s="6" t="s">
        <v>780</v>
      </c>
      <c r="F195" s="6" t="s">
        <v>19</v>
      </c>
    </row>
    <row r="196" ht="15.75" customHeight="1">
      <c r="A196" s="6" t="s">
        <v>54</v>
      </c>
      <c r="B196" s="6" t="s">
        <v>327</v>
      </c>
      <c r="C196" s="6">
        <v>5.0</v>
      </c>
      <c r="D196" s="6" t="s">
        <v>783</v>
      </c>
      <c r="E196" s="6" t="s">
        <v>247</v>
      </c>
      <c r="F196" s="6" t="s">
        <v>25</v>
      </c>
    </row>
    <row r="197" ht="15.75" customHeight="1">
      <c r="A197" s="6"/>
      <c r="B197" s="6"/>
      <c r="C197" s="6"/>
      <c r="D197" s="6" t="s">
        <v>786</v>
      </c>
      <c r="E197" s="6" t="s">
        <v>787</v>
      </c>
      <c r="F197" s="6" t="s">
        <v>15</v>
      </c>
    </row>
    <row r="198" ht="15.75" customHeight="1">
      <c r="A198" s="6"/>
      <c r="B198" s="6"/>
      <c r="C198" s="6"/>
      <c r="D198" s="6" t="s">
        <v>791</v>
      </c>
      <c r="E198" s="6" t="s">
        <v>792</v>
      </c>
      <c r="F198" s="6" t="s">
        <v>15</v>
      </c>
    </row>
    <row r="199" ht="15.75" customHeight="1">
      <c r="A199" s="6" t="s">
        <v>54</v>
      </c>
      <c r="B199" s="6" t="s">
        <v>520</v>
      </c>
      <c r="C199" s="6">
        <v>4.0</v>
      </c>
      <c r="D199" s="6" t="s">
        <v>795</v>
      </c>
      <c r="E199" s="6" t="s">
        <v>797</v>
      </c>
      <c r="F199" s="6" t="s">
        <v>15</v>
      </c>
    </row>
    <row r="200" ht="15.75" customHeight="1">
      <c r="A200" s="6"/>
      <c r="B200" s="6"/>
      <c r="C200" s="6"/>
      <c r="D200" s="6" t="s">
        <v>518</v>
      </c>
      <c r="E200" s="6" t="s">
        <v>136</v>
      </c>
      <c r="F200" s="6" t="s">
        <v>29</v>
      </c>
    </row>
    <row r="201" ht="15.75" customHeight="1">
      <c r="A201" s="6"/>
      <c r="B201" s="6"/>
      <c r="C201" s="6"/>
      <c r="D201" s="6" t="s">
        <v>802</v>
      </c>
      <c r="E201" s="6" t="s">
        <v>804</v>
      </c>
      <c r="F201" s="6" t="s">
        <v>15</v>
      </c>
    </row>
    <row r="202" ht="15.75" customHeight="1">
      <c r="A202" s="6" t="s">
        <v>54</v>
      </c>
      <c r="B202" s="6" t="s">
        <v>196</v>
      </c>
      <c r="C202" s="6">
        <v>2.0</v>
      </c>
      <c r="D202" s="6" t="s">
        <v>808</v>
      </c>
      <c r="E202" s="6" t="s">
        <v>809</v>
      </c>
      <c r="F202" s="6" t="s">
        <v>15</v>
      </c>
    </row>
    <row r="203" ht="15.75" customHeight="1">
      <c r="A203" s="6"/>
      <c r="B203" s="6"/>
      <c r="C203" s="6"/>
      <c r="D203" s="6" t="s">
        <v>814</v>
      </c>
      <c r="E203" s="6" t="s">
        <v>815</v>
      </c>
      <c r="F203" s="6" t="s">
        <v>23</v>
      </c>
    </row>
    <row r="204" ht="15.75" customHeight="1">
      <c r="A204" s="6" t="s">
        <v>54</v>
      </c>
      <c r="B204" s="6" t="s">
        <v>717</v>
      </c>
      <c r="C204" s="6">
        <v>1.0</v>
      </c>
      <c r="D204" s="6" t="s">
        <v>817</v>
      </c>
      <c r="E204" s="6" t="s">
        <v>819</v>
      </c>
      <c r="F204" s="6" t="s">
        <v>15</v>
      </c>
    </row>
    <row r="205" ht="15.75" customHeight="1">
      <c r="A205" s="6" t="s">
        <v>54</v>
      </c>
      <c r="B205" s="6" t="s">
        <v>114</v>
      </c>
      <c r="C205" s="6">
        <v>1.0</v>
      </c>
      <c r="D205" s="6" t="s">
        <v>822</v>
      </c>
      <c r="E205" s="6" t="s">
        <v>136</v>
      </c>
      <c r="F205" s="6" t="s">
        <v>29</v>
      </c>
    </row>
    <row r="206" ht="15.75" customHeight="1">
      <c r="A206" s="6" t="s">
        <v>54</v>
      </c>
      <c r="B206" s="6" t="s">
        <v>110</v>
      </c>
      <c r="C206" s="6">
        <v>1.0</v>
      </c>
      <c r="D206" s="6" t="s">
        <v>825</v>
      </c>
      <c r="E206" s="6" t="s">
        <v>136</v>
      </c>
      <c r="F206" s="6" t="s">
        <v>29</v>
      </c>
    </row>
    <row r="207" ht="15.75" customHeight="1">
      <c r="A207" s="6" t="s">
        <v>54</v>
      </c>
      <c r="B207" s="6" t="s">
        <v>438</v>
      </c>
      <c r="C207" s="6">
        <v>1.0</v>
      </c>
      <c r="D207" s="6" t="s">
        <v>827</v>
      </c>
      <c r="E207" s="6" t="s">
        <v>828</v>
      </c>
      <c r="F207" s="6" t="s">
        <v>15</v>
      </c>
    </row>
    <row r="208" ht="15.75" customHeight="1">
      <c r="A208" s="6" t="s">
        <v>59</v>
      </c>
      <c r="B208" s="6" t="s">
        <v>373</v>
      </c>
      <c r="C208" s="6">
        <v>35.0</v>
      </c>
      <c r="D208" s="6" t="s">
        <v>832</v>
      </c>
      <c r="E208" s="6" t="s">
        <v>833</v>
      </c>
      <c r="F208" s="6" t="s">
        <v>15</v>
      </c>
    </row>
    <row r="209" ht="15.75" customHeight="1">
      <c r="A209" s="6"/>
      <c r="B209" s="6"/>
      <c r="C209" s="6"/>
      <c r="D209" s="6" t="s">
        <v>835</v>
      </c>
      <c r="E209" s="6" t="s">
        <v>837</v>
      </c>
      <c r="F209" s="6" t="s">
        <v>15</v>
      </c>
    </row>
    <row r="210" ht="15.75" customHeight="1">
      <c r="A210" s="6"/>
      <c r="B210" s="6"/>
      <c r="C210" s="6"/>
      <c r="D210" s="6" t="s">
        <v>840</v>
      </c>
      <c r="E210" s="6" t="s">
        <v>841</v>
      </c>
      <c r="F210" s="6" t="s">
        <v>15</v>
      </c>
    </row>
    <row r="211" ht="15.75" customHeight="1">
      <c r="A211" s="6" t="s">
        <v>59</v>
      </c>
      <c r="B211" s="6" t="s">
        <v>113</v>
      </c>
      <c r="C211" s="6">
        <v>33.0</v>
      </c>
      <c r="D211" s="6" t="s">
        <v>844</v>
      </c>
      <c r="E211" s="6" t="s">
        <v>136</v>
      </c>
      <c r="F211" s="6" t="s">
        <v>29</v>
      </c>
    </row>
    <row r="212" ht="15.75" customHeight="1">
      <c r="A212" s="6"/>
      <c r="B212" s="6"/>
      <c r="C212" s="6"/>
      <c r="D212" s="6" t="s">
        <v>848</v>
      </c>
      <c r="E212" s="6" t="s">
        <v>849</v>
      </c>
      <c r="F212" s="6" t="s">
        <v>19</v>
      </c>
    </row>
    <row r="213" ht="15.75" customHeight="1">
      <c r="A213" s="6"/>
      <c r="B213" s="6"/>
      <c r="C213" s="6"/>
      <c r="D213" s="6" t="s">
        <v>852</v>
      </c>
      <c r="E213" s="6" t="s">
        <v>491</v>
      </c>
      <c r="F213" s="6" t="s">
        <v>29</v>
      </c>
    </row>
    <row r="214" ht="15.75" customHeight="1">
      <c r="A214" s="6" t="s">
        <v>59</v>
      </c>
      <c r="B214" s="6" t="s">
        <v>117</v>
      </c>
      <c r="C214" s="6">
        <v>24.0</v>
      </c>
      <c r="D214" s="6" t="s">
        <v>855</v>
      </c>
      <c r="E214" s="6" t="s">
        <v>856</v>
      </c>
      <c r="F214" s="6" t="s">
        <v>19</v>
      </c>
    </row>
    <row r="215" ht="15.75" customHeight="1">
      <c r="A215" s="6"/>
      <c r="B215" s="6"/>
      <c r="C215" s="6"/>
      <c r="D215" s="6" t="s">
        <v>860</v>
      </c>
      <c r="E215" s="6" t="s">
        <v>199</v>
      </c>
      <c r="F215" s="6" t="s">
        <v>29</v>
      </c>
    </row>
    <row r="216" ht="15.75" customHeight="1">
      <c r="A216" s="6"/>
      <c r="B216" s="6"/>
      <c r="C216" s="6"/>
      <c r="D216" s="6" t="s">
        <v>503</v>
      </c>
      <c r="E216" s="6" t="s">
        <v>862</v>
      </c>
      <c r="F216" s="6" t="s">
        <v>15</v>
      </c>
    </row>
    <row r="217" ht="15.75" customHeight="1">
      <c r="A217" s="6" t="s">
        <v>59</v>
      </c>
      <c r="B217" s="6" t="s">
        <v>127</v>
      </c>
      <c r="C217" s="6">
        <v>10.0</v>
      </c>
      <c r="D217" s="6" t="s">
        <v>865</v>
      </c>
      <c r="E217" s="6" t="s">
        <v>866</v>
      </c>
      <c r="F217" s="6" t="s">
        <v>15</v>
      </c>
    </row>
    <row r="218" ht="15.75" customHeight="1">
      <c r="A218" s="6"/>
      <c r="B218" s="6"/>
      <c r="C218" s="6"/>
      <c r="D218" s="6" t="s">
        <v>865</v>
      </c>
      <c r="E218" s="6" t="s">
        <v>466</v>
      </c>
      <c r="F218" s="6" t="s">
        <v>29</v>
      </c>
    </row>
    <row r="219" ht="15.75" customHeight="1">
      <c r="A219" s="6"/>
      <c r="B219" s="6"/>
      <c r="C219" s="6"/>
      <c r="D219" s="6" t="s">
        <v>868</v>
      </c>
      <c r="E219" s="6" t="s">
        <v>491</v>
      </c>
      <c r="F219" s="6" t="s">
        <v>29</v>
      </c>
    </row>
    <row r="220" ht="15.75" customHeight="1">
      <c r="A220" s="6" t="s">
        <v>59</v>
      </c>
      <c r="B220" s="6" t="s">
        <v>810</v>
      </c>
      <c r="C220" s="6">
        <v>3.0</v>
      </c>
      <c r="D220" s="6" t="s">
        <v>872</v>
      </c>
      <c r="E220" s="6" t="s">
        <v>873</v>
      </c>
      <c r="F220" s="6" t="s">
        <v>19</v>
      </c>
    </row>
    <row r="221" ht="15.75" customHeight="1">
      <c r="A221" s="6"/>
      <c r="B221" s="6"/>
      <c r="C221" s="6"/>
      <c r="D221" s="6" t="s">
        <v>876</v>
      </c>
      <c r="E221" s="6" t="s">
        <v>878</v>
      </c>
      <c r="F221" s="6" t="s">
        <v>15</v>
      </c>
    </row>
    <row r="222" ht="15.75" customHeight="1">
      <c r="A222" s="6" t="s">
        <v>59</v>
      </c>
      <c r="B222" s="6" t="s">
        <v>656</v>
      </c>
      <c r="C222" s="6">
        <v>2.0</v>
      </c>
      <c r="D222" s="6" t="s">
        <v>880</v>
      </c>
      <c r="E222" s="6" t="s">
        <v>881</v>
      </c>
      <c r="F222" s="6" t="s">
        <v>15</v>
      </c>
    </row>
    <row r="223" ht="15.75" customHeight="1">
      <c r="A223" s="6"/>
      <c r="B223" s="6"/>
      <c r="C223" s="6"/>
      <c r="D223" s="6" t="s">
        <v>884</v>
      </c>
      <c r="E223" s="6" t="s">
        <v>885</v>
      </c>
      <c r="F223" s="6" t="s">
        <v>29</v>
      </c>
    </row>
    <row r="224" ht="15.75" customHeight="1">
      <c r="A224" s="6" t="s">
        <v>59</v>
      </c>
      <c r="B224" s="6" t="s">
        <v>438</v>
      </c>
      <c r="C224" s="6">
        <v>2.0</v>
      </c>
      <c r="D224" s="6" t="s">
        <v>889</v>
      </c>
      <c r="E224" s="6" t="s">
        <v>837</v>
      </c>
      <c r="F224" s="6" t="s">
        <v>15</v>
      </c>
    </row>
    <row r="225" ht="15.75" customHeight="1">
      <c r="A225" s="6"/>
      <c r="B225" s="6"/>
      <c r="C225" s="6"/>
      <c r="D225" s="6" t="s">
        <v>896</v>
      </c>
      <c r="E225" s="6" t="s">
        <v>897</v>
      </c>
      <c r="F225" s="6" t="s">
        <v>23</v>
      </c>
    </row>
    <row r="226" ht="15.75" customHeight="1">
      <c r="A226" s="6" t="s">
        <v>59</v>
      </c>
      <c r="B226" s="6" t="s">
        <v>843</v>
      </c>
      <c r="C226" s="6">
        <v>1.0</v>
      </c>
      <c r="D226" s="6" t="s">
        <v>901</v>
      </c>
      <c r="E226" s="6" t="s">
        <v>856</v>
      </c>
      <c r="F226" s="6" t="s">
        <v>15</v>
      </c>
    </row>
    <row r="227" ht="15.75" customHeight="1">
      <c r="A227" s="6" t="s">
        <v>62</v>
      </c>
      <c r="B227" s="6" t="s">
        <v>119</v>
      </c>
      <c r="C227" s="6">
        <v>22.0</v>
      </c>
      <c r="D227" s="6" t="s">
        <v>903</v>
      </c>
      <c r="E227" s="6" t="s">
        <v>904</v>
      </c>
      <c r="F227" s="6" t="s">
        <v>19</v>
      </c>
    </row>
    <row r="228" ht="15.75" customHeight="1">
      <c r="A228" s="6"/>
      <c r="B228" s="6"/>
      <c r="C228" s="6"/>
      <c r="D228" s="6" t="s">
        <v>908</v>
      </c>
      <c r="E228" s="6" t="s">
        <v>247</v>
      </c>
      <c r="F228" s="6" t="s">
        <v>25</v>
      </c>
    </row>
    <row r="229" ht="15.75" customHeight="1">
      <c r="A229" s="6"/>
      <c r="B229" s="6"/>
      <c r="C229" s="6"/>
      <c r="D229" s="6" t="s">
        <v>909</v>
      </c>
      <c r="E229" s="6" t="s">
        <v>910</v>
      </c>
      <c r="F229" s="6" t="s">
        <v>15</v>
      </c>
    </row>
    <row r="230" ht="15.75" customHeight="1">
      <c r="A230" s="6" t="s">
        <v>62</v>
      </c>
      <c r="B230" s="6" t="s">
        <v>111</v>
      </c>
      <c r="C230" s="6">
        <v>18.0</v>
      </c>
      <c r="D230" s="6" t="s">
        <v>913</v>
      </c>
      <c r="E230" s="6" t="s">
        <v>466</v>
      </c>
      <c r="F230" s="6" t="s">
        <v>29</v>
      </c>
    </row>
    <row r="231" ht="15.75" customHeight="1">
      <c r="A231" s="6"/>
      <c r="B231" s="6"/>
      <c r="C231" s="6"/>
      <c r="D231" s="6" t="s">
        <v>915</v>
      </c>
      <c r="E231" s="6" t="s">
        <v>136</v>
      </c>
      <c r="F231" s="6" t="s">
        <v>29</v>
      </c>
    </row>
    <row r="232" ht="15.75" customHeight="1">
      <c r="A232" s="6"/>
      <c r="B232" s="6"/>
      <c r="C232" s="6"/>
      <c r="D232" s="6" t="s">
        <v>915</v>
      </c>
      <c r="E232" s="6" t="s">
        <v>917</v>
      </c>
      <c r="F232" s="6" t="s">
        <v>19</v>
      </c>
    </row>
    <row r="233" ht="15.75" customHeight="1">
      <c r="A233" s="6" t="s">
        <v>62</v>
      </c>
      <c r="B233" s="6" t="s">
        <v>261</v>
      </c>
      <c r="C233" s="6">
        <v>14.0</v>
      </c>
      <c r="D233" s="6" t="s">
        <v>920</v>
      </c>
      <c r="E233" s="6" t="s">
        <v>921</v>
      </c>
      <c r="F233" s="6" t="s">
        <v>15</v>
      </c>
    </row>
    <row r="234" ht="15.75" customHeight="1">
      <c r="A234" s="6"/>
      <c r="B234" s="6"/>
      <c r="C234" s="6"/>
      <c r="D234" s="6" t="s">
        <v>923</v>
      </c>
      <c r="E234" s="6" t="s">
        <v>466</v>
      </c>
      <c r="F234" s="6" t="s">
        <v>29</v>
      </c>
    </row>
    <row r="235" ht="15.75" customHeight="1">
      <c r="A235" s="6"/>
      <c r="B235" s="6"/>
      <c r="C235" s="6"/>
      <c r="D235" s="6" t="s">
        <v>926</v>
      </c>
      <c r="E235" s="6" t="s">
        <v>928</v>
      </c>
      <c r="F235" s="6" t="s">
        <v>15</v>
      </c>
    </row>
    <row r="236" ht="15.75" customHeight="1">
      <c r="A236" s="6" t="s">
        <v>62</v>
      </c>
      <c r="B236" s="6" t="s">
        <v>107</v>
      </c>
      <c r="C236" s="6">
        <v>12.0</v>
      </c>
      <c r="D236" s="6" t="s">
        <v>930</v>
      </c>
      <c r="E236" s="6" t="s">
        <v>931</v>
      </c>
      <c r="F236" s="6" t="s">
        <v>15</v>
      </c>
    </row>
    <row r="237" ht="15.75" customHeight="1">
      <c r="A237" s="6"/>
      <c r="B237" s="6"/>
      <c r="C237" s="6"/>
      <c r="D237" s="6" t="s">
        <v>934</v>
      </c>
      <c r="E237" s="6" t="s">
        <v>935</v>
      </c>
      <c r="F237" s="6" t="s">
        <v>23</v>
      </c>
    </row>
    <row r="238" ht="15.75" customHeight="1">
      <c r="A238" s="6"/>
      <c r="B238" s="6"/>
      <c r="C238" s="6"/>
      <c r="D238" s="6" t="s">
        <v>938</v>
      </c>
      <c r="E238" s="6" t="s">
        <v>433</v>
      </c>
      <c r="F238" s="6" t="s">
        <v>19</v>
      </c>
    </row>
    <row r="239" ht="15.75" customHeight="1">
      <c r="A239" s="6" t="s">
        <v>62</v>
      </c>
      <c r="B239" s="6" t="s">
        <v>212</v>
      </c>
      <c r="C239" s="6">
        <v>11.0</v>
      </c>
      <c r="D239" s="6" t="s">
        <v>941</v>
      </c>
      <c r="E239" s="6" t="s">
        <v>944</v>
      </c>
      <c r="F239" s="6" t="s">
        <v>19</v>
      </c>
    </row>
    <row r="240" ht="15.75" customHeight="1">
      <c r="A240" s="6"/>
      <c r="B240" s="6"/>
      <c r="C240" s="6"/>
      <c r="D240" s="6" t="s">
        <v>946</v>
      </c>
      <c r="E240" s="6" t="s">
        <v>947</v>
      </c>
      <c r="F240" s="6" t="s">
        <v>15</v>
      </c>
    </row>
    <row r="241" ht="15.75" customHeight="1">
      <c r="A241" s="6"/>
      <c r="B241" s="6"/>
      <c r="C241" s="6"/>
      <c r="D241" s="6" t="s">
        <v>949</v>
      </c>
      <c r="E241" s="6" t="s">
        <v>950</v>
      </c>
      <c r="F241" s="6" t="s">
        <v>19</v>
      </c>
    </row>
    <row r="242" ht="15.75" customHeight="1">
      <c r="A242" s="6" t="s">
        <v>62</v>
      </c>
      <c r="B242" s="6" t="s">
        <v>105</v>
      </c>
      <c r="C242" s="6">
        <v>10.0</v>
      </c>
      <c r="D242" s="6" t="s">
        <v>953</v>
      </c>
      <c r="E242" s="6" t="s">
        <v>136</v>
      </c>
      <c r="F242" s="6" t="s">
        <v>29</v>
      </c>
    </row>
    <row r="243" ht="15.75" customHeight="1">
      <c r="A243" s="6"/>
      <c r="B243" s="6"/>
      <c r="C243" s="6"/>
      <c r="D243" s="6" t="s">
        <v>955</v>
      </c>
      <c r="E243" s="6" t="s">
        <v>491</v>
      </c>
      <c r="F243" s="6" t="s">
        <v>29</v>
      </c>
    </row>
    <row r="244" ht="15.75" customHeight="1">
      <c r="A244" s="6"/>
      <c r="B244" s="6"/>
      <c r="C244" s="6"/>
      <c r="D244" s="6" t="s">
        <v>957</v>
      </c>
      <c r="E244" s="6" t="s">
        <v>958</v>
      </c>
      <c r="F244" s="6" t="s">
        <v>15</v>
      </c>
    </row>
    <row r="245" ht="15.75" customHeight="1">
      <c r="A245" s="6" t="s">
        <v>62</v>
      </c>
      <c r="B245" s="6" t="s">
        <v>940</v>
      </c>
      <c r="C245" s="6">
        <v>5.0</v>
      </c>
      <c r="D245" s="6" t="s">
        <v>961</v>
      </c>
      <c r="E245" s="6" t="s">
        <v>963</v>
      </c>
      <c r="F245" s="6" t="s">
        <v>29</v>
      </c>
    </row>
    <row r="246" ht="15.75" customHeight="1">
      <c r="A246" s="6"/>
      <c r="B246" s="6"/>
      <c r="C246" s="6"/>
      <c r="D246" s="6" t="s">
        <v>964</v>
      </c>
      <c r="E246" s="6" t="s">
        <v>966</v>
      </c>
      <c r="F246" s="6" t="s">
        <v>15</v>
      </c>
    </row>
    <row r="247" ht="15.75" customHeight="1">
      <c r="A247" s="6"/>
      <c r="B247" s="6"/>
      <c r="C247" s="6"/>
      <c r="D247" s="6" t="s">
        <v>969</v>
      </c>
      <c r="E247" s="6" t="s">
        <v>971</v>
      </c>
      <c r="F247" s="6" t="s">
        <v>15</v>
      </c>
    </row>
    <row r="248" ht="15.75" customHeight="1">
      <c r="A248" s="6" t="s">
        <v>62</v>
      </c>
      <c r="B248" s="6" t="s">
        <v>399</v>
      </c>
      <c r="C248" s="6">
        <v>4.0</v>
      </c>
      <c r="D248" s="6" t="s">
        <v>974</v>
      </c>
      <c r="E248" s="6" t="s">
        <v>975</v>
      </c>
      <c r="F248" s="6" t="s">
        <v>19</v>
      </c>
    </row>
    <row r="249" ht="15.75" customHeight="1">
      <c r="A249" s="6" t="s">
        <v>62</v>
      </c>
      <c r="B249" s="6" t="s">
        <v>970</v>
      </c>
      <c r="C249" s="6">
        <v>4.0</v>
      </c>
      <c r="D249" s="6" t="s">
        <v>978</v>
      </c>
      <c r="E249" s="6" t="s">
        <v>980</v>
      </c>
      <c r="F249" s="6" t="s">
        <v>19</v>
      </c>
    </row>
    <row r="250" ht="15.75" customHeight="1">
      <c r="A250" s="6"/>
      <c r="B250" s="6"/>
      <c r="C250" s="6"/>
      <c r="D250" s="6" t="s">
        <v>982</v>
      </c>
      <c r="E250" s="6" t="s">
        <v>136</v>
      </c>
      <c r="F250" s="6" t="s">
        <v>29</v>
      </c>
    </row>
    <row r="251" ht="15.75" customHeight="1">
      <c r="A251" s="6"/>
      <c r="B251" s="6"/>
      <c r="C251" s="6"/>
      <c r="D251" s="6" t="s">
        <v>985</v>
      </c>
      <c r="E251" s="6" t="s">
        <v>986</v>
      </c>
      <c r="F251" s="6" t="s">
        <v>15</v>
      </c>
    </row>
    <row r="252" ht="15.75" customHeight="1">
      <c r="A252" s="6" t="s">
        <v>62</v>
      </c>
      <c r="B252" s="6" t="s">
        <v>983</v>
      </c>
      <c r="C252" s="6">
        <v>3.0</v>
      </c>
      <c r="D252" s="6" t="s">
        <v>988</v>
      </c>
      <c r="E252" s="6" t="s">
        <v>989</v>
      </c>
      <c r="F252" s="6" t="s">
        <v>19</v>
      </c>
    </row>
    <row r="253" ht="15.75" customHeight="1">
      <c r="A253" s="6"/>
      <c r="B253" s="6"/>
      <c r="C253" s="6"/>
      <c r="D253" s="6" t="s">
        <v>992</v>
      </c>
      <c r="E253" s="6" t="s">
        <v>994</v>
      </c>
      <c r="F253" s="6" t="s">
        <v>15</v>
      </c>
    </row>
    <row r="254" ht="15.75" customHeight="1">
      <c r="A254" s="6"/>
      <c r="B254" s="6"/>
      <c r="C254" s="6"/>
      <c r="D254" s="6" t="s">
        <v>995</v>
      </c>
      <c r="E254" s="6" t="s">
        <v>997</v>
      </c>
      <c r="F254" s="6" t="s">
        <v>15</v>
      </c>
    </row>
    <row r="255" ht="15.75" customHeight="1">
      <c r="A255" s="6" t="s">
        <v>62</v>
      </c>
      <c r="B255" s="6" t="s">
        <v>114</v>
      </c>
      <c r="C255" s="6">
        <v>1.0</v>
      </c>
      <c r="D255" s="6" t="s">
        <v>390</v>
      </c>
      <c r="E255" s="6" t="s">
        <v>393</v>
      </c>
      <c r="F255" s="6" t="s">
        <v>23</v>
      </c>
    </row>
    <row r="256" ht="15.75" customHeight="1">
      <c r="A256" s="6" t="s">
        <v>62</v>
      </c>
      <c r="B256" s="6" t="s">
        <v>110</v>
      </c>
      <c r="C256" s="6">
        <v>1.0</v>
      </c>
      <c r="D256" s="6" t="s">
        <v>1000</v>
      </c>
      <c r="E256" s="6" t="s">
        <v>885</v>
      </c>
      <c r="F256" s="6" t="s">
        <v>29</v>
      </c>
    </row>
    <row r="257" ht="15.75" customHeight="1">
      <c r="A257" s="6" t="s">
        <v>62</v>
      </c>
      <c r="B257" s="6" t="s">
        <v>1001</v>
      </c>
      <c r="C257" s="6">
        <v>1.0</v>
      </c>
      <c r="D257" s="6" t="s">
        <v>1003</v>
      </c>
      <c r="E257" s="6" t="s">
        <v>1005</v>
      </c>
      <c r="F257" s="6" t="s">
        <v>15</v>
      </c>
    </row>
    <row r="258" ht="15.75" customHeight="1">
      <c r="A258" s="6" t="s">
        <v>62</v>
      </c>
      <c r="B258" s="6" t="s">
        <v>1007</v>
      </c>
      <c r="C258" s="6">
        <v>1.0</v>
      </c>
      <c r="D258" s="6" t="s">
        <v>1008</v>
      </c>
      <c r="E258" s="6" t="s">
        <v>1009</v>
      </c>
      <c r="F258" s="6" t="s">
        <v>15</v>
      </c>
    </row>
    <row r="259" ht="15.75" customHeight="1">
      <c r="A259" s="6" t="s">
        <v>69</v>
      </c>
      <c r="B259" s="6" t="s">
        <v>197</v>
      </c>
      <c r="C259" s="6">
        <v>21.0</v>
      </c>
      <c r="D259" s="6" t="s">
        <v>1010</v>
      </c>
      <c r="E259" s="6" t="s">
        <v>136</v>
      </c>
      <c r="F259" s="6" t="s">
        <v>29</v>
      </c>
    </row>
    <row r="260" ht="15.75" customHeight="1">
      <c r="A260" s="6"/>
      <c r="B260" s="6"/>
      <c r="C260" s="6"/>
      <c r="D260" s="6" t="s">
        <v>1015</v>
      </c>
      <c r="E260" s="6" t="s">
        <v>1016</v>
      </c>
      <c r="F260" s="6" t="s">
        <v>15</v>
      </c>
    </row>
    <row r="261" ht="15.75" customHeight="1">
      <c r="A261" s="6"/>
      <c r="B261" s="6"/>
      <c r="C261" s="6"/>
      <c r="D261" s="6" t="s">
        <v>1018</v>
      </c>
      <c r="E261" s="6" t="s">
        <v>136</v>
      </c>
      <c r="F261" s="6" t="s">
        <v>29</v>
      </c>
    </row>
    <row r="262" ht="15.75" customHeight="1">
      <c r="A262" s="6" t="s">
        <v>69</v>
      </c>
      <c r="B262" s="6" t="s">
        <v>83</v>
      </c>
      <c r="C262" s="6">
        <v>21.0</v>
      </c>
      <c r="D262" s="6" t="s">
        <v>1021</v>
      </c>
      <c r="E262" s="6" t="s">
        <v>136</v>
      </c>
      <c r="F262" s="6" t="s">
        <v>29</v>
      </c>
    </row>
    <row r="263" ht="15.75" customHeight="1">
      <c r="A263" s="6"/>
      <c r="B263" s="6"/>
      <c r="C263" s="6"/>
      <c r="D263" s="6" t="s">
        <v>1023</v>
      </c>
      <c r="E263" s="6" t="s">
        <v>1024</v>
      </c>
      <c r="F263" s="6" t="s">
        <v>15</v>
      </c>
    </row>
    <row r="264" ht="15.75" customHeight="1">
      <c r="A264" s="6"/>
      <c r="B264" s="6"/>
      <c r="C264" s="6"/>
      <c r="D264" s="6" t="s">
        <v>1026</v>
      </c>
      <c r="E264" s="6" t="s">
        <v>1028</v>
      </c>
      <c r="F264" s="6" t="s">
        <v>19</v>
      </c>
    </row>
    <row r="265" ht="15.75" customHeight="1">
      <c r="A265" s="6" t="s">
        <v>69</v>
      </c>
      <c r="B265" s="6" t="s">
        <v>86</v>
      </c>
      <c r="C265" s="6">
        <v>12.0</v>
      </c>
      <c r="D265" s="6" t="s">
        <v>1030</v>
      </c>
      <c r="E265" s="6" t="s">
        <v>1031</v>
      </c>
      <c r="F265" s="6" t="s">
        <v>15</v>
      </c>
    </row>
    <row r="266" ht="15.75" customHeight="1">
      <c r="A266" s="6"/>
      <c r="B266" s="6"/>
      <c r="C266" s="6"/>
      <c r="D266" s="6" t="s">
        <v>1033</v>
      </c>
      <c r="E266" s="6" t="s">
        <v>763</v>
      </c>
      <c r="F266" s="6" t="s">
        <v>23</v>
      </c>
    </row>
    <row r="267" ht="15.75" customHeight="1">
      <c r="A267" s="6"/>
      <c r="B267" s="6"/>
      <c r="C267" s="6"/>
      <c r="D267" s="6" t="s">
        <v>1036</v>
      </c>
      <c r="E267" s="6" t="s">
        <v>136</v>
      </c>
      <c r="F267" s="6" t="s">
        <v>29</v>
      </c>
    </row>
    <row r="268" ht="15.75" customHeight="1">
      <c r="A268" s="6" t="s">
        <v>69</v>
      </c>
      <c r="B268" s="6" t="s">
        <v>115</v>
      </c>
      <c r="C268" s="6">
        <v>11.0</v>
      </c>
      <c r="D268" s="6" t="s">
        <v>1042</v>
      </c>
      <c r="E268" s="6" t="s">
        <v>136</v>
      </c>
      <c r="F268" s="6" t="s">
        <v>29</v>
      </c>
    </row>
    <row r="269" ht="15.75" customHeight="1">
      <c r="A269" s="6"/>
      <c r="B269" s="6"/>
      <c r="C269" s="6"/>
      <c r="D269" s="6" t="s">
        <v>1044</v>
      </c>
      <c r="E269" s="6" t="s">
        <v>1045</v>
      </c>
      <c r="F269" s="6" t="s">
        <v>15</v>
      </c>
    </row>
    <row r="270" ht="15.75" customHeight="1">
      <c r="A270" s="6"/>
      <c r="B270" s="6"/>
      <c r="C270" s="6"/>
      <c r="D270" s="6" t="s">
        <v>1048</v>
      </c>
      <c r="E270" s="6" t="s">
        <v>980</v>
      </c>
      <c r="F270" s="6" t="s">
        <v>19</v>
      </c>
    </row>
    <row r="271" ht="15.75" customHeight="1">
      <c r="A271" s="6" t="s">
        <v>69</v>
      </c>
      <c r="B271" s="6" t="s">
        <v>888</v>
      </c>
      <c r="C271" s="6">
        <v>8.0</v>
      </c>
      <c r="D271" s="6" t="s">
        <v>1051</v>
      </c>
      <c r="E271" s="6" t="s">
        <v>1052</v>
      </c>
      <c r="F271" s="6" t="s">
        <v>15</v>
      </c>
    </row>
    <row r="272" ht="15.75" customHeight="1">
      <c r="A272" s="6"/>
      <c r="B272" s="6"/>
      <c r="C272" s="6"/>
      <c r="D272" s="6" t="s">
        <v>1055</v>
      </c>
      <c r="E272" s="6" t="s">
        <v>1056</v>
      </c>
      <c r="F272" s="6" t="s">
        <v>15</v>
      </c>
    </row>
    <row r="273" ht="15.75" customHeight="1">
      <c r="A273" s="6"/>
      <c r="B273" s="6"/>
      <c r="C273" s="6"/>
      <c r="D273" s="6" t="s">
        <v>1058</v>
      </c>
      <c r="E273" s="6" t="s">
        <v>837</v>
      </c>
      <c r="F273" s="6" t="s">
        <v>15</v>
      </c>
    </row>
    <row r="274" ht="15.75" customHeight="1">
      <c r="A274" s="6" t="s">
        <v>69</v>
      </c>
      <c r="B274" s="6" t="s">
        <v>1060</v>
      </c>
      <c r="C274" s="6">
        <v>8.0</v>
      </c>
      <c r="D274" s="6" t="s">
        <v>1061</v>
      </c>
      <c r="E274" s="6" t="s">
        <v>1062</v>
      </c>
      <c r="F274" s="6" t="s">
        <v>15</v>
      </c>
    </row>
    <row r="275" ht="15.75" customHeight="1">
      <c r="A275" s="6"/>
      <c r="B275" s="6"/>
      <c r="C275" s="6"/>
      <c r="D275" s="6" t="s">
        <v>1066</v>
      </c>
      <c r="E275" s="6" t="s">
        <v>1067</v>
      </c>
      <c r="F275" s="6" t="s">
        <v>19</v>
      </c>
    </row>
    <row r="276" ht="15.75" customHeight="1">
      <c r="A276" s="6"/>
      <c r="B276" s="6"/>
      <c r="C276" s="6"/>
      <c r="D276" s="6" t="s">
        <v>1068</v>
      </c>
      <c r="E276" s="6" t="s">
        <v>1069</v>
      </c>
      <c r="F276" s="6" t="s">
        <v>15</v>
      </c>
    </row>
    <row r="277" ht="15.75" customHeight="1">
      <c r="A277" s="6" t="s">
        <v>69</v>
      </c>
      <c r="B277" s="6" t="s">
        <v>1070</v>
      </c>
      <c r="C277" s="6">
        <v>5.0</v>
      </c>
      <c r="D277" s="6" t="s">
        <v>1071</v>
      </c>
      <c r="E277" s="6" t="s">
        <v>1073</v>
      </c>
      <c r="F277" s="6" t="s">
        <v>15</v>
      </c>
    </row>
    <row r="278" ht="15.75" customHeight="1">
      <c r="A278" s="6"/>
      <c r="B278" s="6"/>
      <c r="C278" s="6"/>
      <c r="D278" s="6" t="s">
        <v>1075</v>
      </c>
      <c r="E278" s="6" t="s">
        <v>1077</v>
      </c>
      <c r="F278" s="6" t="s">
        <v>15</v>
      </c>
    </row>
    <row r="279" ht="15.75" customHeight="1">
      <c r="A279" s="6"/>
      <c r="B279" s="6"/>
      <c r="C279" s="6"/>
      <c r="D279" s="6" t="s">
        <v>1079</v>
      </c>
      <c r="E279" s="6" t="s">
        <v>1080</v>
      </c>
      <c r="F279" s="6" t="s">
        <v>15</v>
      </c>
    </row>
    <row r="280" ht="15.75" customHeight="1">
      <c r="A280" s="6" t="s">
        <v>69</v>
      </c>
      <c r="B280" s="6" t="s">
        <v>1081</v>
      </c>
      <c r="C280" s="6">
        <v>5.0</v>
      </c>
      <c r="D280" s="6" t="s">
        <v>1084</v>
      </c>
      <c r="E280" s="6" t="s">
        <v>1085</v>
      </c>
      <c r="F280" s="6" t="s">
        <v>15</v>
      </c>
    </row>
    <row r="281" ht="15.75" customHeight="1">
      <c r="A281" s="6"/>
      <c r="B281" s="6"/>
      <c r="C281" s="6"/>
      <c r="D281" s="6" t="s">
        <v>1087</v>
      </c>
      <c r="E281" s="6" t="s">
        <v>1088</v>
      </c>
      <c r="F281" s="6" t="s">
        <v>19</v>
      </c>
    </row>
    <row r="282" ht="15.75" customHeight="1">
      <c r="A282" s="6"/>
      <c r="B282" s="6"/>
      <c r="C282" s="6"/>
      <c r="D282" s="6" t="s">
        <v>1090</v>
      </c>
      <c r="E282" s="6" t="s">
        <v>1093</v>
      </c>
      <c r="F282" s="6" t="s">
        <v>15</v>
      </c>
    </row>
    <row r="283" ht="15.75" customHeight="1">
      <c r="A283" s="6" t="s">
        <v>69</v>
      </c>
      <c r="B283" s="6" t="s">
        <v>1095</v>
      </c>
      <c r="C283" s="6">
        <v>4.0</v>
      </c>
      <c r="D283" s="6" t="s">
        <v>1096</v>
      </c>
      <c r="E283" s="6" t="s">
        <v>1097</v>
      </c>
      <c r="F283" s="6" t="s">
        <v>15</v>
      </c>
    </row>
    <row r="284" ht="15.75" customHeight="1">
      <c r="A284" s="6"/>
      <c r="B284" s="6"/>
      <c r="C284" s="6"/>
      <c r="D284" s="6" t="s">
        <v>1098</v>
      </c>
      <c r="E284" s="6" t="s">
        <v>1100</v>
      </c>
      <c r="F284" s="6" t="s">
        <v>15</v>
      </c>
    </row>
    <row r="285" ht="15.75" customHeight="1">
      <c r="A285" s="6"/>
      <c r="B285" s="6"/>
      <c r="C285" s="6"/>
      <c r="D285" s="6" t="s">
        <v>1103</v>
      </c>
      <c r="E285" s="6" t="s">
        <v>1104</v>
      </c>
      <c r="F285" s="6" t="s">
        <v>15</v>
      </c>
    </row>
    <row r="286" ht="15.75" customHeight="1">
      <c r="A286" s="6" t="s">
        <v>69</v>
      </c>
      <c r="B286" s="6" t="s">
        <v>110</v>
      </c>
      <c r="C286" s="6">
        <v>3.0</v>
      </c>
      <c r="D286" s="6" t="s">
        <v>1106</v>
      </c>
      <c r="E286" s="6" t="s">
        <v>136</v>
      </c>
      <c r="F286" s="6" t="s">
        <v>29</v>
      </c>
    </row>
    <row r="287" ht="15.75" customHeight="1">
      <c r="A287" s="6"/>
      <c r="B287" s="6"/>
      <c r="C287" s="6"/>
      <c r="D287" s="6" t="s">
        <v>231</v>
      </c>
      <c r="E287" s="6" t="s">
        <v>1109</v>
      </c>
      <c r="F287" s="6" t="s">
        <v>29</v>
      </c>
    </row>
    <row r="288" ht="15.75" customHeight="1">
      <c r="A288" s="6"/>
      <c r="B288" s="6"/>
      <c r="C288" s="6"/>
      <c r="D288" s="6" t="s">
        <v>1111</v>
      </c>
      <c r="E288" s="6" t="s">
        <v>1109</v>
      </c>
      <c r="F288" s="6" t="s">
        <v>29</v>
      </c>
    </row>
    <row r="289" ht="15.75" customHeight="1">
      <c r="A289" s="6" t="s">
        <v>69</v>
      </c>
      <c r="B289" s="6" t="s">
        <v>1112</v>
      </c>
      <c r="C289" s="6">
        <v>1.0</v>
      </c>
      <c r="D289" s="6" t="s">
        <v>1114</v>
      </c>
      <c r="E289" s="6" t="s">
        <v>1115</v>
      </c>
      <c r="F289" s="6" t="s">
        <v>15</v>
      </c>
    </row>
    <row r="290" ht="15.75" customHeight="1">
      <c r="A290" s="6" t="s">
        <v>72</v>
      </c>
      <c r="B290" s="6" t="s">
        <v>90</v>
      </c>
      <c r="C290" s="6">
        <v>31.0</v>
      </c>
      <c r="D290" s="6" t="s">
        <v>1118</v>
      </c>
      <c r="E290" s="6" t="s">
        <v>1119</v>
      </c>
      <c r="F290" s="6" t="s">
        <v>15</v>
      </c>
    </row>
    <row r="291" ht="15.75" customHeight="1">
      <c r="A291" s="6"/>
      <c r="B291" s="6"/>
      <c r="C291" s="6"/>
      <c r="D291" s="6" t="s">
        <v>1121</v>
      </c>
      <c r="E291" s="6" t="s">
        <v>244</v>
      </c>
      <c r="F291" s="6" t="s">
        <v>29</v>
      </c>
    </row>
    <row r="292" ht="15.75" customHeight="1">
      <c r="A292" s="6"/>
      <c r="B292" s="6"/>
      <c r="C292" s="6"/>
      <c r="D292" s="6" t="s">
        <v>1122</v>
      </c>
      <c r="E292" s="6" t="s">
        <v>244</v>
      </c>
      <c r="F292" s="6" t="s">
        <v>29</v>
      </c>
    </row>
    <row r="293" ht="15.75" customHeight="1">
      <c r="A293" s="6" t="s">
        <v>72</v>
      </c>
      <c r="B293" s="6" t="s">
        <v>109</v>
      </c>
      <c r="C293" s="6">
        <v>16.0</v>
      </c>
      <c r="D293" s="6" t="s">
        <v>1126</v>
      </c>
      <c r="E293" s="6" t="s">
        <v>491</v>
      </c>
      <c r="F293" s="6" t="s">
        <v>29</v>
      </c>
    </row>
    <row r="294" ht="15.75" customHeight="1">
      <c r="A294" s="6"/>
      <c r="B294" s="6"/>
      <c r="C294" s="6"/>
      <c r="D294" s="6" t="s">
        <v>1127</v>
      </c>
      <c r="E294" s="6" t="s">
        <v>136</v>
      </c>
      <c r="F294" s="6" t="s">
        <v>29</v>
      </c>
    </row>
    <row r="295" ht="15.75" customHeight="1">
      <c r="A295" s="6"/>
      <c r="B295" s="6"/>
      <c r="C295" s="6"/>
      <c r="D295" s="6" t="s">
        <v>1130</v>
      </c>
      <c r="E295" s="6" t="s">
        <v>1131</v>
      </c>
      <c r="F295" s="6" t="s">
        <v>15</v>
      </c>
    </row>
    <row r="296" ht="15.75" customHeight="1">
      <c r="A296" s="6" t="s">
        <v>72</v>
      </c>
      <c r="B296" s="6" t="s">
        <v>1133</v>
      </c>
      <c r="C296" s="6">
        <v>9.0</v>
      </c>
      <c r="D296" s="6" t="s">
        <v>1134</v>
      </c>
      <c r="E296" s="6" t="s">
        <v>1135</v>
      </c>
      <c r="F296" s="6" t="s">
        <v>19</v>
      </c>
    </row>
    <row r="297" ht="15.75" customHeight="1">
      <c r="A297" s="6"/>
      <c r="B297" s="6"/>
      <c r="C297" s="6"/>
      <c r="D297" s="6" t="s">
        <v>1136</v>
      </c>
      <c r="E297" s="6" t="s">
        <v>1139</v>
      </c>
      <c r="F297" s="6" t="s">
        <v>15</v>
      </c>
    </row>
    <row r="298" ht="15.75" customHeight="1">
      <c r="A298" s="6"/>
      <c r="B298" s="6"/>
      <c r="C298" s="6"/>
      <c r="D298" s="6" t="s">
        <v>1141</v>
      </c>
      <c r="E298" s="6" t="s">
        <v>1142</v>
      </c>
      <c r="F298" s="6" t="s">
        <v>15</v>
      </c>
    </row>
    <row r="299" ht="15.75" customHeight="1">
      <c r="A299" s="6" t="s">
        <v>72</v>
      </c>
      <c r="B299" s="6" t="s">
        <v>1143</v>
      </c>
      <c r="C299" s="6">
        <v>6.0</v>
      </c>
      <c r="D299" s="6" t="s">
        <v>1145</v>
      </c>
      <c r="E299" s="6" t="s">
        <v>244</v>
      </c>
      <c r="F299" s="6" t="s">
        <v>29</v>
      </c>
    </row>
    <row r="300" ht="15.75" customHeight="1">
      <c r="A300" s="6"/>
      <c r="B300" s="6"/>
      <c r="C300" s="6"/>
      <c r="D300" s="6" t="s">
        <v>1148</v>
      </c>
      <c r="E300" s="6" t="s">
        <v>1149</v>
      </c>
      <c r="F300" s="6" t="s">
        <v>15</v>
      </c>
    </row>
    <row r="301" ht="15.75" customHeight="1">
      <c r="A301" s="6"/>
      <c r="B301" s="6"/>
      <c r="C301" s="6"/>
      <c r="D301" s="6" t="s">
        <v>1151</v>
      </c>
      <c r="E301" s="6" t="s">
        <v>247</v>
      </c>
      <c r="F301" s="6" t="s">
        <v>25</v>
      </c>
    </row>
    <row r="302" ht="15.75" customHeight="1">
      <c r="A302" s="6" t="s">
        <v>72</v>
      </c>
      <c r="B302" s="6" t="s">
        <v>1152</v>
      </c>
      <c r="C302" s="6">
        <v>6.0</v>
      </c>
      <c r="D302" s="6" t="s">
        <v>1153</v>
      </c>
      <c r="E302" s="6" t="s">
        <v>1154</v>
      </c>
      <c r="F302" s="6" t="s">
        <v>15</v>
      </c>
    </row>
    <row r="303" ht="15.75" customHeight="1">
      <c r="A303" s="6"/>
      <c r="B303" s="6"/>
      <c r="C303" s="6"/>
      <c r="D303" s="6" t="s">
        <v>1157</v>
      </c>
      <c r="E303" s="6" t="s">
        <v>1159</v>
      </c>
      <c r="F303" s="6" t="s">
        <v>15</v>
      </c>
    </row>
    <row r="304" ht="15.75" customHeight="1">
      <c r="A304" s="6"/>
      <c r="B304" s="6"/>
      <c r="C304" s="6"/>
      <c r="D304" s="6" t="s">
        <v>1160</v>
      </c>
      <c r="E304" s="6" t="s">
        <v>1161</v>
      </c>
      <c r="F304" s="6" t="s">
        <v>23</v>
      </c>
    </row>
    <row r="305" ht="15.75" customHeight="1">
      <c r="A305" s="6" t="s">
        <v>72</v>
      </c>
      <c r="B305" s="6" t="s">
        <v>1162</v>
      </c>
      <c r="C305" s="6">
        <v>6.0</v>
      </c>
      <c r="D305" s="6" t="s">
        <v>1165</v>
      </c>
      <c r="E305" s="6" t="s">
        <v>1166</v>
      </c>
      <c r="F305" s="6" t="s">
        <v>19</v>
      </c>
    </row>
    <row r="306" ht="15.75" customHeight="1">
      <c r="A306" s="6"/>
      <c r="B306" s="6"/>
      <c r="C306" s="6"/>
      <c r="D306" s="6" t="s">
        <v>1168</v>
      </c>
      <c r="E306" s="6" t="s">
        <v>136</v>
      </c>
      <c r="F306" s="6" t="s">
        <v>29</v>
      </c>
    </row>
    <row r="307" ht="15.75" customHeight="1">
      <c r="A307" s="6"/>
      <c r="B307" s="6"/>
      <c r="C307" s="6"/>
      <c r="D307" s="6" t="s">
        <v>1169</v>
      </c>
      <c r="E307" s="6" t="s">
        <v>1171</v>
      </c>
      <c r="F307" s="6" t="s">
        <v>15</v>
      </c>
    </row>
    <row r="308" ht="15.75" customHeight="1">
      <c r="A308" s="6" t="s">
        <v>72</v>
      </c>
      <c r="B308" s="6" t="s">
        <v>110</v>
      </c>
      <c r="C308" s="6">
        <v>2.0</v>
      </c>
      <c r="D308" s="6" t="s">
        <v>1175</v>
      </c>
      <c r="E308" s="6" t="s">
        <v>1176</v>
      </c>
      <c r="F308" s="6" t="s">
        <v>15</v>
      </c>
    </row>
    <row r="309" ht="15.75" customHeight="1">
      <c r="A309" s="6"/>
      <c r="B309" s="6"/>
      <c r="C309" s="6"/>
      <c r="D309" s="6" t="s">
        <v>1177</v>
      </c>
      <c r="E309" s="6" t="s">
        <v>1179</v>
      </c>
      <c r="F309" s="6" t="s">
        <v>15</v>
      </c>
    </row>
    <row r="310" ht="15.75" customHeight="1">
      <c r="A310" s="6" t="s">
        <v>72</v>
      </c>
      <c r="B310" s="6" t="s">
        <v>118</v>
      </c>
      <c r="C310" s="6">
        <v>1.0</v>
      </c>
      <c r="D310" s="6" t="s">
        <v>1182</v>
      </c>
      <c r="E310" s="6" t="s">
        <v>1183</v>
      </c>
      <c r="F310" s="6" t="s">
        <v>19</v>
      </c>
    </row>
    <row r="311" ht="15.75" customHeight="1">
      <c r="A311" s="6" t="s">
        <v>72</v>
      </c>
      <c r="B311" s="6" t="s">
        <v>1184</v>
      </c>
      <c r="C311" s="6">
        <v>1.0</v>
      </c>
      <c r="D311" s="6" t="s">
        <v>1185</v>
      </c>
      <c r="E311" s="6" t="s">
        <v>1186</v>
      </c>
      <c r="F311" s="6" t="s">
        <v>15</v>
      </c>
    </row>
    <row r="312" ht="15.75" customHeight="1">
      <c r="A312" s="6" t="s">
        <v>76</v>
      </c>
      <c r="B312" s="6" t="s">
        <v>222</v>
      </c>
      <c r="C312" s="6">
        <v>20.0</v>
      </c>
      <c r="D312" s="6" t="s">
        <v>1189</v>
      </c>
      <c r="E312" s="6" t="s">
        <v>1190</v>
      </c>
      <c r="F312" s="6" t="s">
        <v>29</v>
      </c>
    </row>
    <row r="313" ht="15.75" customHeight="1">
      <c r="A313" s="6"/>
      <c r="B313" s="6"/>
      <c r="C313" s="6"/>
      <c r="D313" s="6" t="s">
        <v>1191</v>
      </c>
      <c r="E313" s="6" t="s">
        <v>1192</v>
      </c>
      <c r="F313" s="6" t="s">
        <v>23</v>
      </c>
    </row>
    <row r="314" ht="15.75" customHeight="1">
      <c r="A314" s="6"/>
      <c r="B314" s="6"/>
      <c r="C314" s="6"/>
      <c r="D314" s="6" t="s">
        <v>1193</v>
      </c>
      <c r="E314" s="6" t="s">
        <v>491</v>
      </c>
      <c r="F314" s="6" t="s">
        <v>29</v>
      </c>
    </row>
    <row r="315" ht="15.75" customHeight="1">
      <c r="A315" s="6" t="s">
        <v>76</v>
      </c>
      <c r="B315" s="6" t="s">
        <v>494</v>
      </c>
      <c r="C315" s="6">
        <v>7.0</v>
      </c>
      <c r="D315" s="6" t="s">
        <v>1194</v>
      </c>
      <c r="E315" s="6" t="s">
        <v>136</v>
      </c>
      <c r="F315" s="6" t="s">
        <v>29</v>
      </c>
    </row>
    <row r="316" ht="15.75" customHeight="1">
      <c r="A316" s="6"/>
      <c r="B316" s="6"/>
      <c r="C316" s="6"/>
      <c r="D316" s="6" t="s">
        <v>1196</v>
      </c>
      <c r="E316" s="6" t="s">
        <v>1198</v>
      </c>
      <c r="F316" s="6" t="s">
        <v>15</v>
      </c>
    </row>
    <row r="317" ht="15.75" customHeight="1">
      <c r="A317" s="6"/>
      <c r="B317" s="6"/>
      <c r="C317" s="6"/>
      <c r="D317" s="6" t="s">
        <v>1202</v>
      </c>
      <c r="E317" s="6" t="s">
        <v>1203</v>
      </c>
      <c r="F317" s="6" t="s">
        <v>15</v>
      </c>
    </row>
    <row r="318" ht="15.75" customHeight="1">
      <c r="A318" s="6" t="s">
        <v>76</v>
      </c>
      <c r="B318" s="6" t="s">
        <v>1205</v>
      </c>
      <c r="C318" s="6">
        <v>7.0</v>
      </c>
      <c r="D318" s="6" t="s">
        <v>1206</v>
      </c>
      <c r="E318" s="6" t="s">
        <v>1207</v>
      </c>
      <c r="F318" s="6" t="s">
        <v>15</v>
      </c>
    </row>
    <row r="319" ht="15.75" customHeight="1">
      <c r="A319" s="6"/>
      <c r="B319" s="6"/>
      <c r="C319" s="6"/>
      <c r="D319" s="6" t="s">
        <v>1211</v>
      </c>
      <c r="E319" s="6" t="s">
        <v>1213</v>
      </c>
      <c r="F319" s="6" t="s">
        <v>15</v>
      </c>
    </row>
    <row r="320" ht="15.75" customHeight="1">
      <c r="A320" s="6"/>
      <c r="B320" s="6"/>
      <c r="C320" s="6"/>
      <c r="D320" s="6" t="s">
        <v>1215</v>
      </c>
      <c r="E320" s="6" t="s">
        <v>1216</v>
      </c>
      <c r="F320" s="6" t="s">
        <v>19</v>
      </c>
    </row>
    <row r="321" ht="15.75" customHeight="1">
      <c r="A321" s="6" t="s">
        <v>76</v>
      </c>
      <c r="B321" s="6" t="s">
        <v>1218</v>
      </c>
      <c r="C321" s="6">
        <v>5.0</v>
      </c>
      <c r="D321" s="6" t="s">
        <v>1220</v>
      </c>
      <c r="E321" s="6" t="s">
        <v>1221</v>
      </c>
      <c r="F321" s="6" t="s">
        <v>15</v>
      </c>
    </row>
    <row r="322" ht="15.75" customHeight="1">
      <c r="A322" s="6"/>
      <c r="B322" s="6"/>
      <c r="C322" s="6"/>
      <c r="D322" s="6" t="s">
        <v>1224</v>
      </c>
      <c r="E322" s="6" t="s">
        <v>491</v>
      </c>
      <c r="F322" s="6" t="s">
        <v>29</v>
      </c>
    </row>
    <row r="323" ht="15.75" customHeight="1">
      <c r="A323" s="6"/>
      <c r="B323" s="6"/>
      <c r="C323" s="6"/>
      <c r="D323" s="6" t="s">
        <v>1227</v>
      </c>
      <c r="E323" s="6" t="s">
        <v>1229</v>
      </c>
      <c r="F323" s="6" t="s">
        <v>23</v>
      </c>
    </row>
    <row r="324" ht="15.75" customHeight="1">
      <c r="A324" s="6" t="s">
        <v>76</v>
      </c>
      <c r="B324" s="6" t="s">
        <v>1230</v>
      </c>
      <c r="C324" s="6">
        <v>4.0</v>
      </c>
      <c r="D324" s="6" t="s">
        <v>1231</v>
      </c>
      <c r="E324" s="6" t="s">
        <v>1229</v>
      </c>
      <c r="F324" s="6" t="s">
        <v>23</v>
      </c>
    </row>
    <row r="325" ht="15.75" customHeight="1">
      <c r="A325" s="6"/>
      <c r="B325" s="6"/>
      <c r="C325" s="6"/>
      <c r="D325" s="6" t="s">
        <v>1233</v>
      </c>
      <c r="E325" s="6" t="s">
        <v>1235</v>
      </c>
      <c r="F325" s="6" t="s">
        <v>19</v>
      </c>
    </row>
    <row r="326" ht="15.75" customHeight="1">
      <c r="A326" s="6" t="s">
        <v>76</v>
      </c>
      <c r="B326" s="6" t="s">
        <v>496</v>
      </c>
      <c r="C326" s="6">
        <v>2.0</v>
      </c>
      <c r="D326" s="6" t="s">
        <v>1210</v>
      </c>
      <c r="E326" s="6" t="s">
        <v>1214</v>
      </c>
      <c r="F326" s="6" t="s">
        <v>29</v>
      </c>
    </row>
    <row r="327" ht="15.75" customHeight="1">
      <c r="A327" s="6"/>
      <c r="B327" s="6"/>
      <c r="C327" s="6"/>
      <c r="D327" s="6" t="s">
        <v>1239</v>
      </c>
      <c r="E327" s="6" t="s">
        <v>1240</v>
      </c>
      <c r="F327" s="6" t="s">
        <v>15</v>
      </c>
    </row>
    <row r="328" ht="15.75" customHeight="1">
      <c r="A328" s="6" t="s">
        <v>76</v>
      </c>
      <c r="B328" s="6" t="s">
        <v>1243</v>
      </c>
      <c r="C328" s="6">
        <v>2.0</v>
      </c>
      <c r="D328" s="6" t="s">
        <v>1246</v>
      </c>
      <c r="E328" s="6" t="s">
        <v>244</v>
      </c>
      <c r="F328" s="6" t="s">
        <v>29</v>
      </c>
    </row>
    <row r="329" ht="15.75" customHeight="1">
      <c r="A329" s="6"/>
      <c r="B329" s="6"/>
      <c r="C329" s="6"/>
      <c r="D329" s="6" t="s">
        <v>1248</v>
      </c>
      <c r="E329" s="6" t="s">
        <v>1249</v>
      </c>
      <c r="F329" s="6" t="s">
        <v>15</v>
      </c>
    </row>
    <row r="330" ht="15.75" customHeight="1">
      <c r="A330" s="6" t="s">
        <v>79</v>
      </c>
      <c r="B330" s="6" t="s">
        <v>255</v>
      </c>
      <c r="C330" s="6">
        <v>10.0</v>
      </c>
      <c r="D330" s="6" t="s">
        <v>1252</v>
      </c>
      <c r="E330" s="6" t="s">
        <v>136</v>
      </c>
      <c r="F330" s="6" t="s">
        <v>29</v>
      </c>
    </row>
    <row r="331" ht="15.75" customHeight="1">
      <c r="A331" s="6"/>
      <c r="B331" s="6"/>
      <c r="C331" s="6"/>
      <c r="D331" s="6" t="s">
        <v>1254</v>
      </c>
      <c r="E331" s="6" t="s">
        <v>1255</v>
      </c>
      <c r="F331" s="6" t="s">
        <v>15</v>
      </c>
    </row>
    <row r="332" ht="15.75" customHeight="1">
      <c r="A332" s="6"/>
      <c r="B332" s="6"/>
      <c r="C332" s="6"/>
      <c r="D332" s="6" t="s">
        <v>1257</v>
      </c>
      <c r="E332" s="6" t="s">
        <v>1259</v>
      </c>
      <c r="F332" s="6" t="s">
        <v>15</v>
      </c>
    </row>
    <row r="333" ht="15.75" customHeight="1">
      <c r="A333" s="6" t="s">
        <v>79</v>
      </c>
      <c r="B333" s="6" t="s">
        <v>1260</v>
      </c>
      <c r="C333" s="6">
        <v>7.0</v>
      </c>
      <c r="D333" s="6" t="s">
        <v>1261</v>
      </c>
      <c r="E333" s="6" t="s">
        <v>1262</v>
      </c>
      <c r="F333" s="6" t="s">
        <v>15</v>
      </c>
    </row>
    <row r="334" ht="15.75" customHeight="1">
      <c r="A334" s="6"/>
      <c r="B334" s="6"/>
      <c r="C334" s="6"/>
      <c r="D334" s="6" t="s">
        <v>1263</v>
      </c>
      <c r="E334" s="6" t="s">
        <v>1264</v>
      </c>
      <c r="F334" s="6" t="s">
        <v>15</v>
      </c>
    </row>
    <row r="335" ht="15.75" customHeight="1">
      <c r="A335" s="6"/>
      <c r="B335" s="6"/>
      <c r="C335" s="6"/>
      <c r="D335" s="6" t="s">
        <v>1267</v>
      </c>
      <c r="E335" s="6" t="s">
        <v>1270</v>
      </c>
      <c r="F335" s="6" t="s">
        <v>15</v>
      </c>
    </row>
    <row r="336" ht="15.75" customHeight="1">
      <c r="A336" s="6" t="s">
        <v>79</v>
      </c>
      <c r="B336" s="6" t="s">
        <v>1271</v>
      </c>
      <c r="C336" s="6">
        <v>5.0</v>
      </c>
      <c r="D336" s="6" t="s">
        <v>1268</v>
      </c>
      <c r="E336" s="6" t="s">
        <v>1272</v>
      </c>
      <c r="F336" s="6" t="s">
        <v>15</v>
      </c>
    </row>
    <row r="337" ht="15.75" customHeight="1">
      <c r="A337" s="6"/>
      <c r="B337" s="6"/>
      <c r="C337" s="6"/>
      <c r="D337" s="6" t="s">
        <v>1275</v>
      </c>
      <c r="E337" s="6" t="s">
        <v>1276</v>
      </c>
      <c r="F337" s="6" t="s">
        <v>15</v>
      </c>
    </row>
    <row r="338" ht="15.75" customHeight="1">
      <c r="A338" s="6"/>
      <c r="B338" s="6"/>
      <c r="C338" s="6"/>
      <c r="D338" s="6" t="s">
        <v>1278</v>
      </c>
      <c r="E338" s="6" t="s">
        <v>1279</v>
      </c>
      <c r="F338" s="6" t="s">
        <v>15</v>
      </c>
    </row>
    <row r="339" ht="15.75" customHeight="1">
      <c r="A339" s="6" t="s">
        <v>79</v>
      </c>
      <c r="B339" s="6" t="s">
        <v>1280</v>
      </c>
      <c r="C339" s="6">
        <v>4.0</v>
      </c>
      <c r="D339" s="6" t="s">
        <v>1283</v>
      </c>
      <c r="E339" s="6" t="s">
        <v>1284</v>
      </c>
      <c r="F339" s="6" t="s">
        <v>15</v>
      </c>
    </row>
    <row r="340" ht="15.75" customHeight="1">
      <c r="A340" s="6"/>
      <c r="B340" s="6"/>
      <c r="C340" s="6"/>
      <c r="D340" s="6" t="s">
        <v>1286</v>
      </c>
      <c r="E340" s="6" t="s">
        <v>1255</v>
      </c>
      <c r="F340" s="6" t="s">
        <v>15</v>
      </c>
    </row>
    <row r="341" ht="15.75" customHeight="1">
      <c r="A341" s="6"/>
      <c r="B341" s="6"/>
      <c r="C341" s="6"/>
      <c r="D341" s="6" t="s">
        <v>1288</v>
      </c>
      <c r="E341" s="6" t="s">
        <v>247</v>
      </c>
      <c r="F341" s="6" t="s">
        <v>25</v>
      </c>
    </row>
    <row r="342" ht="15.75" customHeight="1">
      <c r="A342" s="6" t="s">
        <v>79</v>
      </c>
      <c r="B342" s="6" t="s">
        <v>1291</v>
      </c>
      <c r="C342" s="6">
        <v>2.0</v>
      </c>
      <c r="D342" s="6" t="s">
        <v>1293</v>
      </c>
      <c r="E342" s="6" t="s">
        <v>1294</v>
      </c>
      <c r="F342" s="6" t="s">
        <v>19</v>
      </c>
    </row>
    <row r="343" ht="15.75" customHeight="1">
      <c r="A343" s="6"/>
      <c r="B343" s="6"/>
      <c r="C343" s="6"/>
      <c r="D343" s="6" t="s">
        <v>1296</v>
      </c>
      <c r="E343" s="6" t="s">
        <v>247</v>
      </c>
      <c r="F343" s="6" t="s">
        <v>25</v>
      </c>
    </row>
    <row r="344" ht="15.75" customHeight="1">
      <c r="A344" s="6" t="s">
        <v>79</v>
      </c>
      <c r="B344" s="6" t="s">
        <v>1299</v>
      </c>
      <c r="C344" s="6">
        <v>2.0</v>
      </c>
      <c r="D344" s="6" t="s">
        <v>1300</v>
      </c>
      <c r="E344" s="6" t="s">
        <v>136</v>
      </c>
      <c r="F344" s="6" t="s">
        <v>29</v>
      </c>
    </row>
    <row r="345" ht="15.75" customHeight="1">
      <c r="A345" s="6"/>
      <c r="B345" s="6"/>
      <c r="C345" s="6"/>
      <c r="D345" s="6" t="s">
        <v>1302</v>
      </c>
      <c r="E345" s="6" t="s">
        <v>1303</v>
      </c>
      <c r="F345" s="6" t="s">
        <v>15</v>
      </c>
    </row>
    <row r="346" ht="15.75" customHeight="1">
      <c r="A346" s="6" t="s">
        <v>79</v>
      </c>
      <c r="B346" s="6" t="s">
        <v>1305</v>
      </c>
      <c r="C346" s="6">
        <v>1.0</v>
      </c>
      <c r="D346" s="6" t="s">
        <v>1307</v>
      </c>
      <c r="E346" s="6" t="s">
        <v>136</v>
      </c>
      <c r="F346" s="6" t="s">
        <v>29</v>
      </c>
    </row>
    <row r="347" ht="15.75" customHeight="1">
      <c r="A347" s="6" t="s">
        <v>68</v>
      </c>
      <c r="B347" s="6" t="s">
        <v>70</v>
      </c>
      <c r="C347" s="6">
        <v>11.0</v>
      </c>
      <c r="D347" s="6" t="s">
        <v>1310</v>
      </c>
      <c r="E347" s="6" t="s">
        <v>1312</v>
      </c>
      <c r="F347" s="6" t="s">
        <v>19</v>
      </c>
    </row>
    <row r="348" ht="15.75" customHeight="1">
      <c r="A348" s="6"/>
      <c r="B348" s="6"/>
      <c r="C348" s="6"/>
      <c r="D348" s="6" t="s">
        <v>1314</v>
      </c>
      <c r="E348" s="6" t="s">
        <v>1316</v>
      </c>
      <c r="F348" s="6" t="s">
        <v>15</v>
      </c>
    </row>
    <row r="349" ht="15.75" customHeight="1">
      <c r="A349" s="6"/>
      <c r="B349" s="6"/>
      <c r="C349" s="6"/>
      <c r="D349" s="6" t="s">
        <v>1318</v>
      </c>
      <c r="E349" s="6" t="s">
        <v>1316</v>
      </c>
      <c r="F349" s="6" t="s">
        <v>15</v>
      </c>
    </row>
    <row r="350" ht="15.75" customHeight="1">
      <c r="A350" s="6" t="s">
        <v>68</v>
      </c>
      <c r="B350" s="6" t="s">
        <v>895</v>
      </c>
      <c r="C350" s="6">
        <v>3.0</v>
      </c>
      <c r="D350" s="6" t="s">
        <v>1321</v>
      </c>
      <c r="E350" s="6" t="s">
        <v>1323</v>
      </c>
      <c r="F350" s="6" t="s">
        <v>19</v>
      </c>
    </row>
    <row r="351" ht="15.75" customHeight="1">
      <c r="A351" s="6"/>
      <c r="B351" s="6"/>
      <c r="C351" s="6"/>
      <c r="D351" s="6" t="s">
        <v>1325</v>
      </c>
      <c r="E351" s="6" t="s">
        <v>1326</v>
      </c>
      <c r="F351" s="6" t="s">
        <v>19</v>
      </c>
    </row>
    <row r="352" ht="15.75" customHeight="1">
      <c r="A352" s="6"/>
      <c r="B352" s="6"/>
      <c r="C352" s="6"/>
      <c r="D352" s="6" t="s">
        <v>1328</v>
      </c>
      <c r="E352" s="6" t="s">
        <v>1331</v>
      </c>
      <c r="F352" s="6" t="s">
        <v>19</v>
      </c>
    </row>
    <row r="353" ht="15.75" customHeight="1">
      <c r="A353" s="6" t="s">
        <v>68</v>
      </c>
      <c r="B353" s="6" t="s">
        <v>1078</v>
      </c>
      <c r="C353" s="6">
        <v>2.0</v>
      </c>
      <c r="D353" s="6" t="s">
        <v>1333</v>
      </c>
      <c r="E353" s="6" t="s">
        <v>1334</v>
      </c>
      <c r="F353" s="6" t="s">
        <v>15</v>
      </c>
    </row>
    <row r="354" ht="15.75" customHeight="1">
      <c r="A354" s="6"/>
      <c r="B354" s="6"/>
      <c r="C354" s="6"/>
      <c r="D354" s="6" t="s">
        <v>1335</v>
      </c>
      <c r="E354" s="6" t="s">
        <v>1336</v>
      </c>
      <c r="F354" s="6" t="s">
        <v>15</v>
      </c>
    </row>
    <row r="355" ht="15.75" customHeight="1">
      <c r="A355" s="6" t="s">
        <v>68</v>
      </c>
      <c r="B355" s="6" t="s">
        <v>1338</v>
      </c>
      <c r="C355" s="6">
        <v>2.0</v>
      </c>
      <c r="D355" s="6" t="s">
        <v>1340</v>
      </c>
      <c r="E355" s="6" t="s">
        <v>1342</v>
      </c>
      <c r="F355" s="6" t="s">
        <v>15</v>
      </c>
    </row>
    <row r="356" ht="15.75" customHeight="1">
      <c r="A356" s="6" t="s">
        <v>68</v>
      </c>
      <c r="B356" s="6" t="s">
        <v>356</v>
      </c>
      <c r="C356" s="6">
        <v>2.0</v>
      </c>
      <c r="D356" s="6" t="s">
        <v>1343</v>
      </c>
      <c r="E356" s="6" t="s">
        <v>1344</v>
      </c>
      <c r="F356" s="6" t="s">
        <v>19</v>
      </c>
    </row>
    <row r="357" ht="15.75" customHeight="1">
      <c r="A357" s="6"/>
      <c r="B357" s="6"/>
      <c r="C357" s="6"/>
      <c r="D357" s="6" t="s">
        <v>354</v>
      </c>
      <c r="E357" s="6" t="s">
        <v>358</v>
      </c>
      <c r="F357" s="6" t="s">
        <v>19</v>
      </c>
    </row>
    <row r="358" ht="15.75" customHeight="1">
      <c r="A358" s="6" t="s">
        <v>68</v>
      </c>
      <c r="B358" s="6" t="s">
        <v>1349</v>
      </c>
      <c r="C358" s="6">
        <v>1.0</v>
      </c>
      <c r="D358" s="6" t="s">
        <v>1350</v>
      </c>
      <c r="E358" s="6" t="s">
        <v>1351</v>
      </c>
      <c r="F358" s="6" t="s">
        <v>15</v>
      </c>
    </row>
    <row r="359" ht="15.75" customHeight="1">
      <c r="A359" s="6" t="s">
        <v>85</v>
      </c>
      <c r="B359" s="6" t="s">
        <v>102</v>
      </c>
      <c r="C359" s="6">
        <v>10.0</v>
      </c>
      <c r="D359" s="6" t="s">
        <v>1352</v>
      </c>
      <c r="E359" s="6" t="s">
        <v>1354</v>
      </c>
      <c r="F359" s="6" t="s">
        <v>19</v>
      </c>
    </row>
    <row r="360" ht="15.75" customHeight="1">
      <c r="A360" s="6"/>
      <c r="B360" s="6"/>
      <c r="C360" s="6"/>
      <c r="D360" s="6" t="s">
        <v>1356</v>
      </c>
      <c r="E360" s="6" t="s">
        <v>136</v>
      </c>
      <c r="F360" s="6" t="s">
        <v>29</v>
      </c>
    </row>
    <row r="361" ht="15.75" customHeight="1">
      <c r="A361" s="6"/>
      <c r="B361" s="6"/>
      <c r="C361" s="6"/>
      <c r="D361" s="6" t="s">
        <v>1357</v>
      </c>
      <c r="E361" s="6" t="s">
        <v>1358</v>
      </c>
      <c r="F361" s="6" t="s">
        <v>15</v>
      </c>
    </row>
    <row r="362" ht="15.75" customHeight="1">
      <c r="A362" s="6" t="s">
        <v>85</v>
      </c>
      <c r="B362" s="6" t="s">
        <v>600</v>
      </c>
      <c r="C362" s="6">
        <v>7.0</v>
      </c>
      <c r="D362" s="6" t="s">
        <v>597</v>
      </c>
      <c r="E362" s="6" t="s">
        <v>602</v>
      </c>
      <c r="F362" s="6" t="s">
        <v>19</v>
      </c>
    </row>
    <row r="363" ht="15.75" customHeight="1">
      <c r="A363" s="6"/>
      <c r="B363" s="6"/>
      <c r="C363" s="6"/>
      <c r="D363" s="6" t="s">
        <v>1363</v>
      </c>
      <c r="E363" s="6" t="s">
        <v>247</v>
      </c>
      <c r="F363" s="6" t="s">
        <v>25</v>
      </c>
    </row>
    <row r="364" ht="15.75" customHeight="1">
      <c r="A364" s="6"/>
      <c r="B364" s="6"/>
      <c r="C364" s="6"/>
      <c r="D364" s="6" t="s">
        <v>1366</v>
      </c>
      <c r="E364" s="6" t="s">
        <v>1368</v>
      </c>
      <c r="F364" s="6" t="s">
        <v>19</v>
      </c>
    </row>
    <row r="365" ht="15.75" customHeight="1">
      <c r="A365" s="6" t="s">
        <v>85</v>
      </c>
      <c r="B365" s="6" t="s">
        <v>1369</v>
      </c>
      <c r="C365" s="6">
        <v>2.0</v>
      </c>
      <c r="D365" s="6" t="s">
        <v>1370</v>
      </c>
      <c r="E365" s="6" t="s">
        <v>1371</v>
      </c>
      <c r="F365" s="6" t="s">
        <v>15</v>
      </c>
    </row>
    <row r="366" ht="15.75" customHeight="1">
      <c r="A366" s="6"/>
      <c r="B366" s="6"/>
      <c r="C366" s="6"/>
      <c r="D366" s="6" t="s">
        <v>1373</v>
      </c>
      <c r="E366" s="6" t="s">
        <v>1374</v>
      </c>
      <c r="F366" s="6" t="s">
        <v>19</v>
      </c>
    </row>
    <row r="367" ht="15.75" customHeight="1">
      <c r="A367" s="6" t="s">
        <v>85</v>
      </c>
      <c r="B367" s="6" t="s">
        <v>601</v>
      </c>
      <c r="C367" s="6">
        <v>1.0</v>
      </c>
      <c r="D367" s="6" t="s">
        <v>1376</v>
      </c>
      <c r="E367" s="6" t="s">
        <v>1377</v>
      </c>
      <c r="F367" s="6" t="s">
        <v>15</v>
      </c>
    </row>
    <row r="368" ht="15.75" customHeight="1">
      <c r="A368" s="6" t="s">
        <v>89</v>
      </c>
      <c r="B368" s="6" t="s">
        <v>1379</v>
      </c>
      <c r="C368" s="6">
        <v>7.0</v>
      </c>
      <c r="D368" s="6" t="s">
        <v>1382</v>
      </c>
      <c r="E368" s="6" t="s">
        <v>136</v>
      </c>
      <c r="F368" s="6" t="s">
        <v>29</v>
      </c>
    </row>
    <row r="369" ht="15.75" customHeight="1">
      <c r="A369" s="6"/>
      <c r="B369" s="6"/>
      <c r="C369" s="6"/>
      <c r="D369" s="6" t="s">
        <v>1384</v>
      </c>
      <c r="E369" s="6" t="s">
        <v>136</v>
      </c>
      <c r="F369" s="6" t="s">
        <v>29</v>
      </c>
    </row>
    <row r="370" ht="15.75" customHeight="1">
      <c r="A370" s="6"/>
      <c r="B370" s="6"/>
      <c r="C370" s="6"/>
      <c r="D370" s="6" t="s">
        <v>1385</v>
      </c>
      <c r="E370" s="6" t="s">
        <v>136</v>
      </c>
      <c r="F370" s="6" t="s">
        <v>29</v>
      </c>
    </row>
    <row r="371" ht="15.75" customHeight="1">
      <c r="A371" s="6" t="s">
        <v>89</v>
      </c>
      <c r="B371" s="6" t="s">
        <v>616</v>
      </c>
      <c r="C371" s="6">
        <v>6.0</v>
      </c>
      <c r="D371" s="6" t="s">
        <v>613</v>
      </c>
      <c r="E371" s="6" t="s">
        <v>619</v>
      </c>
      <c r="F371" s="6" t="s">
        <v>19</v>
      </c>
    </row>
    <row r="372" ht="15.75" customHeight="1">
      <c r="A372" s="6"/>
      <c r="B372" s="6"/>
      <c r="C372" s="6"/>
      <c r="D372" s="6" t="s">
        <v>1390</v>
      </c>
      <c r="E372" s="6" t="s">
        <v>136</v>
      </c>
      <c r="F372" s="6" t="s">
        <v>29</v>
      </c>
    </row>
    <row r="373" ht="15.75" customHeight="1">
      <c r="A373" s="6"/>
      <c r="B373" s="6"/>
      <c r="C373" s="6"/>
      <c r="D373" s="6" t="s">
        <v>631</v>
      </c>
      <c r="E373" s="6" t="s">
        <v>136</v>
      </c>
      <c r="F373" s="6" t="s">
        <v>29</v>
      </c>
    </row>
    <row r="374" ht="15.75" customHeight="1">
      <c r="A374" s="6" t="s">
        <v>89</v>
      </c>
      <c r="B374" s="6" t="s">
        <v>1395</v>
      </c>
      <c r="C374" s="6">
        <v>2.0</v>
      </c>
      <c r="D374" s="6" t="s">
        <v>1396</v>
      </c>
      <c r="E374" s="6" t="s">
        <v>1397</v>
      </c>
      <c r="F374" s="6" t="s">
        <v>15</v>
      </c>
    </row>
    <row r="375" ht="15.75" customHeight="1">
      <c r="A375" s="6" t="s">
        <v>89</v>
      </c>
      <c r="B375" s="6" t="s">
        <v>638</v>
      </c>
      <c r="C375" s="6">
        <v>1.0</v>
      </c>
      <c r="D375" s="6" t="s">
        <v>1401</v>
      </c>
      <c r="E375" s="6" t="s">
        <v>491</v>
      </c>
      <c r="F375" s="6" t="s">
        <v>29</v>
      </c>
    </row>
    <row r="376" ht="15.75" customHeight="1">
      <c r="A376" s="6" t="s">
        <v>93</v>
      </c>
      <c r="B376" s="6" t="s">
        <v>1404</v>
      </c>
      <c r="C376" s="6">
        <v>9.0</v>
      </c>
      <c r="D376" s="6" t="s">
        <v>1405</v>
      </c>
      <c r="E376" s="6" t="s">
        <v>1406</v>
      </c>
      <c r="F376" s="6" t="s">
        <v>15</v>
      </c>
    </row>
    <row r="377" ht="15.75" customHeight="1">
      <c r="A377" s="6"/>
      <c r="B377" s="6"/>
      <c r="C377" s="6"/>
      <c r="D377" s="6" t="s">
        <v>1408</v>
      </c>
      <c r="E377" s="6" t="s">
        <v>1409</v>
      </c>
      <c r="F377" s="6" t="s">
        <v>19</v>
      </c>
    </row>
    <row r="378" ht="15.75" customHeight="1">
      <c r="A378" s="6"/>
      <c r="B378" s="6"/>
      <c r="C378" s="6"/>
      <c r="D378" s="6" t="s">
        <v>1413</v>
      </c>
      <c r="E378" s="6" t="s">
        <v>1414</v>
      </c>
      <c r="F378" s="6" t="s">
        <v>19</v>
      </c>
    </row>
    <row r="379" ht="15.75" customHeight="1">
      <c r="A379" s="6" t="s">
        <v>93</v>
      </c>
      <c r="B379" s="6" t="s">
        <v>1416</v>
      </c>
      <c r="C379" s="6">
        <v>3.0</v>
      </c>
      <c r="D379" s="6" t="s">
        <v>1417</v>
      </c>
      <c r="E379" s="6" t="s">
        <v>1418</v>
      </c>
      <c r="F379" s="6" t="s">
        <v>15</v>
      </c>
    </row>
    <row r="380" ht="15.75" customHeight="1">
      <c r="A380" s="6"/>
      <c r="B380" s="6"/>
      <c r="C380" s="6"/>
      <c r="D380" s="6" t="s">
        <v>1421</v>
      </c>
      <c r="E380" s="6" t="s">
        <v>136</v>
      </c>
      <c r="F380" s="6" t="s">
        <v>29</v>
      </c>
    </row>
    <row r="381" ht="15.75" customHeight="1">
      <c r="A381" s="6"/>
      <c r="B381" s="6"/>
      <c r="C381" s="6"/>
      <c r="D381" s="6" t="s">
        <v>1423</v>
      </c>
      <c r="E381" s="6" t="s">
        <v>593</v>
      </c>
      <c r="F381" s="6" t="s">
        <v>19</v>
      </c>
    </row>
    <row r="382" ht="15.75" customHeight="1">
      <c r="A382" s="6" t="s">
        <v>96</v>
      </c>
      <c r="B382" s="6" t="s">
        <v>1424</v>
      </c>
      <c r="C382" s="6">
        <v>2.0</v>
      </c>
      <c r="D382" s="6" t="s">
        <v>1425</v>
      </c>
      <c r="E382" s="6" t="s">
        <v>1428</v>
      </c>
      <c r="F382" s="6" t="s">
        <v>15</v>
      </c>
    </row>
    <row r="383" ht="15.75" customHeight="1">
      <c r="A383" s="6" t="s">
        <v>96</v>
      </c>
      <c r="B383" s="6" t="s">
        <v>1429</v>
      </c>
      <c r="C383" s="6">
        <v>2.0</v>
      </c>
      <c r="D383" s="6" t="s">
        <v>1431</v>
      </c>
      <c r="E383" s="6" t="s">
        <v>1432</v>
      </c>
      <c r="F383" s="6" t="s">
        <v>15</v>
      </c>
    </row>
    <row r="384" ht="15.75" customHeight="1">
      <c r="A384" s="6"/>
      <c r="B384" s="6"/>
      <c r="C384" s="6"/>
      <c r="D384" s="6" t="s">
        <v>1434</v>
      </c>
      <c r="E384" s="6" t="s">
        <v>1435</v>
      </c>
      <c r="F384" s="6" t="s">
        <v>15</v>
      </c>
    </row>
    <row r="385" ht="15.75" customHeight="1">
      <c r="A385" s="6" t="s">
        <v>96</v>
      </c>
      <c r="B385" s="6" t="s">
        <v>1436</v>
      </c>
      <c r="C385" s="6">
        <v>2.0</v>
      </c>
      <c r="D385" s="6" t="s">
        <v>1437</v>
      </c>
      <c r="E385" s="6" t="s">
        <v>1438</v>
      </c>
      <c r="F385" s="6" t="s">
        <v>15</v>
      </c>
    </row>
    <row r="386" ht="15.75" customHeight="1">
      <c r="A386" s="6" t="s">
        <v>96</v>
      </c>
      <c r="B386" s="6" t="s">
        <v>1439</v>
      </c>
      <c r="C386" s="6">
        <v>1.0</v>
      </c>
      <c r="D386" s="6" t="s">
        <v>1440</v>
      </c>
      <c r="E386" s="6" t="s">
        <v>1441</v>
      </c>
      <c r="F386" s="6" t="s">
        <v>23</v>
      </c>
    </row>
    <row r="387" ht="15.75" customHeight="1">
      <c r="A387" s="6" t="s">
        <v>100</v>
      </c>
      <c r="B387" s="6" t="s">
        <v>1442</v>
      </c>
      <c r="C387" s="6">
        <v>4.0</v>
      </c>
      <c r="D387" s="6" t="s">
        <v>1443</v>
      </c>
      <c r="E387" s="6" t="s">
        <v>247</v>
      </c>
      <c r="F387" s="6" t="s">
        <v>25</v>
      </c>
    </row>
    <row r="388" ht="15.75" customHeight="1">
      <c r="A388" s="6"/>
      <c r="B388" s="6"/>
      <c r="C388" s="6"/>
      <c r="D388" s="6" t="s">
        <v>1446</v>
      </c>
      <c r="E388" s="6" t="s">
        <v>1447</v>
      </c>
      <c r="F388" s="6" t="s">
        <v>23</v>
      </c>
    </row>
    <row r="389" ht="15.75" customHeight="1">
      <c r="A389" s="6"/>
      <c r="B389" s="6"/>
      <c r="C389" s="6"/>
      <c r="D389" s="6" t="s">
        <v>1449</v>
      </c>
      <c r="E389" s="6" t="s">
        <v>1450</v>
      </c>
      <c r="F389" s="6" t="s">
        <v>15</v>
      </c>
    </row>
    <row r="390" ht="15.75" customHeight="1">
      <c r="A390" s="6" t="s">
        <v>100</v>
      </c>
      <c r="B390" s="6" t="s">
        <v>110</v>
      </c>
      <c r="C390" s="6">
        <v>1.0</v>
      </c>
      <c r="D390" s="6" t="s">
        <v>1451</v>
      </c>
      <c r="E390" s="6" t="s">
        <v>247</v>
      </c>
      <c r="F390" s="6" t="s">
        <v>25</v>
      </c>
    </row>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6.0"/>
    <col customWidth="1" min="3" max="3" width="11.0"/>
    <col customWidth="1" min="4" max="4" width="34.0"/>
    <col customWidth="1" min="5" max="5" width="70.0"/>
    <col customWidth="1" min="6" max="6" width="12.0"/>
    <col customWidth="1" min="7" max="7" width="44.0"/>
    <col customWidth="1" min="8" max="8" width="24.0"/>
    <col customWidth="1" min="9" max="9" width="44.0"/>
    <col customWidth="1" min="10" max="10" width="11.0"/>
    <col customWidth="1" min="11" max="11" width="70.0"/>
    <col customWidth="1" min="12" max="12" width="22.0"/>
    <col customWidth="1" min="13" max="13" width="30.0"/>
    <col customWidth="1" min="14" max="14" width="12.0"/>
    <col customWidth="1" min="15" max="15" width="9.0"/>
  </cols>
  <sheetData>
    <row r="1" ht="30.0" customHeight="1">
      <c r="A1" s="4" t="s">
        <v>276</v>
      </c>
      <c r="B1" s="4" t="s">
        <v>278</v>
      </c>
      <c r="C1" s="4" t="s">
        <v>279</v>
      </c>
      <c r="D1" s="4" t="s">
        <v>8</v>
      </c>
      <c r="E1" s="4" t="s">
        <v>282</v>
      </c>
      <c r="F1" s="4" t="s">
        <v>283</v>
      </c>
      <c r="G1" s="4" t="s">
        <v>60</v>
      </c>
      <c r="H1" s="4" t="s">
        <v>286</v>
      </c>
      <c r="I1" s="4" t="s">
        <v>287</v>
      </c>
      <c r="J1" s="4" t="s">
        <v>289</v>
      </c>
      <c r="K1" s="4" t="s">
        <v>290</v>
      </c>
      <c r="L1" s="4" t="s">
        <v>291</v>
      </c>
      <c r="M1" s="4" t="s">
        <v>292</v>
      </c>
      <c r="N1" s="4" t="s">
        <v>293</v>
      </c>
      <c r="O1" s="4" t="s">
        <v>295</v>
      </c>
    </row>
    <row r="2">
      <c r="A2" s="26" t="s">
        <v>297</v>
      </c>
      <c r="B2" s="26" t="s">
        <v>298</v>
      </c>
      <c r="C2" s="26" t="s">
        <v>300</v>
      </c>
      <c r="D2" s="26" t="s">
        <v>45</v>
      </c>
      <c r="E2" s="26" t="s">
        <v>302</v>
      </c>
      <c r="F2" s="26" t="s">
        <v>303</v>
      </c>
      <c r="G2" s="26" t="s">
        <v>140</v>
      </c>
      <c r="H2" s="26" t="s">
        <v>34</v>
      </c>
      <c r="I2" s="26" t="s">
        <v>143</v>
      </c>
      <c r="J2" s="26">
        <v>3.0</v>
      </c>
      <c r="K2" s="26" t="s">
        <v>305</v>
      </c>
      <c r="L2" s="26" t="s">
        <v>15</v>
      </c>
      <c r="M2" s="26" t="s">
        <v>81</v>
      </c>
      <c r="N2" s="26" t="s">
        <v>307</v>
      </c>
      <c r="O2" s="26">
        <v>2.0</v>
      </c>
    </row>
    <row r="3">
      <c r="A3" s="26" t="s">
        <v>308</v>
      </c>
      <c r="B3" s="26" t="s">
        <v>310</v>
      </c>
      <c r="C3" s="26" t="s">
        <v>312</v>
      </c>
      <c r="D3" s="26" t="s">
        <v>36</v>
      </c>
      <c r="E3" s="26" t="s">
        <v>314</v>
      </c>
      <c r="F3" s="26" t="s">
        <v>315</v>
      </c>
      <c r="G3" s="26" t="s">
        <v>47</v>
      </c>
      <c r="H3" s="26" t="s">
        <v>34</v>
      </c>
      <c r="I3" s="26" t="s">
        <v>88</v>
      </c>
      <c r="J3" s="26">
        <v>2.0</v>
      </c>
      <c r="K3" s="26" t="s">
        <v>318</v>
      </c>
      <c r="L3" s="26" t="s">
        <v>15</v>
      </c>
      <c r="M3" s="26" t="s">
        <v>81</v>
      </c>
      <c r="N3" s="26" t="s">
        <v>307</v>
      </c>
      <c r="O3" s="26">
        <v>3.0</v>
      </c>
    </row>
    <row r="4">
      <c r="A4" s="26" t="s">
        <v>320</v>
      </c>
      <c r="B4" s="26" t="s">
        <v>321</v>
      </c>
      <c r="C4" s="26" t="s">
        <v>322</v>
      </c>
      <c r="D4" s="26" t="s">
        <v>54</v>
      </c>
      <c r="E4" s="26" t="s">
        <v>324</v>
      </c>
      <c r="F4" s="26" t="s">
        <v>326</v>
      </c>
      <c r="G4" s="26" t="s">
        <v>327</v>
      </c>
      <c r="H4" s="26" t="s">
        <v>49</v>
      </c>
      <c r="I4" s="26"/>
      <c r="J4" s="26">
        <v>1.0</v>
      </c>
      <c r="K4" s="26" t="s">
        <v>136</v>
      </c>
      <c r="L4" s="26" t="s">
        <v>29</v>
      </c>
      <c r="M4" s="26" t="s">
        <v>95</v>
      </c>
      <c r="N4" s="26" t="s">
        <v>307</v>
      </c>
      <c r="O4" s="26">
        <v>2.0</v>
      </c>
    </row>
    <row r="5">
      <c r="A5" s="26" t="s">
        <v>332</v>
      </c>
      <c r="B5" s="26" t="s">
        <v>333</v>
      </c>
      <c r="C5" s="26" t="s">
        <v>300</v>
      </c>
      <c r="D5" s="26" t="s">
        <v>50</v>
      </c>
      <c r="E5" s="26" t="s">
        <v>334</v>
      </c>
      <c r="F5" s="26" t="s">
        <v>336</v>
      </c>
      <c r="G5" s="26" t="s">
        <v>75</v>
      </c>
      <c r="H5" s="26" t="s">
        <v>53</v>
      </c>
      <c r="I5" s="26"/>
      <c r="J5" s="26">
        <v>1.0</v>
      </c>
      <c r="K5" s="26" t="s">
        <v>338</v>
      </c>
      <c r="L5" s="26" t="s">
        <v>19</v>
      </c>
      <c r="M5" s="26" t="s">
        <v>66</v>
      </c>
      <c r="N5" s="26" t="s">
        <v>307</v>
      </c>
      <c r="O5" s="26">
        <v>3.0</v>
      </c>
    </row>
    <row r="6">
      <c r="A6" s="26" t="s">
        <v>342</v>
      </c>
      <c r="B6" s="26" t="s">
        <v>343</v>
      </c>
      <c r="C6" s="26" t="s">
        <v>312</v>
      </c>
      <c r="D6" s="26" t="s">
        <v>54</v>
      </c>
      <c r="E6" s="26" t="s">
        <v>345</v>
      </c>
      <c r="F6" s="26" t="s">
        <v>347</v>
      </c>
      <c r="G6" s="26" t="s">
        <v>99</v>
      </c>
      <c r="H6" s="26" t="s">
        <v>49</v>
      </c>
      <c r="I6" s="26"/>
      <c r="J6" s="26">
        <v>1.0</v>
      </c>
      <c r="K6" s="26" t="s">
        <v>136</v>
      </c>
      <c r="L6" s="26" t="s">
        <v>29</v>
      </c>
      <c r="M6" s="26" t="s">
        <v>95</v>
      </c>
      <c r="N6" s="26" t="s">
        <v>307</v>
      </c>
      <c r="O6" s="26">
        <v>3.0</v>
      </c>
    </row>
    <row r="7">
      <c r="A7" s="26" t="s">
        <v>350</v>
      </c>
      <c r="B7" s="26" t="s">
        <v>351</v>
      </c>
      <c r="C7" s="26" t="s">
        <v>322</v>
      </c>
      <c r="D7" s="26" t="s">
        <v>68</v>
      </c>
      <c r="E7" s="26" t="s">
        <v>354</v>
      </c>
      <c r="F7" s="26" t="s">
        <v>355</v>
      </c>
      <c r="G7" s="26" t="s">
        <v>356</v>
      </c>
      <c r="H7" s="26" t="s">
        <v>61</v>
      </c>
      <c r="I7" s="26"/>
      <c r="J7" s="26">
        <v>1.0</v>
      </c>
      <c r="K7" s="26" t="s">
        <v>358</v>
      </c>
      <c r="L7" s="26" t="s">
        <v>19</v>
      </c>
      <c r="M7" s="26" t="s">
        <v>66</v>
      </c>
      <c r="N7" s="26" t="s">
        <v>307</v>
      </c>
      <c r="O7" s="26">
        <v>2.0</v>
      </c>
    </row>
    <row r="8">
      <c r="A8" s="26" t="s">
        <v>359</v>
      </c>
      <c r="B8" s="26" t="s">
        <v>361</v>
      </c>
      <c r="C8" s="26" t="s">
        <v>363</v>
      </c>
      <c r="D8" s="26" t="s">
        <v>48</v>
      </c>
      <c r="E8" s="26" t="s">
        <v>364</v>
      </c>
      <c r="F8" s="26" t="s">
        <v>366</v>
      </c>
      <c r="G8" s="26" t="s">
        <v>258</v>
      </c>
      <c r="H8" s="26" t="s">
        <v>61</v>
      </c>
      <c r="I8" s="26" t="s">
        <v>365</v>
      </c>
      <c r="J8" s="26">
        <v>2.0</v>
      </c>
      <c r="K8" s="26" t="s">
        <v>368</v>
      </c>
      <c r="L8" s="26" t="s">
        <v>15</v>
      </c>
      <c r="M8" s="26" t="s">
        <v>81</v>
      </c>
      <c r="N8" s="26" t="s">
        <v>307</v>
      </c>
      <c r="O8" s="26">
        <v>2.0</v>
      </c>
    </row>
    <row r="9">
      <c r="A9" s="26" t="s">
        <v>369</v>
      </c>
      <c r="B9" s="26" t="s">
        <v>370</v>
      </c>
      <c r="C9" s="26" t="s">
        <v>363</v>
      </c>
      <c r="D9" s="26" t="s">
        <v>59</v>
      </c>
      <c r="E9" s="26" t="s">
        <v>371</v>
      </c>
      <c r="F9" s="26" t="s">
        <v>372</v>
      </c>
      <c r="G9" s="26" t="s">
        <v>373</v>
      </c>
      <c r="H9" s="26" t="s">
        <v>34</v>
      </c>
      <c r="I9" s="26"/>
      <c r="J9" s="26">
        <v>1.0</v>
      </c>
      <c r="K9" s="26" t="s">
        <v>376</v>
      </c>
      <c r="L9" s="26" t="s">
        <v>15</v>
      </c>
      <c r="M9" s="26" t="s">
        <v>87</v>
      </c>
      <c r="N9" s="26" t="s">
        <v>307</v>
      </c>
      <c r="O9" s="26">
        <v>2.0</v>
      </c>
    </row>
    <row r="10">
      <c r="A10" s="26" t="s">
        <v>379</v>
      </c>
      <c r="B10" s="26" t="s">
        <v>380</v>
      </c>
      <c r="C10" s="26" t="s">
        <v>363</v>
      </c>
      <c r="D10" s="26" t="s">
        <v>62</v>
      </c>
      <c r="E10" s="26" t="s">
        <v>382</v>
      </c>
      <c r="F10" s="26" t="s">
        <v>383</v>
      </c>
      <c r="G10" s="26" t="s">
        <v>111</v>
      </c>
      <c r="H10" s="26" t="s">
        <v>49</v>
      </c>
      <c r="I10" s="26" t="s">
        <v>261</v>
      </c>
      <c r="J10" s="26">
        <v>2.0</v>
      </c>
      <c r="K10" s="26" t="s">
        <v>136</v>
      </c>
      <c r="L10" s="26" t="s">
        <v>29</v>
      </c>
      <c r="M10" s="26" t="s">
        <v>95</v>
      </c>
      <c r="N10" s="26" t="s">
        <v>307</v>
      </c>
      <c r="O10" s="26">
        <v>2.0</v>
      </c>
    </row>
    <row r="11">
      <c r="A11" s="26" t="s">
        <v>385</v>
      </c>
      <c r="B11" s="26" t="s">
        <v>387</v>
      </c>
      <c r="C11" s="26" t="s">
        <v>322</v>
      </c>
      <c r="D11" s="26" t="s">
        <v>62</v>
      </c>
      <c r="E11" s="26" t="s">
        <v>390</v>
      </c>
      <c r="F11" s="26" t="s">
        <v>391</v>
      </c>
      <c r="G11" s="26" t="s">
        <v>114</v>
      </c>
      <c r="H11" s="26" t="s">
        <v>74</v>
      </c>
      <c r="I11" s="26"/>
      <c r="J11" s="26">
        <v>0.0</v>
      </c>
      <c r="K11" s="26" t="s">
        <v>393</v>
      </c>
      <c r="L11" s="26" t="s">
        <v>23</v>
      </c>
      <c r="M11" s="26" t="s">
        <v>94</v>
      </c>
      <c r="N11" s="26" t="s">
        <v>307</v>
      </c>
      <c r="O11" s="26">
        <v>2.0</v>
      </c>
    </row>
    <row r="12">
      <c r="A12" s="26" t="s">
        <v>394</v>
      </c>
      <c r="B12" s="26" t="s">
        <v>395</v>
      </c>
      <c r="C12" s="26" t="s">
        <v>322</v>
      </c>
      <c r="D12" s="26" t="s">
        <v>62</v>
      </c>
      <c r="E12" s="26" t="s">
        <v>397</v>
      </c>
      <c r="F12" s="26" t="s">
        <v>398</v>
      </c>
      <c r="G12" s="26" t="s">
        <v>399</v>
      </c>
      <c r="H12" s="26" t="s">
        <v>46</v>
      </c>
      <c r="I12" s="26"/>
      <c r="J12" s="26">
        <v>0.0</v>
      </c>
      <c r="K12" s="26" t="s">
        <v>136</v>
      </c>
      <c r="L12" s="26" t="s">
        <v>29</v>
      </c>
      <c r="M12" s="26" t="s">
        <v>95</v>
      </c>
      <c r="N12" s="26" t="s">
        <v>307</v>
      </c>
      <c r="O12" s="26">
        <v>2.0</v>
      </c>
    </row>
    <row r="13">
      <c r="A13" s="26" t="s">
        <v>403</v>
      </c>
      <c r="B13" s="26" t="s">
        <v>405</v>
      </c>
      <c r="C13" s="26" t="s">
        <v>322</v>
      </c>
      <c r="D13" s="26" t="s">
        <v>62</v>
      </c>
      <c r="E13" s="26" t="s">
        <v>407</v>
      </c>
      <c r="F13" s="26" t="s">
        <v>398</v>
      </c>
      <c r="G13" s="26" t="s">
        <v>399</v>
      </c>
      <c r="H13" s="26" t="s">
        <v>46</v>
      </c>
      <c r="I13" s="26"/>
      <c r="J13" s="26">
        <v>0.0</v>
      </c>
      <c r="K13" s="26" t="s">
        <v>136</v>
      </c>
      <c r="L13" s="26" t="s">
        <v>29</v>
      </c>
      <c r="M13" s="26" t="s">
        <v>95</v>
      </c>
      <c r="N13" s="26" t="s">
        <v>307</v>
      </c>
      <c r="O13" s="26">
        <v>2.0</v>
      </c>
    </row>
    <row r="14">
      <c r="A14" s="26" t="s">
        <v>409</v>
      </c>
      <c r="B14" s="26" t="s">
        <v>410</v>
      </c>
      <c r="C14" s="26" t="s">
        <v>363</v>
      </c>
      <c r="D14" s="26" t="s">
        <v>36</v>
      </c>
      <c r="E14" s="26" t="s">
        <v>412</v>
      </c>
      <c r="F14" s="26" t="s">
        <v>315</v>
      </c>
      <c r="G14" s="26" t="s">
        <v>47</v>
      </c>
      <c r="H14" s="26" t="s">
        <v>34</v>
      </c>
      <c r="I14" s="26" t="s">
        <v>82</v>
      </c>
      <c r="J14" s="26">
        <v>2.0</v>
      </c>
      <c r="K14" s="26" t="s">
        <v>416</v>
      </c>
      <c r="L14" s="26" t="s">
        <v>15</v>
      </c>
      <c r="M14" s="26" t="s">
        <v>87</v>
      </c>
      <c r="N14" s="26" t="s">
        <v>307</v>
      </c>
      <c r="O14" s="26">
        <v>2.0</v>
      </c>
    </row>
    <row r="15">
      <c r="A15" s="26" t="s">
        <v>419</v>
      </c>
      <c r="B15" s="26" t="s">
        <v>420</v>
      </c>
      <c r="C15" s="26" t="s">
        <v>363</v>
      </c>
      <c r="D15" s="26" t="s">
        <v>59</v>
      </c>
      <c r="E15" s="26" t="s">
        <v>422</v>
      </c>
      <c r="F15" s="26" t="s">
        <v>423</v>
      </c>
      <c r="G15" s="26" t="s">
        <v>117</v>
      </c>
      <c r="H15" s="26" t="s">
        <v>34</v>
      </c>
      <c r="I15" s="26" t="s">
        <v>113</v>
      </c>
      <c r="J15" s="26">
        <v>2.0</v>
      </c>
      <c r="K15" s="26" t="s">
        <v>136</v>
      </c>
      <c r="L15" s="26" t="s">
        <v>29</v>
      </c>
      <c r="M15" s="26" t="s">
        <v>95</v>
      </c>
      <c r="N15" s="26" t="s">
        <v>307</v>
      </c>
      <c r="O15" s="26">
        <v>1.0</v>
      </c>
    </row>
    <row r="16">
      <c r="A16" s="26" t="s">
        <v>427</v>
      </c>
      <c r="B16" s="26" t="s">
        <v>428</v>
      </c>
      <c r="C16" s="26" t="s">
        <v>429</v>
      </c>
      <c r="D16" s="26" t="s">
        <v>54</v>
      </c>
      <c r="E16" s="26" t="s">
        <v>430</v>
      </c>
      <c r="F16" s="26" t="s">
        <v>432</v>
      </c>
      <c r="G16" s="26" t="s">
        <v>182</v>
      </c>
      <c r="H16" s="26" t="s">
        <v>34</v>
      </c>
      <c r="I16" s="26"/>
      <c r="J16" s="26">
        <v>1.0</v>
      </c>
      <c r="K16" s="26" t="s">
        <v>433</v>
      </c>
      <c r="L16" s="26" t="s">
        <v>19</v>
      </c>
      <c r="M16" s="26" t="s">
        <v>66</v>
      </c>
      <c r="N16" s="26" t="s">
        <v>307</v>
      </c>
      <c r="O16" s="26">
        <v>1.0</v>
      </c>
    </row>
    <row r="17">
      <c r="A17" s="26" t="s">
        <v>436</v>
      </c>
      <c r="B17" s="26" t="s">
        <v>437</v>
      </c>
      <c r="C17" s="26" t="s">
        <v>300</v>
      </c>
      <c r="D17" s="26" t="s">
        <v>69</v>
      </c>
      <c r="E17" s="26" t="s">
        <v>439</v>
      </c>
      <c r="F17" s="26" t="s">
        <v>440</v>
      </c>
      <c r="G17" s="26" t="s">
        <v>83</v>
      </c>
      <c r="H17" s="26" t="s">
        <v>46</v>
      </c>
      <c r="I17" s="26"/>
      <c r="J17" s="26">
        <v>1.0</v>
      </c>
      <c r="K17" s="26" t="s">
        <v>443</v>
      </c>
      <c r="L17" s="26" t="s">
        <v>15</v>
      </c>
      <c r="M17" s="26" t="s">
        <v>81</v>
      </c>
      <c r="N17" s="26" t="s">
        <v>307</v>
      </c>
      <c r="O17" s="26">
        <v>2.0</v>
      </c>
    </row>
    <row r="18">
      <c r="A18" s="26" t="s">
        <v>446</v>
      </c>
      <c r="B18" s="26" t="s">
        <v>447</v>
      </c>
      <c r="C18" s="26" t="s">
        <v>363</v>
      </c>
      <c r="D18" s="26" t="s">
        <v>50</v>
      </c>
      <c r="E18" s="26" t="s">
        <v>448</v>
      </c>
      <c r="F18" s="26" t="s">
        <v>336</v>
      </c>
      <c r="G18" s="26" t="s">
        <v>75</v>
      </c>
      <c r="H18" s="26" t="s">
        <v>53</v>
      </c>
      <c r="I18" s="26" t="s">
        <v>311</v>
      </c>
      <c r="J18" s="26">
        <v>3.0</v>
      </c>
      <c r="K18" s="26" t="s">
        <v>451</v>
      </c>
      <c r="L18" s="26" t="s">
        <v>19</v>
      </c>
      <c r="M18" s="26" t="s">
        <v>66</v>
      </c>
      <c r="N18" s="26" t="s">
        <v>307</v>
      </c>
      <c r="O18" s="26">
        <v>2.0</v>
      </c>
    </row>
    <row r="19">
      <c r="A19" s="26" t="s">
        <v>453</v>
      </c>
      <c r="B19" s="26" t="s">
        <v>454</v>
      </c>
      <c r="C19" s="26" t="s">
        <v>363</v>
      </c>
      <c r="D19" s="26" t="s">
        <v>50</v>
      </c>
      <c r="E19" s="26" t="s">
        <v>456</v>
      </c>
      <c r="F19" s="26" t="s">
        <v>336</v>
      </c>
      <c r="G19" s="26" t="s">
        <v>75</v>
      </c>
      <c r="H19" s="26" t="s">
        <v>53</v>
      </c>
      <c r="I19" s="26" t="s">
        <v>311</v>
      </c>
      <c r="J19" s="26">
        <v>3.0</v>
      </c>
      <c r="K19" s="26" t="s">
        <v>136</v>
      </c>
      <c r="L19" s="26" t="s">
        <v>29</v>
      </c>
      <c r="M19" s="26" t="s">
        <v>95</v>
      </c>
      <c r="N19" s="26" t="s">
        <v>307</v>
      </c>
      <c r="O19" s="26">
        <v>2.0</v>
      </c>
    </row>
    <row r="20">
      <c r="A20" s="26" t="s">
        <v>459</v>
      </c>
      <c r="B20" s="26" t="s">
        <v>460</v>
      </c>
      <c r="C20" s="26" t="s">
        <v>300</v>
      </c>
      <c r="D20" s="26" t="s">
        <v>48</v>
      </c>
      <c r="E20" s="26" t="s">
        <v>461</v>
      </c>
      <c r="F20" s="26" t="s">
        <v>463</v>
      </c>
      <c r="G20" s="26" t="s">
        <v>365</v>
      </c>
      <c r="H20" s="26" t="s">
        <v>53</v>
      </c>
      <c r="I20" s="26"/>
      <c r="J20" s="26">
        <v>1.0</v>
      </c>
      <c r="K20" s="26" t="s">
        <v>465</v>
      </c>
      <c r="L20" s="26" t="s">
        <v>15</v>
      </c>
      <c r="M20" s="26" t="s">
        <v>81</v>
      </c>
      <c r="N20" s="26" t="s">
        <v>307</v>
      </c>
      <c r="O20" s="26">
        <v>2.0</v>
      </c>
    </row>
    <row r="21" ht="15.75" customHeight="1">
      <c r="A21" s="26" t="s">
        <v>467</v>
      </c>
      <c r="B21" s="26" t="s">
        <v>468</v>
      </c>
      <c r="C21" s="26" t="s">
        <v>429</v>
      </c>
      <c r="D21" s="26" t="s">
        <v>62</v>
      </c>
      <c r="E21" s="26" t="s">
        <v>469</v>
      </c>
      <c r="F21" s="26" t="s">
        <v>471</v>
      </c>
      <c r="G21" s="26" t="s">
        <v>105</v>
      </c>
      <c r="H21" s="26" t="s">
        <v>46</v>
      </c>
      <c r="I21" s="26" t="s">
        <v>119</v>
      </c>
      <c r="J21" s="26">
        <v>3.0</v>
      </c>
      <c r="K21" s="26" t="s">
        <v>473</v>
      </c>
      <c r="L21" s="26" t="s">
        <v>15</v>
      </c>
      <c r="M21" s="26" t="s">
        <v>81</v>
      </c>
      <c r="N21" s="26" t="s">
        <v>307</v>
      </c>
      <c r="O21" s="26">
        <v>2.0</v>
      </c>
    </row>
    <row r="22" ht="15.75" customHeight="1">
      <c r="A22" s="26" t="s">
        <v>476</v>
      </c>
      <c r="B22" s="26" t="s">
        <v>477</v>
      </c>
      <c r="C22" s="26" t="s">
        <v>300</v>
      </c>
      <c r="D22" s="26" t="s">
        <v>48</v>
      </c>
      <c r="E22" s="26" t="s">
        <v>478</v>
      </c>
      <c r="F22" s="26" t="s">
        <v>479</v>
      </c>
      <c r="G22" s="26" t="s">
        <v>413</v>
      </c>
      <c r="H22" s="26" t="s">
        <v>34</v>
      </c>
      <c r="I22" s="26"/>
      <c r="J22" s="26">
        <v>1.0</v>
      </c>
      <c r="K22" s="26" t="s">
        <v>480</v>
      </c>
      <c r="L22" s="26" t="s">
        <v>15</v>
      </c>
      <c r="M22" s="26" t="s">
        <v>81</v>
      </c>
      <c r="N22" s="26" t="s">
        <v>307</v>
      </c>
      <c r="O22" s="26">
        <v>1.0</v>
      </c>
    </row>
    <row r="23" ht="15.75" customHeight="1">
      <c r="A23" s="26" t="s">
        <v>482</v>
      </c>
      <c r="B23" s="26" t="s">
        <v>483</v>
      </c>
      <c r="C23" s="26" t="s">
        <v>363</v>
      </c>
      <c r="D23" s="26" t="s">
        <v>36</v>
      </c>
      <c r="E23" s="26" t="s">
        <v>192</v>
      </c>
      <c r="F23" s="26" t="s">
        <v>485</v>
      </c>
      <c r="G23" s="26" t="s">
        <v>92</v>
      </c>
      <c r="H23" s="26" t="s">
        <v>52</v>
      </c>
      <c r="I23" s="26" t="s">
        <v>120</v>
      </c>
      <c r="J23" s="26">
        <v>2.0</v>
      </c>
      <c r="K23" s="26" t="s">
        <v>193</v>
      </c>
      <c r="L23" s="26" t="s">
        <v>15</v>
      </c>
      <c r="M23" s="26" t="s">
        <v>87</v>
      </c>
      <c r="N23" s="26" t="s">
        <v>307</v>
      </c>
      <c r="O23" s="26">
        <v>2.0</v>
      </c>
    </row>
    <row r="24" ht="15.75" customHeight="1">
      <c r="A24" s="26" t="s">
        <v>488</v>
      </c>
      <c r="B24" s="26" t="s">
        <v>490</v>
      </c>
      <c r="C24" s="26" t="s">
        <v>363</v>
      </c>
      <c r="D24" s="26" t="s">
        <v>76</v>
      </c>
      <c r="E24" s="26" t="s">
        <v>492</v>
      </c>
      <c r="F24" s="26" t="s">
        <v>493</v>
      </c>
      <c r="G24" s="26" t="s">
        <v>494</v>
      </c>
      <c r="H24" s="26" t="s">
        <v>34</v>
      </c>
      <c r="I24" s="26" t="s">
        <v>496</v>
      </c>
      <c r="J24" s="26">
        <v>3.0</v>
      </c>
      <c r="K24" s="26" t="s">
        <v>498</v>
      </c>
      <c r="L24" s="26" t="s">
        <v>19</v>
      </c>
      <c r="M24" s="26" t="s">
        <v>66</v>
      </c>
      <c r="N24" s="26" t="s">
        <v>307</v>
      </c>
      <c r="O24" s="26">
        <v>2.0</v>
      </c>
    </row>
    <row r="25" ht="15.75" customHeight="1">
      <c r="A25" s="26" t="s">
        <v>500</v>
      </c>
      <c r="B25" s="26" t="s">
        <v>502</v>
      </c>
      <c r="C25" s="26" t="s">
        <v>300</v>
      </c>
      <c r="D25" s="26" t="s">
        <v>59</v>
      </c>
      <c r="E25" s="26" t="s">
        <v>503</v>
      </c>
      <c r="F25" s="26" t="s">
        <v>423</v>
      </c>
      <c r="G25" s="26" t="s">
        <v>117</v>
      </c>
      <c r="H25" s="26" t="s">
        <v>34</v>
      </c>
      <c r="I25" s="26" t="s">
        <v>373</v>
      </c>
      <c r="J25" s="26">
        <v>3.0</v>
      </c>
      <c r="K25" s="26" t="s">
        <v>506</v>
      </c>
      <c r="L25" s="26" t="s">
        <v>15</v>
      </c>
      <c r="M25" s="26" t="s">
        <v>81</v>
      </c>
      <c r="N25" s="26" t="s">
        <v>307</v>
      </c>
      <c r="O25" s="26">
        <v>1.0</v>
      </c>
    </row>
    <row r="26" ht="15.75" customHeight="1">
      <c r="A26" s="26" t="s">
        <v>508</v>
      </c>
      <c r="B26" s="26" t="s">
        <v>510</v>
      </c>
      <c r="C26" s="26" t="s">
        <v>312</v>
      </c>
      <c r="D26" s="26" t="s">
        <v>59</v>
      </c>
      <c r="E26" s="26" t="s">
        <v>511</v>
      </c>
      <c r="F26" s="26" t="s">
        <v>372</v>
      </c>
      <c r="G26" s="26" t="s">
        <v>373</v>
      </c>
      <c r="H26" s="26" t="s">
        <v>34</v>
      </c>
      <c r="I26" s="26"/>
      <c r="J26" s="26">
        <v>1.0</v>
      </c>
      <c r="K26" s="26" t="s">
        <v>136</v>
      </c>
      <c r="L26" s="26" t="s">
        <v>29</v>
      </c>
      <c r="M26" s="26" t="s">
        <v>95</v>
      </c>
      <c r="N26" s="26" t="s">
        <v>307</v>
      </c>
      <c r="O26" s="26">
        <v>1.0</v>
      </c>
    </row>
    <row r="27" ht="15.75" customHeight="1">
      <c r="A27" s="26" t="s">
        <v>514</v>
      </c>
      <c r="B27" s="26" t="s">
        <v>516</v>
      </c>
      <c r="C27" s="26" t="s">
        <v>429</v>
      </c>
      <c r="D27" s="26" t="s">
        <v>54</v>
      </c>
      <c r="E27" s="26" t="s">
        <v>518</v>
      </c>
      <c r="F27" s="26" t="s">
        <v>519</v>
      </c>
      <c r="G27" s="26" t="s">
        <v>520</v>
      </c>
      <c r="H27" s="26" t="s">
        <v>53</v>
      </c>
      <c r="I27" s="26" t="s">
        <v>99</v>
      </c>
      <c r="J27" s="26">
        <v>4.0</v>
      </c>
      <c r="K27" s="26" t="s">
        <v>136</v>
      </c>
      <c r="L27" s="26" t="s">
        <v>29</v>
      </c>
      <c r="M27" s="26" t="s">
        <v>95</v>
      </c>
      <c r="N27" s="26" t="s">
        <v>307</v>
      </c>
      <c r="O27" s="26">
        <v>1.0</v>
      </c>
    </row>
    <row r="28" ht="15.75" customHeight="1">
      <c r="A28" s="26" t="s">
        <v>523</v>
      </c>
      <c r="B28" s="26" t="s">
        <v>526</v>
      </c>
      <c r="C28" s="26" t="s">
        <v>429</v>
      </c>
      <c r="D28" s="26" t="s">
        <v>59</v>
      </c>
      <c r="E28" s="26" t="s">
        <v>527</v>
      </c>
      <c r="F28" s="26" t="s">
        <v>423</v>
      </c>
      <c r="G28" s="26" t="s">
        <v>117</v>
      </c>
      <c r="H28" s="26" t="s">
        <v>34</v>
      </c>
      <c r="I28" s="26" t="s">
        <v>113</v>
      </c>
      <c r="J28" s="26">
        <v>3.0</v>
      </c>
      <c r="K28" s="26" t="s">
        <v>530</v>
      </c>
      <c r="L28" s="26" t="s">
        <v>19</v>
      </c>
      <c r="M28" s="26" t="s">
        <v>81</v>
      </c>
      <c r="N28" s="26" t="s">
        <v>307</v>
      </c>
      <c r="O28" s="26">
        <v>3.0</v>
      </c>
    </row>
    <row r="29" ht="15.75" customHeight="1">
      <c r="A29" s="26" t="s">
        <v>533</v>
      </c>
      <c r="B29" s="26" t="s">
        <v>534</v>
      </c>
      <c r="C29" s="26" t="s">
        <v>429</v>
      </c>
      <c r="D29" s="26" t="s">
        <v>69</v>
      </c>
      <c r="E29" s="26" t="s">
        <v>535</v>
      </c>
      <c r="F29" s="26" t="s">
        <v>537</v>
      </c>
      <c r="G29" s="26" t="s">
        <v>197</v>
      </c>
      <c r="H29" s="26" t="s">
        <v>34</v>
      </c>
      <c r="I29" s="26"/>
      <c r="J29" s="26">
        <v>1.0</v>
      </c>
      <c r="K29" s="26" t="s">
        <v>540</v>
      </c>
      <c r="L29" s="26" t="s">
        <v>15</v>
      </c>
      <c r="M29" s="26" t="s">
        <v>81</v>
      </c>
      <c r="N29" s="26" t="s">
        <v>307</v>
      </c>
      <c r="O29" s="26">
        <v>3.0</v>
      </c>
    </row>
    <row r="30" ht="15.75" customHeight="1">
      <c r="A30" s="26" t="s">
        <v>543</v>
      </c>
      <c r="B30" s="26" t="s">
        <v>544</v>
      </c>
      <c r="C30" s="26" t="s">
        <v>300</v>
      </c>
      <c r="D30" s="26" t="s">
        <v>50</v>
      </c>
      <c r="E30" s="26" t="s">
        <v>545</v>
      </c>
      <c r="F30" s="26" t="s">
        <v>336</v>
      </c>
      <c r="G30" s="26" t="s">
        <v>75</v>
      </c>
      <c r="H30" s="26" t="s">
        <v>53</v>
      </c>
      <c r="I30" s="26" t="s">
        <v>245</v>
      </c>
      <c r="J30" s="26">
        <v>2.0</v>
      </c>
      <c r="K30" s="26" t="s">
        <v>549</v>
      </c>
      <c r="L30" s="26" t="s">
        <v>19</v>
      </c>
      <c r="M30" s="26" t="s">
        <v>66</v>
      </c>
      <c r="N30" s="26" t="s">
        <v>307</v>
      </c>
      <c r="O30" s="26">
        <v>6.0</v>
      </c>
    </row>
    <row r="31" ht="15.75" customHeight="1">
      <c r="A31" s="26" t="s">
        <v>551</v>
      </c>
      <c r="B31" s="26" t="s">
        <v>553</v>
      </c>
      <c r="C31" s="26" t="s">
        <v>363</v>
      </c>
      <c r="D31" s="26" t="s">
        <v>54</v>
      </c>
      <c r="E31" s="26" t="s">
        <v>554</v>
      </c>
      <c r="F31" s="26" t="s">
        <v>432</v>
      </c>
      <c r="G31" s="26" t="s">
        <v>182</v>
      </c>
      <c r="H31" s="26" t="s">
        <v>34</v>
      </c>
      <c r="I31" s="26" t="s">
        <v>217</v>
      </c>
      <c r="J31" s="26">
        <v>2.0</v>
      </c>
      <c r="K31" s="26" t="s">
        <v>557</v>
      </c>
      <c r="L31" s="26" t="s">
        <v>15</v>
      </c>
      <c r="M31" s="26" t="s">
        <v>81</v>
      </c>
      <c r="N31" s="26" t="s">
        <v>307</v>
      </c>
      <c r="O31" s="26">
        <v>2.0</v>
      </c>
    </row>
    <row r="32" ht="15.75" customHeight="1">
      <c r="A32" s="26" t="s">
        <v>558</v>
      </c>
      <c r="B32" s="26" t="s">
        <v>560</v>
      </c>
      <c r="C32" s="26" t="s">
        <v>300</v>
      </c>
      <c r="D32" s="26" t="s">
        <v>54</v>
      </c>
      <c r="E32" s="26" t="s">
        <v>562</v>
      </c>
      <c r="F32" s="26" t="s">
        <v>432</v>
      </c>
      <c r="G32" s="26" t="s">
        <v>182</v>
      </c>
      <c r="H32" s="26" t="s">
        <v>34</v>
      </c>
      <c r="I32" s="26" t="s">
        <v>520</v>
      </c>
      <c r="J32" s="26">
        <v>4.0</v>
      </c>
      <c r="K32" s="26" t="s">
        <v>565</v>
      </c>
      <c r="L32" s="26" t="s">
        <v>15</v>
      </c>
      <c r="M32" s="26" t="s">
        <v>81</v>
      </c>
      <c r="N32" s="26" t="s">
        <v>307</v>
      </c>
      <c r="O32" s="26">
        <v>2.0</v>
      </c>
    </row>
    <row r="33" ht="15.75" customHeight="1">
      <c r="A33" s="26" t="s">
        <v>567</v>
      </c>
      <c r="B33" s="26" t="s">
        <v>568</v>
      </c>
      <c r="C33" s="26" t="s">
        <v>312</v>
      </c>
      <c r="D33" s="26" t="s">
        <v>54</v>
      </c>
      <c r="E33" s="26" t="s">
        <v>571</v>
      </c>
      <c r="F33" s="26" t="s">
        <v>432</v>
      </c>
      <c r="G33" s="26" t="s">
        <v>182</v>
      </c>
      <c r="H33" s="26" t="s">
        <v>34</v>
      </c>
      <c r="I33" s="26" t="s">
        <v>572</v>
      </c>
      <c r="J33" s="26">
        <v>4.0</v>
      </c>
      <c r="K33" s="26" t="s">
        <v>574</v>
      </c>
      <c r="L33" s="26" t="s">
        <v>19</v>
      </c>
      <c r="M33" s="26" t="s">
        <v>66</v>
      </c>
      <c r="N33" s="26" t="s">
        <v>307</v>
      </c>
      <c r="O33" s="26">
        <v>2.0</v>
      </c>
    </row>
    <row r="34" ht="15.75" customHeight="1">
      <c r="A34" s="26" t="s">
        <v>576</v>
      </c>
      <c r="B34" s="26" t="s">
        <v>578</v>
      </c>
      <c r="C34" s="26" t="s">
        <v>312</v>
      </c>
      <c r="D34" s="26" t="s">
        <v>54</v>
      </c>
      <c r="E34" s="26" t="s">
        <v>580</v>
      </c>
      <c r="F34" s="26" t="s">
        <v>347</v>
      </c>
      <c r="G34" s="26" t="s">
        <v>99</v>
      </c>
      <c r="H34" s="26" t="s">
        <v>49</v>
      </c>
      <c r="I34" s="26"/>
      <c r="J34" s="26">
        <v>1.0</v>
      </c>
      <c r="K34" s="26" t="s">
        <v>584</v>
      </c>
      <c r="L34" s="26" t="s">
        <v>19</v>
      </c>
      <c r="M34" s="26" t="s">
        <v>87</v>
      </c>
      <c r="N34" s="26" t="s">
        <v>307</v>
      </c>
      <c r="O34" s="26">
        <v>2.0</v>
      </c>
    </row>
    <row r="35" ht="15.75" customHeight="1">
      <c r="A35" s="26" t="s">
        <v>585</v>
      </c>
      <c r="B35" s="26" t="s">
        <v>586</v>
      </c>
      <c r="C35" s="26" t="s">
        <v>312</v>
      </c>
      <c r="D35" s="26" t="s">
        <v>48</v>
      </c>
      <c r="E35" s="26" t="s">
        <v>589</v>
      </c>
      <c r="F35" s="26" t="s">
        <v>590</v>
      </c>
      <c r="G35" s="26" t="s">
        <v>329</v>
      </c>
      <c r="H35" s="26" t="s">
        <v>46</v>
      </c>
      <c r="I35" s="26"/>
      <c r="J35" s="26">
        <v>1.0</v>
      </c>
      <c r="K35" s="26" t="s">
        <v>592</v>
      </c>
      <c r="L35" s="26" t="s">
        <v>15</v>
      </c>
      <c r="M35" s="26" t="s">
        <v>81</v>
      </c>
      <c r="N35" s="26" t="s">
        <v>307</v>
      </c>
      <c r="O35" s="26">
        <v>2.0</v>
      </c>
    </row>
    <row r="36" ht="15.75" customHeight="1">
      <c r="A36" s="26" t="s">
        <v>594</v>
      </c>
      <c r="B36" s="26" t="s">
        <v>595</v>
      </c>
      <c r="C36" s="26" t="s">
        <v>312</v>
      </c>
      <c r="D36" s="26" t="s">
        <v>85</v>
      </c>
      <c r="E36" s="26" t="s">
        <v>597</v>
      </c>
      <c r="F36" s="26" t="s">
        <v>599</v>
      </c>
      <c r="G36" s="26" t="s">
        <v>600</v>
      </c>
      <c r="H36" s="26" t="s">
        <v>46</v>
      </c>
      <c r="I36" s="26" t="s">
        <v>601</v>
      </c>
      <c r="J36" s="26">
        <v>2.0</v>
      </c>
      <c r="K36" s="26" t="s">
        <v>602</v>
      </c>
      <c r="L36" s="26" t="s">
        <v>19</v>
      </c>
      <c r="M36" s="26" t="s">
        <v>66</v>
      </c>
      <c r="N36" s="26" t="s">
        <v>307</v>
      </c>
      <c r="O36" s="26">
        <v>2.0</v>
      </c>
    </row>
    <row r="37" ht="15.75" customHeight="1">
      <c r="A37" s="26" t="s">
        <v>603</v>
      </c>
      <c r="B37" s="26" t="s">
        <v>604</v>
      </c>
      <c r="C37" s="26" t="s">
        <v>300</v>
      </c>
      <c r="D37" s="26" t="s">
        <v>54</v>
      </c>
      <c r="E37" s="26" t="s">
        <v>606</v>
      </c>
      <c r="F37" s="26" t="s">
        <v>432</v>
      </c>
      <c r="G37" s="26" t="s">
        <v>182</v>
      </c>
      <c r="H37" s="26" t="s">
        <v>34</v>
      </c>
      <c r="I37" s="26" t="s">
        <v>217</v>
      </c>
      <c r="J37" s="26">
        <v>2.0</v>
      </c>
      <c r="K37" s="26" t="s">
        <v>608</v>
      </c>
      <c r="L37" s="26" t="s">
        <v>15</v>
      </c>
      <c r="M37" s="26" t="s">
        <v>87</v>
      </c>
      <c r="N37" s="26" t="s">
        <v>307</v>
      </c>
      <c r="O37" s="26">
        <v>2.0</v>
      </c>
    </row>
    <row r="38" ht="15.75" customHeight="1">
      <c r="A38" s="26" t="s">
        <v>611</v>
      </c>
      <c r="B38" s="26" t="s">
        <v>612</v>
      </c>
      <c r="C38" s="26" t="s">
        <v>363</v>
      </c>
      <c r="D38" s="26" t="s">
        <v>89</v>
      </c>
      <c r="E38" s="26" t="s">
        <v>613</v>
      </c>
      <c r="F38" s="26" t="s">
        <v>614</v>
      </c>
      <c r="G38" s="26" t="s">
        <v>616</v>
      </c>
      <c r="H38" s="26" t="s">
        <v>49</v>
      </c>
      <c r="I38" s="26" t="s">
        <v>618</v>
      </c>
      <c r="J38" s="26">
        <v>2.0</v>
      </c>
      <c r="K38" s="26" t="s">
        <v>619</v>
      </c>
      <c r="L38" s="26" t="s">
        <v>19</v>
      </c>
      <c r="M38" s="26" t="s">
        <v>87</v>
      </c>
      <c r="N38" s="26" t="s">
        <v>307</v>
      </c>
      <c r="O38" s="26">
        <v>2.0</v>
      </c>
    </row>
    <row r="39" ht="15.75" customHeight="1">
      <c r="A39" s="26" t="s">
        <v>621</v>
      </c>
      <c r="B39" s="26" t="s">
        <v>623</v>
      </c>
      <c r="C39" s="26" t="s">
        <v>363</v>
      </c>
      <c r="D39" s="26" t="s">
        <v>48</v>
      </c>
      <c r="E39" s="26" t="s">
        <v>624</v>
      </c>
      <c r="F39" s="26" t="s">
        <v>625</v>
      </c>
      <c r="G39" s="26" t="s">
        <v>313</v>
      </c>
      <c r="H39" s="26" t="s">
        <v>34</v>
      </c>
      <c r="I39" s="26"/>
      <c r="J39" s="26">
        <v>1.0</v>
      </c>
      <c r="K39" s="26" t="s">
        <v>627</v>
      </c>
      <c r="L39" s="26" t="s">
        <v>15</v>
      </c>
      <c r="M39" s="26" t="s">
        <v>81</v>
      </c>
      <c r="N39" s="26" t="s">
        <v>307</v>
      </c>
      <c r="O39" s="26">
        <v>2.0</v>
      </c>
    </row>
    <row r="40" ht="15.75" customHeight="1">
      <c r="A40" s="26" t="s">
        <v>628</v>
      </c>
      <c r="B40" s="26" t="s">
        <v>630</v>
      </c>
      <c r="C40" s="26" t="s">
        <v>429</v>
      </c>
      <c r="D40" s="26" t="s">
        <v>89</v>
      </c>
      <c r="E40" s="26" t="s">
        <v>631</v>
      </c>
      <c r="F40" s="26" t="s">
        <v>614</v>
      </c>
      <c r="G40" s="26" t="s">
        <v>616</v>
      </c>
      <c r="H40" s="26" t="s">
        <v>49</v>
      </c>
      <c r="I40" s="26" t="s">
        <v>638</v>
      </c>
      <c r="J40" s="26">
        <v>2.0</v>
      </c>
      <c r="K40" s="26" t="s">
        <v>136</v>
      </c>
      <c r="L40" s="26" t="s">
        <v>29</v>
      </c>
      <c r="M40" s="26" t="s">
        <v>95</v>
      </c>
      <c r="N40" s="26" t="s">
        <v>307</v>
      </c>
      <c r="O40" s="26">
        <v>2.0</v>
      </c>
    </row>
    <row r="41" ht="15.75" customHeight="1">
      <c r="A41" s="26" t="s">
        <v>641</v>
      </c>
      <c r="B41" s="26" t="s">
        <v>642</v>
      </c>
      <c r="C41" s="26" t="s">
        <v>322</v>
      </c>
      <c r="D41" s="26" t="s">
        <v>54</v>
      </c>
      <c r="E41" s="26" t="s">
        <v>643</v>
      </c>
      <c r="F41" s="26" t="s">
        <v>644</v>
      </c>
      <c r="G41" s="26" t="s">
        <v>217</v>
      </c>
      <c r="H41" s="26" t="s">
        <v>52</v>
      </c>
      <c r="I41" s="26"/>
      <c r="J41" s="26">
        <v>1.0</v>
      </c>
      <c r="K41" s="26" t="s">
        <v>648</v>
      </c>
      <c r="L41" s="26" t="s">
        <v>15</v>
      </c>
      <c r="M41" s="26" t="s">
        <v>81</v>
      </c>
      <c r="N41" s="26" t="s">
        <v>307</v>
      </c>
      <c r="O41" s="26">
        <v>3.0</v>
      </c>
    </row>
    <row r="42" ht="15.75" customHeight="1">
      <c r="A42" s="26" t="s">
        <v>651</v>
      </c>
      <c r="B42" s="26" t="s">
        <v>652</v>
      </c>
      <c r="C42" s="26" t="s">
        <v>429</v>
      </c>
      <c r="D42" s="26" t="s">
        <v>59</v>
      </c>
      <c r="E42" s="26" t="s">
        <v>653</v>
      </c>
      <c r="F42" s="26" t="s">
        <v>423</v>
      </c>
      <c r="G42" s="26" t="s">
        <v>117</v>
      </c>
      <c r="H42" s="26" t="s">
        <v>34</v>
      </c>
      <c r="I42" s="26" t="s">
        <v>656</v>
      </c>
      <c r="J42" s="26">
        <v>2.0</v>
      </c>
      <c r="K42" s="26" t="s">
        <v>657</v>
      </c>
      <c r="L42" s="26" t="s">
        <v>15</v>
      </c>
      <c r="M42" s="26" t="s">
        <v>81</v>
      </c>
      <c r="N42" s="26" t="s">
        <v>307</v>
      </c>
      <c r="O42" s="26">
        <v>3.0</v>
      </c>
    </row>
    <row r="43" ht="15.75" customHeight="1">
      <c r="A43" s="26" t="s">
        <v>659</v>
      </c>
      <c r="B43" s="26" t="s">
        <v>660</v>
      </c>
      <c r="C43" s="26" t="s">
        <v>300</v>
      </c>
      <c r="D43" s="26" t="s">
        <v>36</v>
      </c>
      <c r="E43" s="26" t="s">
        <v>661</v>
      </c>
      <c r="F43" s="26" t="s">
        <v>663</v>
      </c>
      <c r="G43" s="26" t="s">
        <v>44</v>
      </c>
      <c r="H43" s="26" t="s">
        <v>34</v>
      </c>
      <c r="I43" s="26" t="s">
        <v>101</v>
      </c>
      <c r="J43" s="26">
        <v>2.0</v>
      </c>
      <c r="K43" s="26" t="s">
        <v>665</v>
      </c>
      <c r="L43" s="26" t="s">
        <v>15</v>
      </c>
      <c r="M43" s="26" t="s">
        <v>87</v>
      </c>
      <c r="N43" s="26" t="s">
        <v>307</v>
      </c>
      <c r="O43" s="26">
        <v>3.0</v>
      </c>
    </row>
    <row r="44" ht="15.75" customHeight="1">
      <c r="A44" s="26" t="s">
        <v>668</v>
      </c>
      <c r="B44" s="26" t="s">
        <v>669</v>
      </c>
      <c r="C44" s="26" t="s">
        <v>363</v>
      </c>
      <c r="D44" s="26" t="s">
        <v>48</v>
      </c>
      <c r="E44" s="26" t="s">
        <v>670</v>
      </c>
      <c r="F44" s="26" t="s">
        <v>672</v>
      </c>
      <c r="G44" s="26" t="s">
        <v>339</v>
      </c>
      <c r="H44" s="26" t="s">
        <v>49</v>
      </c>
      <c r="I44" s="26"/>
      <c r="J44" s="26">
        <v>1.0</v>
      </c>
      <c r="K44" s="26" t="s">
        <v>674</v>
      </c>
      <c r="L44" s="26" t="s">
        <v>15</v>
      </c>
      <c r="M44" s="26" t="s">
        <v>81</v>
      </c>
      <c r="N44" s="26" t="s">
        <v>307</v>
      </c>
      <c r="O44" s="26">
        <v>3.0</v>
      </c>
    </row>
    <row r="45" ht="15.75" customHeight="1">
      <c r="A45" s="26" t="s">
        <v>676</v>
      </c>
      <c r="B45" s="26" t="s">
        <v>677</v>
      </c>
      <c r="C45" s="26" t="s">
        <v>300</v>
      </c>
      <c r="D45" s="26" t="s">
        <v>36</v>
      </c>
      <c r="E45" s="26" t="s">
        <v>680</v>
      </c>
      <c r="F45" s="26" t="s">
        <v>681</v>
      </c>
      <c r="G45" s="26" t="s">
        <v>58</v>
      </c>
      <c r="H45" s="26" t="s">
        <v>49</v>
      </c>
      <c r="I45" s="26" t="s">
        <v>88</v>
      </c>
      <c r="J45" s="26">
        <v>2.0</v>
      </c>
      <c r="K45" s="26" t="s">
        <v>684</v>
      </c>
      <c r="L45" s="26" t="s">
        <v>15</v>
      </c>
      <c r="M45" s="26" t="s">
        <v>81</v>
      </c>
      <c r="N45" s="26" t="s">
        <v>307</v>
      </c>
      <c r="O45" s="26">
        <v>2.0</v>
      </c>
    </row>
    <row r="46" ht="15.75" customHeight="1">
      <c r="A46" s="26" t="s">
        <v>685</v>
      </c>
      <c r="B46" s="26" t="s">
        <v>686</v>
      </c>
      <c r="C46" s="26" t="s">
        <v>300</v>
      </c>
      <c r="D46" s="26" t="s">
        <v>54</v>
      </c>
      <c r="E46" s="26" t="s">
        <v>689</v>
      </c>
      <c r="F46" s="26" t="s">
        <v>432</v>
      </c>
      <c r="G46" s="26" t="s">
        <v>182</v>
      </c>
      <c r="H46" s="26" t="s">
        <v>34</v>
      </c>
      <c r="I46" s="26" t="s">
        <v>572</v>
      </c>
      <c r="J46" s="26">
        <v>3.0</v>
      </c>
      <c r="K46" s="26" t="s">
        <v>692</v>
      </c>
      <c r="L46" s="26" t="s">
        <v>15</v>
      </c>
      <c r="M46" s="26" t="s">
        <v>81</v>
      </c>
      <c r="N46" s="26" t="s">
        <v>307</v>
      </c>
      <c r="O46" s="26">
        <v>2.0</v>
      </c>
    </row>
    <row r="47" ht="15.75" customHeight="1">
      <c r="A47" s="26" t="s">
        <v>695</v>
      </c>
      <c r="B47" s="26" t="s">
        <v>696</v>
      </c>
      <c r="C47" s="26" t="s">
        <v>322</v>
      </c>
      <c r="D47" s="26" t="s">
        <v>85</v>
      </c>
      <c r="E47" s="26" t="s">
        <v>697</v>
      </c>
      <c r="F47" s="26" t="s">
        <v>698</v>
      </c>
      <c r="G47" s="26" t="s">
        <v>102</v>
      </c>
      <c r="H47" s="26" t="s">
        <v>53</v>
      </c>
      <c r="I47" s="26"/>
      <c r="J47" s="26">
        <v>1.0</v>
      </c>
      <c r="K47" s="26" t="s">
        <v>700</v>
      </c>
      <c r="L47" s="26" t="s">
        <v>23</v>
      </c>
      <c r="M47" s="26" t="s">
        <v>94</v>
      </c>
      <c r="N47" s="26" t="s">
        <v>307</v>
      </c>
      <c r="O47" s="26">
        <v>2.0</v>
      </c>
    </row>
    <row r="48" ht="15.75" customHeight="1">
      <c r="A48" s="26" t="s">
        <v>703</v>
      </c>
      <c r="B48" s="26" t="s">
        <v>704</v>
      </c>
      <c r="C48" s="26" t="s">
        <v>300</v>
      </c>
      <c r="D48" s="26" t="s">
        <v>36</v>
      </c>
      <c r="E48" s="26" t="s">
        <v>706</v>
      </c>
      <c r="F48" s="26" t="s">
        <v>315</v>
      </c>
      <c r="G48" s="26" t="s">
        <v>47</v>
      </c>
      <c r="H48" s="26" t="s">
        <v>34</v>
      </c>
      <c r="I48" s="26" t="s">
        <v>101</v>
      </c>
      <c r="J48" s="26">
        <v>2.0</v>
      </c>
      <c r="K48" s="26" t="s">
        <v>708</v>
      </c>
      <c r="L48" s="26" t="s">
        <v>23</v>
      </c>
      <c r="M48" s="26" t="s">
        <v>91</v>
      </c>
      <c r="N48" s="26" t="s">
        <v>307</v>
      </c>
      <c r="O48" s="26">
        <v>2.0</v>
      </c>
    </row>
    <row r="49" ht="15.75" customHeight="1">
      <c r="A49" s="26" t="s">
        <v>709</v>
      </c>
      <c r="B49" s="26" t="s">
        <v>711</v>
      </c>
      <c r="C49" s="26" t="s">
        <v>363</v>
      </c>
      <c r="D49" s="26" t="s">
        <v>50</v>
      </c>
      <c r="E49" s="26" t="s">
        <v>712</v>
      </c>
      <c r="F49" s="26" t="s">
        <v>336</v>
      </c>
      <c r="G49" s="26" t="s">
        <v>75</v>
      </c>
      <c r="H49" s="26" t="s">
        <v>53</v>
      </c>
      <c r="I49" s="26" t="s">
        <v>548</v>
      </c>
      <c r="J49" s="26">
        <v>2.0</v>
      </c>
      <c r="K49" s="26" t="s">
        <v>136</v>
      </c>
      <c r="L49" s="26" t="s">
        <v>29</v>
      </c>
      <c r="M49" s="26" t="s">
        <v>95</v>
      </c>
      <c r="N49" s="26" t="s">
        <v>307</v>
      </c>
      <c r="O49" s="26">
        <v>3.0</v>
      </c>
    </row>
    <row r="50" ht="15.75" customHeight="1">
      <c r="A50" s="26" t="s">
        <v>715</v>
      </c>
      <c r="B50" s="26" t="s">
        <v>716</v>
      </c>
      <c r="C50" s="26" t="s">
        <v>363</v>
      </c>
      <c r="D50" s="26" t="s">
        <v>50</v>
      </c>
      <c r="E50" s="26" t="s">
        <v>718</v>
      </c>
      <c r="F50" s="26" t="s">
        <v>720</v>
      </c>
      <c r="G50" s="26" t="s">
        <v>548</v>
      </c>
      <c r="H50" s="26" t="s">
        <v>46</v>
      </c>
      <c r="I50" s="26"/>
      <c r="J50" s="26">
        <v>1.0</v>
      </c>
      <c r="K50" s="26" t="s">
        <v>358</v>
      </c>
      <c r="L50" s="26" t="s">
        <v>19</v>
      </c>
      <c r="M50" s="26" t="s">
        <v>66</v>
      </c>
      <c r="N50" s="26" t="s">
        <v>307</v>
      </c>
      <c r="O50" s="26">
        <v>4.0</v>
      </c>
    </row>
    <row r="51" ht="15.75" customHeight="1">
      <c r="A51" s="26" t="s">
        <v>724</v>
      </c>
      <c r="B51" s="26" t="s">
        <v>725</v>
      </c>
      <c r="C51" s="26" t="s">
        <v>429</v>
      </c>
      <c r="D51" s="26" t="s">
        <v>59</v>
      </c>
      <c r="E51" s="26" t="s">
        <v>727</v>
      </c>
      <c r="F51" s="26" t="s">
        <v>372</v>
      </c>
      <c r="G51" s="26" t="s">
        <v>373</v>
      </c>
      <c r="H51" s="26" t="s">
        <v>34</v>
      </c>
      <c r="I51" s="26"/>
      <c r="J51" s="26">
        <v>1.0</v>
      </c>
      <c r="K51" s="26" t="s">
        <v>729</v>
      </c>
      <c r="L51" s="26" t="s">
        <v>15</v>
      </c>
      <c r="M51" s="26" t="s">
        <v>81</v>
      </c>
      <c r="N51" s="26" t="s">
        <v>307</v>
      </c>
      <c r="O51" s="26">
        <v>3.0</v>
      </c>
    </row>
    <row r="52" ht="15.75" customHeight="1">
      <c r="A52" s="26" t="s">
        <v>732</v>
      </c>
      <c r="B52" s="26" t="s">
        <v>733</v>
      </c>
      <c r="C52" s="26" t="s">
        <v>312</v>
      </c>
      <c r="D52" s="26" t="s">
        <v>54</v>
      </c>
      <c r="E52" s="26" t="s">
        <v>736</v>
      </c>
      <c r="F52" s="26" t="s">
        <v>347</v>
      </c>
      <c r="G52" s="26" t="s">
        <v>99</v>
      </c>
      <c r="H52" s="26" t="s">
        <v>49</v>
      </c>
      <c r="I52" s="26" t="s">
        <v>572</v>
      </c>
      <c r="J52" s="26">
        <v>3.0</v>
      </c>
      <c r="K52" s="26" t="s">
        <v>136</v>
      </c>
      <c r="L52" s="26" t="s">
        <v>29</v>
      </c>
      <c r="M52" s="26" t="s">
        <v>95</v>
      </c>
      <c r="N52" s="26" t="s">
        <v>307</v>
      </c>
      <c r="O52" s="26">
        <v>2.0</v>
      </c>
    </row>
    <row r="53" ht="15.75" customHeight="1">
      <c r="A53" s="26" t="s">
        <v>740</v>
      </c>
      <c r="B53" s="26" t="s">
        <v>741</v>
      </c>
      <c r="C53" s="26" t="s">
        <v>429</v>
      </c>
      <c r="D53" s="26" t="s">
        <v>45</v>
      </c>
      <c r="E53" s="26" t="s">
        <v>743</v>
      </c>
      <c r="F53" s="26" t="s">
        <v>744</v>
      </c>
      <c r="G53" s="26" t="s">
        <v>148</v>
      </c>
      <c r="H53" s="26" t="s">
        <v>34</v>
      </c>
      <c r="I53" s="26" t="s">
        <v>140</v>
      </c>
      <c r="J53" s="26">
        <v>4.0</v>
      </c>
      <c r="K53" s="26" t="s">
        <v>747</v>
      </c>
      <c r="L53" s="26" t="s">
        <v>15</v>
      </c>
      <c r="M53" s="26" t="s">
        <v>81</v>
      </c>
      <c r="N53" s="26" t="s">
        <v>307</v>
      </c>
      <c r="O53" s="26">
        <v>2.0</v>
      </c>
    </row>
    <row r="54" ht="15.75" customHeight="1">
      <c r="A54" s="26" t="s">
        <v>750</v>
      </c>
      <c r="B54" s="26" t="s">
        <v>751</v>
      </c>
      <c r="C54" s="26" t="s">
        <v>300</v>
      </c>
      <c r="D54" s="26" t="s">
        <v>50</v>
      </c>
      <c r="E54" s="26" t="s">
        <v>752</v>
      </c>
      <c r="F54" s="26" t="s">
        <v>336</v>
      </c>
      <c r="G54" s="26" t="s">
        <v>75</v>
      </c>
      <c r="H54" s="26" t="s">
        <v>53</v>
      </c>
      <c r="I54" s="26" t="s">
        <v>189</v>
      </c>
      <c r="J54" s="26">
        <v>2.0</v>
      </c>
      <c r="K54" s="26" t="s">
        <v>754</v>
      </c>
      <c r="L54" s="26" t="s">
        <v>15</v>
      </c>
      <c r="M54" s="26" t="s">
        <v>81</v>
      </c>
      <c r="N54" s="26" t="s">
        <v>307</v>
      </c>
      <c r="O54" s="26">
        <v>3.0</v>
      </c>
    </row>
    <row r="55" ht="15.75" customHeight="1">
      <c r="A55" s="26" t="s">
        <v>756</v>
      </c>
      <c r="B55" s="26" t="s">
        <v>758</v>
      </c>
      <c r="C55" s="26" t="s">
        <v>300</v>
      </c>
      <c r="D55" s="26" t="s">
        <v>36</v>
      </c>
      <c r="E55" s="26" t="s">
        <v>759</v>
      </c>
      <c r="F55" s="26" t="s">
        <v>760</v>
      </c>
      <c r="G55" s="26" t="s">
        <v>51</v>
      </c>
      <c r="H55" s="26" t="s">
        <v>52</v>
      </c>
      <c r="I55" s="26"/>
      <c r="J55" s="26">
        <v>1.0</v>
      </c>
      <c r="K55" s="26" t="s">
        <v>763</v>
      </c>
      <c r="L55" s="26" t="s">
        <v>23</v>
      </c>
      <c r="M55" s="26" t="s">
        <v>91</v>
      </c>
      <c r="N55" s="26" t="s">
        <v>307</v>
      </c>
      <c r="O55" s="26">
        <v>3.0</v>
      </c>
    </row>
    <row r="56" ht="15.75" customHeight="1">
      <c r="A56" s="26" t="s">
        <v>764</v>
      </c>
      <c r="B56" s="26" t="s">
        <v>765</v>
      </c>
      <c r="C56" s="26" t="s">
        <v>429</v>
      </c>
      <c r="D56" s="26" t="s">
        <v>45</v>
      </c>
      <c r="E56" s="26" t="s">
        <v>767</v>
      </c>
      <c r="F56" s="26" t="s">
        <v>768</v>
      </c>
      <c r="G56" s="26" t="s">
        <v>183</v>
      </c>
      <c r="H56" s="26" t="s">
        <v>46</v>
      </c>
      <c r="I56" s="26"/>
      <c r="J56" s="26">
        <v>0.0</v>
      </c>
      <c r="K56" s="26" t="s">
        <v>770</v>
      </c>
      <c r="L56" s="26" t="s">
        <v>15</v>
      </c>
      <c r="M56" s="26" t="s">
        <v>81</v>
      </c>
      <c r="N56" s="26" t="s">
        <v>307</v>
      </c>
      <c r="O56" s="26">
        <v>2.0</v>
      </c>
    </row>
    <row r="57" ht="15.75" customHeight="1">
      <c r="A57" s="26" t="s">
        <v>772</v>
      </c>
      <c r="B57" s="26" t="s">
        <v>774</v>
      </c>
      <c r="C57" s="26" t="s">
        <v>429</v>
      </c>
      <c r="D57" s="26" t="s">
        <v>36</v>
      </c>
      <c r="E57" s="26" t="s">
        <v>775</v>
      </c>
      <c r="F57" s="26" t="s">
        <v>663</v>
      </c>
      <c r="G57" s="26" t="s">
        <v>44</v>
      </c>
      <c r="H57" s="26" t="s">
        <v>34</v>
      </c>
      <c r="I57" s="26" t="s">
        <v>47</v>
      </c>
      <c r="J57" s="26">
        <v>3.0</v>
      </c>
      <c r="K57" s="26" t="s">
        <v>777</v>
      </c>
      <c r="L57" s="26" t="s">
        <v>19</v>
      </c>
      <c r="M57" s="26" t="s">
        <v>87</v>
      </c>
      <c r="N57" s="26" t="s">
        <v>307</v>
      </c>
      <c r="O57" s="26">
        <v>2.0</v>
      </c>
    </row>
    <row r="58" ht="15.75" customHeight="1">
      <c r="A58" s="26" t="s">
        <v>779</v>
      </c>
      <c r="B58" s="26" t="s">
        <v>781</v>
      </c>
      <c r="C58" s="26" t="s">
        <v>322</v>
      </c>
      <c r="D58" s="26" t="s">
        <v>54</v>
      </c>
      <c r="E58" s="26" t="s">
        <v>782</v>
      </c>
      <c r="F58" s="26" t="s">
        <v>432</v>
      </c>
      <c r="G58" s="26" t="s">
        <v>182</v>
      </c>
      <c r="H58" s="26" t="s">
        <v>34</v>
      </c>
      <c r="I58" s="26" t="s">
        <v>217</v>
      </c>
      <c r="J58" s="26">
        <v>2.0</v>
      </c>
      <c r="K58" s="26" t="s">
        <v>784</v>
      </c>
      <c r="L58" s="26" t="s">
        <v>15</v>
      </c>
      <c r="M58" s="26" t="s">
        <v>81</v>
      </c>
      <c r="N58" s="26" t="s">
        <v>307</v>
      </c>
      <c r="O58" s="26">
        <v>3.0</v>
      </c>
    </row>
    <row r="59" ht="15.75" customHeight="1">
      <c r="A59" s="26" t="s">
        <v>785</v>
      </c>
      <c r="B59" s="26" t="s">
        <v>788</v>
      </c>
      <c r="C59" s="26" t="s">
        <v>300</v>
      </c>
      <c r="D59" s="26" t="s">
        <v>54</v>
      </c>
      <c r="E59" s="26" t="s">
        <v>789</v>
      </c>
      <c r="F59" s="26" t="s">
        <v>790</v>
      </c>
      <c r="G59" s="26" t="s">
        <v>646</v>
      </c>
      <c r="H59" s="26" t="s">
        <v>46</v>
      </c>
      <c r="I59" s="26"/>
      <c r="J59" s="26">
        <v>0.0</v>
      </c>
      <c r="K59" s="26" t="s">
        <v>793</v>
      </c>
      <c r="L59" s="26" t="s">
        <v>15</v>
      </c>
      <c r="M59" s="26" t="s">
        <v>81</v>
      </c>
      <c r="N59" s="26" t="s">
        <v>307</v>
      </c>
      <c r="O59" s="26">
        <v>3.0</v>
      </c>
    </row>
    <row r="60" ht="15.75" customHeight="1">
      <c r="A60" s="26" t="s">
        <v>794</v>
      </c>
      <c r="B60" s="26" t="s">
        <v>796</v>
      </c>
      <c r="C60" s="26" t="s">
        <v>300</v>
      </c>
      <c r="D60" s="26" t="s">
        <v>45</v>
      </c>
      <c r="E60" s="26" t="s">
        <v>798</v>
      </c>
      <c r="F60" s="26" t="s">
        <v>799</v>
      </c>
      <c r="G60" s="26" t="s">
        <v>130</v>
      </c>
      <c r="H60" s="26" t="s">
        <v>34</v>
      </c>
      <c r="I60" s="26"/>
      <c r="J60" s="26">
        <v>1.0</v>
      </c>
      <c r="K60" s="26" t="s">
        <v>800</v>
      </c>
      <c r="L60" s="26" t="s">
        <v>15</v>
      </c>
      <c r="M60" s="26" t="s">
        <v>81</v>
      </c>
      <c r="N60" s="26" t="s">
        <v>307</v>
      </c>
      <c r="O60" s="26">
        <v>3.0</v>
      </c>
    </row>
    <row r="61" ht="15.75" customHeight="1">
      <c r="A61" s="26" t="s">
        <v>801</v>
      </c>
      <c r="B61" s="26" t="s">
        <v>803</v>
      </c>
      <c r="C61" s="26" t="s">
        <v>312</v>
      </c>
      <c r="D61" s="26" t="s">
        <v>45</v>
      </c>
      <c r="E61" s="26" t="s">
        <v>805</v>
      </c>
      <c r="F61" s="26" t="s">
        <v>806</v>
      </c>
      <c r="G61" s="26" t="s">
        <v>169</v>
      </c>
      <c r="H61" s="26" t="s">
        <v>52</v>
      </c>
      <c r="I61" s="26"/>
      <c r="J61" s="26">
        <v>1.0</v>
      </c>
      <c r="K61" s="26" t="s">
        <v>807</v>
      </c>
      <c r="L61" s="26" t="s">
        <v>15</v>
      </c>
      <c r="M61" s="26" t="s">
        <v>81</v>
      </c>
      <c r="N61" s="26" t="s">
        <v>307</v>
      </c>
      <c r="O61" s="26">
        <v>3.0</v>
      </c>
    </row>
    <row r="62" ht="15.75" customHeight="1">
      <c r="A62" s="26" t="s">
        <v>811</v>
      </c>
      <c r="B62" s="26" t="s">
        <v>812</v>
      </c>
      <c r="C62" s="26" t="s">
        <v>429</v>
      </c>
      <c r="D62" s="26" t="s">
        <v>62</v>
      </c>
      <c r="E62" s="26" t="s">
        <v>813</v>
      </c>
      <c r="F62" s="26" t="s">
        <v>383</v>
      </c>
      <c r="G62" s="26" t="s">
        <v>111</v>
      </c>
      <c r="H62" s="26" t="s">
        <v>49</v>
      </c>
      <c r="I62" s="26" t="s">
        <v>261</v>
      </c>
      <c r="J62" s="26">
        <v>2.0</v>
      </c>
      <c r="K62" s="26" t="s">
        <v>816</v>
      </c>
      <c r="L62" s="26" t="s">
        <v>15</v>
      </c>
      <c r="M62" s="26" t="s">
        <v>81</v>
      </c>
      <c r="N62" s="26" t="s">
        <v>307</v>
      </c>
      <c r="O62" s="26">
        <v>3.0</v>
      </c>
    </row>
    <row r="63" ht="15.75" customHeight="1">
      <c r="A63" s="26" t="s">
        <v>818</v>
      </c>
      <c r="B63" s="26" t="s">
        <v>820</v>
      </c>
      <c r="C63" s="26" t="s">
        <v>429</v>
      </c>
      <c r="D63" s="26" t="s">
        <v>62</v>
      </c>
      <c r="E63" s="26" t="s">
        <v>821</v>
      </c>
      <c r="F63" s="26" t="s">
        <v>383</v>
      </c>
      <c r="G63" s="26" t="s">
        <v>111</v>
      </c>
      <c r="H63" s="26" t="s">
        <v>49</v>
      </c>
      <c r="I63" s="26" t="s">
        <v>261</v>
      </c>
      <c r="J63" s="26">
        <v>2.0</v>
      </c>
      <c r="K63" s="26" t="s">
        <v>136</v>
      </c>
      <c r="L63" s="26" t="s">
        <v>29</v>
      </c>
      <c r="M63" s="26" t="s">
        <v>95</v>
      </c>
      <c r="N63" s="26" t="s">
        <v>307</v>
      </c>
      <c r="O63" s="26">
        <v>3.0</v>
      </c>
    </row>
    <row r="64" ht="15.75" customHeight="1">
      <c r="A64" s="26" t="s">
        <v>823</v>
      </c>
      <c r="B64" s="26" t="s">
        <v>824</v>
      </c>
      <c r="C64" s="26" t="s">
        <v>300</v>
      </c>
      <c r="D64" s="26" t="s">
        <v>69</v>
      </c>
      <c r="E64" s="26" t="s">
        <v>826</v>
      </c>
      <c r="F64" s="26" t="s">
        <v>440</v>
      </c>
      <c r="G64" s="26" t="s">
        <v>83</v>
      </c>
      <c r="H64" s="26" t="s">
        <v>46</v>
      </c>
      <c r="I64" s="26"/>
      <c r="J64" s="26">
        <v>1.0</v>
      </c>
      <c r="K64" s="26" t="s">
        <v>358</v>
      </c>
      <c r="L64" s="26" t="s">
        <v>19</v>
      </c>
      <c r="M64" s="26" t="s">
        <v>66</v>
      </c>
      <c r="N64" s="26" t="s">
        <v>307</v>
      </c>
      <c r="O64" s="26">
        <v>3.0</v>
      </c>
    </row>
    <row r="65" ht="15.75" customHeight="1">
      <c r="A65" s="26" t="s">
        <v>829</v>
      </c>
      <c r="B65" s="26" t="s">
        <v>830</v>
      </c>
      <c r="C65" s="26" t="s">
        <v>429</v>
      </c>
      <c r="D65" s="26" t="s">
        <v>48</v>
      </c>
      <c r="E65" s="26" t="s">
        <v>831</v>
      </c>
      <c r="F65" s="26" t="s">
        <v>834</v>
      </c>
      <c r="G65" s="26" t="s">
        <v>267</v>
      </c>
      <c r="H65" s="26" t="s">
        <v>34</v>
      </c>
      <c r="I65" s="26" t="s">
        <v>329</v>
      </c>
      <c r="J65" s="26">
        <v>2.0</v>
      </c>
      <c r="K65" s="26" t="s">
        <v>836</v>
      </c>
      <c r="L65" s="26" t="s">
        <v>15</v>
      </c>
      <c r="M65" s="26" t="s">
        <v>81</v>
      </c>
      <c r="N65" s="26" t="s">
        <v>307</v>
      </c>
      <c r="O65" s="26">
        <v>3.0</v>
      </c>
    </row>
    <row r="66" ht="15.75" customHeight="1">
      <c r="A66" s="26" t="s">
        <v>838</v>
      </c>
      <c r="B66" s="26" t="s">
        <v>839</v>
      </c>
      <c r="C66" s="26" t="s">
        <v>300</v>
      </c>
      <c r="D66" s="26" t="s">
        <v>36</v>
      </c>
      <c r="E66" s="26" t="s">
        <v>842</v>
      </c>
      <c r="F66" s="26" t="s">
        <v>663</v>
      </c>
      <c r="G66" s="26" t="s">
        <v>44</v>
      </c>
      <c r="H66" s="26" t="s">
        <v>34</v>
      </c>
      <c r="I66" s="26" t="s">
        <v>108</v>
      </c>
      <c r="J66" s="26">
        <v>2.0</v>
      </c>
      <c r="K66" s="26" t="s">
        <v>136</v>
      </c>
      <c r="L66" s="26" t="s">
        <v>29</v>
      </c>
      <c r="M66" s="26" t="s">
        <v>95</v>
      </c>
      <c r="N66" s="26" t="s">
        <v>307</v>
      </c>
      <c r="O66" s="26">
        <v>3.0</v>
      </c>
    </row>
    <row r="67" ht="15.75" customHeight="1">
      <c r="A67" s="26" t="s">
        <v>845</v>
      </c>
      <c r="B67" s="26" t="s">
        <v>846</v>
      </c>
      <c r="C67" s="26" t="s">
        <v>300</v>
      </c>
      <c r="D67" s="26" t="s">
        <v>50</v>
      </c>
      <c r="E67" s="26" t="s">
        <v>649</v>
      </c>
      <c r="F67" s="26" t="s">
        <v>847</v>
      </c>
      <c r="G67" s="26" t="s">
        <v>328</v>
      </c>
      <c r="H67" s="26" t="s">
        <v>49</v>
      </c>
      <c r="I67" s="26"/>
      <c r="J67" s="26">
        <v>1.0</v>
      </c>
      <c r="K67" s="26" t="s">
        <v>650</v>
      </c>
      <c r="L67" s="26" t="s">
        <v>15</v>
      </c>
      <c r="M67" s="26" t="s">
        <v>81</v>
      </c>
      <c r="N67" s="26" t="s">
        <v>307</v>
      </c>
      <c r="O67" s="26">
        <v>3.0</v>
      </c>
    </row>
    <row r="68" ht="15.75" customHeight="1">
      <c r="A68" s="26" t="s">
        <v>850</v>
      </c>
      <c r="B68" s="26" t="s">
        <v>851</v>
      </c>
      <c r="C68" s="26" t="s">
        <v>300</v>
      </c>
      <c r="D68" s="26" t="s">
        <v>45</v>
      </c>
      <c r="E68" s="26" t="s">
        <v>853</v>
      </c>
      <c r="F68" s="26" t="s">
        <v>799</v>
      </c>
      <c r="G68" s="26" t="s">
        <v>130</v>
      </c>
      <c r="H68" s="26" t="s">
        <v>34</v>
      </c>
      <c r="I68" s="26" t="s">
        <v>82</v>
      </c>
      <c r="J68" s="26">
        <v>2.0</v>
      </c>
      <c r="K68" s="26" t="s">
        <v>854</v>
      </c>
      <c r="L68" s="26" t="s">
        <v>15</v>
      </c>
      <c r="M68" s="26" t="s">
        <v>81</v>
      </c>
      <c r="N68" s="26" t="s">
        <v>307</v>
      </c>
      <c r="O68" s="26">
        <v>2.0</v>
      </c>
    </row>
    <row r="69" ht="15.75" customHeight="1">
      <c r="A69" s="26" t="s">
        <v>857</v>
      </c>
      <c r="B69" s="26" t="s">
        <v>858</v>
      </c>
      <c r="C69" s="26" t="s">
        <v>322</v>
      </c>
      <c r="D69" s="26" t="s">
        <v>45</v>
      </c>
      <c r="E69" s="26" t="s">
        <v>859</v>
      </c>
      <c r="F69" s="26" t="s">
        <v>806</v>
      </c>
      <c r="G69" s="26" t="s">
        <v>169</v>
      </c>
      <c r="H69" s="26" t="s">
        <v>52</v>
      </c>
      <c r="I69" s="26"/>
      <c r="J69" s="26">
        <v>1.0</v>
      </c>
      <c r="K69" s="26" t="s">
        <v>861</v>
      </c>
      <c r="L69" s="26" t="s">
        <v>15</v>
      </c>
      <c r="M69" s="26" t="s">
        <v>87</v>
      </c>
      <c r="N69" s="26" t="s">
        <v>307</v>
      </c>
      <c r="O69" s="26">
        <v>2.0</v>
      </c>
    </row>
    <row r="70" ht="15.75" customHeight="1">
      <c r="A70" s="26" t="s">
        <v>863</v>
      </c>
      <c r="B70" s="26" t="s">
        <v>864</v>
      </c>
      <c r="C70" s="26" t="s">
        <v>300</v>
      </c>
      <c r="D70" s="26" t="s">
        <v>50</v>
      </c>
      <c r="E70" s="26" t="s">
        <v>867</v>
      </c>
      <c r="F70" s="26" t="s">
        <v>847</v>
      </c>
      <c r="G70" s="26" t="s">
        <v>328</v>
      </c>
      <c r="H70" s="26" t="s">
        <v>49</v>
      </c>
      <c r="I70" s="26"/>
      <c r="J70" s="26">
        <v>1.0</v>
      </c>
      <c r="K70" s="26" t="s">
        <v>136</v>
      </c>
      <c r="L70" s="26" t="s">
        <v>29</v>
      </c>
      <c r="M70" s="26" t="s">
        <v>95</v>
      </c>
      <c r="N70" s="26" t="s">
        <v>307</v>
      </c>
      <c r="O70" s="26">
        <v>2.0</v>
      </c>
    </row>
    <row r="71" ht="15.75" customHeight="1">
      <c r="A71" s="26" t="s">
        <v>869</v>
      </c>
      <c r="B71" s="26" t="s">
        <v>870</v>
      </c>
      <c r="C71" s="26" t="s">
        <v>300</v>
      </c>
      <c r="D71" s="26" t="s">
        <v>59</v>
      </c>
      <c r="E71" s="26" t="s">
        <v>871</v>
      </c>
      <c r="F71" s="26" t="s">
        <v>372</v>
      </c>
      <c r="G71" s="26" t="s">
        <v>373</v>
      </c>
      <c r="H71" s="26" t="s">
        <v>34</v>
      </c>
      <c r="I71" s="26"/>
      <c r="J71" s="26">
        <v>1.0</v>
      </c>
      <c r="K71" s="26" t="s">
        <v>874</v>
      </c>
      <c r="L71" s="26" t="s">
        <v>15</v>
      </c>
      <c r="M71" s="26" t="s">
        <v>81</v>
      </c>
      <c r="N71" s="26" t="s">
        <v>307</v>
      </c>
      <c r="O71" s="26">
        <v>2.0</v>
      </c>
    </row>
    <row r="72" ht="15.75" customHeight="1">
      <c r="A72" s="26" t="s">
        <v>875</v>
      </c>
      <c r="B72" s="26" t="s">
        <v>877</v>
      </c>
      <c r="C72" s="26" t="s">
        <v>363</v>
      </c>
      <c r="D72" s="26" t="s">
        <v>45</v>
      </c>
      <c r="E72" s="26" t="s">
        <v>879</v>
      </c>
      <c r="F72" s="26" t="s">
        <v>744</v>
      </c>
      <c r="G72" s="26" t="s">
        <v>148</v>
      </c>
      <c r="H72" s="26" t="s">
        <v>34</v>
      </c>
      <c r="I72" s="26" t="s">
        <v>130</v>
      </c>
      <c r="J72" s="26">
        <v>3.0</v>
      </c>
      <c r="K72" s="26" t="s">
        <v>305</v>
      </c>
      <c r="L72" s="26" t="s">
        <v>15</v>
      </c>
      <c r="M72" s="26" t="s">
        <v>81</v>
      </c>
      <c r="N72" s="26" t="s">
        <v>307</v>
      </c>
      <c r="O72" s="26">
        <v>2.0</v>
      </c>
    </row>
    <row r="73" ht="15.75" customHeight="1">
      <c r="A73" s="26" t="s">
        <v>882</v>
      </c>
      <c r="B73" s="26" t="s">
        <v>883</v>
      </c>
      <c r="C73" s="26" t="s">
        <v>300</v>
      </c>
      <c r="D73" s="26" t="s">
        <v>69</v>
      </c>
      <c r="E73" s="26" t="s">
        <v>886</v>
      </c>
      <c r="F73" s="26" t="s">
        <v>887</v>
      </c>
      <c r="G73" s="26" t="s">
        <v>888</v>
      </c>
      <c r="H73" s="26" t="s">
        <v>46</v>
      </c>
      <c r="I73" s="26"/>
      <c r="J73" s="26">
        <v>0.0</v>
      </c>
      <c r="K73" s="26" t="s">
        <v>136</v>
      </c>
      <c r="L73" s="26" t="s">
        <v>29</v>
      </c>
      <c r="M73" s="26" t="s">
        <v>95</v>
      </c>
      <c r="N73" s="26" t="s">
        <v>307</v>
      </c>
      <c r="O73" s="26">
        <v>2.0</v>
      </c>
    </row>
    <row r="74" ht="15.75" customHeight="1">
      <c r="A74" s="26" t="s">
        <v>890</v>
      </c>
      <c r="B74" s="26" t="s">
        <v>891</v>
      </c>
      <c r="C74" s="26" t="s">
        <v>892</v>
      </c>
      <c r="D74" s="26" t="s">
        <v>68</v>
      </c>
      <c r="E74" s="26" t="s">
        <v>893</v>
      </c>
      <c r="F74" s="26" t="s">
        <v>894</v>
      </c>
      <c r="G74" s="26" t="s">
        <v>70</v>
      </c>
      <c r="H74" s="26" t="s">
        <v>53</v>
      </c>
      <c r="I74" s="26" t="s">
        <v>895</v>
      </c>
      <c r="J74" s="26">
        <v>2.0</v>
      </c>
      <c r="K74" s="26" t="s">
        <v>338</v>
      </c>
      <c r="L74" s="26" t="s">
        <v>19</v>
      </c>
      <c r="M74" s="26" t="s">
        <v>66</v>
      </c>
      <c r="N74" s="26" t="s">
        <v>307</v>
      </c>
      <c r="O74" s="26">
        <v>2.0</v>
      </c>
    </row>
    <row r="75" ht="15.75" customHeight="1">
      <c r="A75" s="26" t="s">
        <v>898</v>
      </c>
      <c r="B75" s="26" t="s">
        <v>899</v>
      </c>
      <c r="C75" s="26" t="s">
        <v>363</v>
      </c>
      <c r="D75" s="26" t="s">
        <v>50</v>
      </c>
      <c r="E75" s="26" t="s">
        <v>900</v>
      </c>
      <c r="F75" s="26" t="s">
        <v>902</v>
      </c>
      <c r="G75" s="26" t="s">
        <v>189</v>
      </c>
      <c r="H75" s="26" t="s">
        <v>34</v>
      </c>
      <c r="I75" s="26"/>
      <c r="J75" s="26">
        <v>1.0</v>
      </c>
      <c r="K75" s="26" t="s">
        <v>136</v>
      </c>
      <c r="L75" s="26" t="s">
        <v>29</v>
      </c>
      <c r="M75" s="26" t="s">
        <v>95</v>
      </c>
      <c r="N75" s="26" t="s">
        <v>307</v>
      </c>
      <c r="O75" s="26">
        <v>2.0</v>
      </c>
    </row>
    <row r="76" ht="15.75" customHeight="1">
      <c r="A76" s="26" t="s">
        <v>905</v>
      </c>
      <c r="B76" s="26" t="s">
        <v>906</v>
      </c>
      <c r="C76" s="26" t="s">
        <v>300</v>
      </c>
      <c r="D76" s="26" t="s">
        <v>50</v>
      </c>
      <c r="E76" s="26" t="s">
        <v>907</v>
      </c>
      <c r="F76" s="26" t="s">
        <v>336</v>
      </c>
      <c r="G76" s="26" t="s">
        <v>75</v>
      </c>
      <c r="H76" s="26" t="s">
        <v>53</v>
      </c>
      <c r="I76" s="26" t="s">
        <v>189</v>
      </c>
      <c r="J76" s="26">
        <v>2.0</v>
      </c>
      <c r="K76" s="26" t="s">
        <v>136</v>
      </c>
      <c r="L76" s="26" t="s">
        <v>29</v>
      </c>
      <c r="M76" s="26" t="s">
        <v>95</v>
      </c>
      <c r="N76" s="26" t="s">
        <v>307</v>
      </c>
      <c r="O76" s="26">
        <v>2.0</v>
      </c>
    </row>
    <row r="77" ht="15.75" customHeight="1">
      <c r="A77" s="26" t="s">
        <v>911</v>
      </c>
      <c r="B77" s="26" t="s">
        <v>912</v>
      </c>
      <c r="C77" s="26" t="s">
        <v>363</v>
      </c>
      <c r="D77" s="26" t="s">
        <v>54</v>
      </c>
      <c r="E77" s="26" t="s">
        <v>914</v>
      </c>
      <c r="F77" s="26" t="s">
        <v>432</v>
      </c>
      <c r="G77" s="26" t="s">
        <v>182</v>
      </c>
      <c r="H77" s="26" t="s">
        <v>34</v>
      </c>
      <c r="I77" s="26" t="s">
        <v>217</v>
      </c>
      <c r="J77" s="26">
        <v>2.0</v>
      </c>
      <c r="K77" s="26" t="s">
        <v>793</v>
      </c>
      <c r="L77" s="26" t="s">
        <v>15</v>
      </c>
      <c r="M77" s="26" t="s">
        <v>81</v>
      </c>
      <c r="N77" s="26" t="s">
        <v>307</v>
      </c>
      <c r="O77" s="26">
        <v>2.0</v>
      </c>
    </row>
    <row r="78" ht="15.75" customHeight="1">
      <c r="A78" s="26" t="s">
        <v>916</v>
      </c>
      <c r="B78" s="26" t="s">
        <v>918</v>
      </c>
      <c r="C78" s="26" t="s">
        <v>429</v>
      </c>
      <c r="D78" s="26" t="s">
        <v>45</v>
      </c>
      <c r="E78" s="26" t="s">
        <v>919</v>
      </c>
      <c r="F78" s="26" t="s">
        <v>799</v>
      </c>
      <c r="G78" s="26" t="s">
        <v>130</v>
      </c>
      <c r="H78" s="26" t="s">
        <v>34</v>
      </c>
      <c r="I78" s="26" t="s">
        <v>140</v>
      </c>
      <c r="J78" s="26">
        <v>4.0</v>
      </c>
      <c r="K78" s="26" t="s">
        <v>922</v>
      </c>
      <c r="L78" s="26" t="s">
        <v>15</v>
      </c>
      <c r="M78" s="26" t="s">
        <v>81</v>
      </c>
      <c r="N78" s="26" t="s">
        <v>307</v>
      </c>
      <c r="O78" s="26">
        <v>2.0</v>
      </c>
    </row>
    <row r="79" ht="15.75" customHeight="1">
      <c r="A79" s="26" t="s">
        <v>924</v>
      </c>
      <c r="B79" s="26" t="s">
        <v>925</v>
      </c>
      <c r="C79" s="26" t="s">
        <v>363</v>
      </c>
      <c r="D79" s="26" t="s">
        <v>54</v>
      </c>
      <c r="E79" s="26" t="s">
        <v>927</v>
      </c>
      <c r="F79" s="26" t="s">
        <v>432</v>
      </c>
      <c r="G79" s="26" t="s">
        <v>182</v>
      </c>
      <c r="H79" s="26" t="s">
        <v>34</v>
      </c>
      <c r="I79" s="26" t="s">
        <v>217</v>
      </c>
      <c r="J79" s="26">
        <v>2.0</v>
      </c>
      <c r="K79" s="26" t="s">
        <v>929</v>
      </c>
      <c r="L79" s="26" t="s">
        <v>19</v>
      </c>
      <c r="M79" s="26" t="s">
        <v>66</v>
      </c>
      <c r="N79" s="26" t="s">
        <v>307</v>
      </c>
      <c r="O79" s="26">
        <v>3.0</v>
      </c>
    </row>
    <row r="80" ht="15.75" customHeight="1">
      <c r="A80" s="26" t="s">
        <v>932</v>
      </c>
      <c r="B80" s="26" t="s">
        <v>933</v>
      </c>
      <c r="C80" s="26" t="s">
        <v>363</v>
      </c>
      <c r="D80" s="26" t="s">
        <v>45</v>
      </c>
      <c r="E80" s="26" t="s">
        <v>936</v>
      </c>
      <c r="F80" s="26" t="s">
        <v>937</v>
      </c>
      <c r="G80" s="26" t="s">
        <v>204</v>
      </c>
      <c r="H80" s="26" t="s">
        <v>49</v>
      </c>
      <c r="I80" s="26"/>
      <c r="J80" s="26">
        <v>1.0</v>
      </c>
      <c r="K80" s="26" t="s">
        <v>939</v>
      </c>
      <c r="L80" s="26" t="s">
        <v>15</v>
      </c>
      <c r="M80" s="26" t="s">
        <v>81</v>
      </c>
      <c r="N80" s="26" t="s">
        <v>307</v>
      </c>
      <c r="O80" s="26">
        <v>2.0</v>
      </c>
    </row>
    <row r="81" ht="15.75" customHeight="1">
      <c r="A81" s="26" t="s">
        <v>942</v>
      </c>
      <c r="B81" s="26" t="s">
        <v>943</v>
      </c>
      <c r="C81" s="26" t="s">
        <v>300</v>
      </c>
      <c r="D81" s="26" t="s">
        <v>36</v>
      </c>
      <c r="E81" s="26" t="s">
        <v>945</v>
      </c>
      <c r="F81" s="26" t="s">
        <v>315</v>
      </c>
      <c r="G81" s="26" t="s">
        <v>47</v>
      </c>
      <c r="H81" s="26" t="s">
        <v>34</v>
      </c>
      <c r="I81" s="26" t="s">
        <v>98</v>
      </c>
      <c r="J81" s="26">
        <v>3.0</v>
      </c>
      <c r="K81" s="26" t="s">
        <v>948</v>
      </c>
      <c r="L81" s="26" t="s">
        <v>19</v>
      </c>
      <c r="M81" s="26" t="s">
        <v>66</v>
      </c>
      <c r="N81" s="26" t="s">
        <v>307</v>
      </c>
      <c r="O81" s="26">
        <v>2.0</v>
      </c>
    </row>
    <row r="82" ht="15.75" customHeight="1">
      <c r="A82" s="26" t="s">
        <v>951</v>
      </c>
      <c r="B82" s="26" t="s">
        <v>952</v>
      </c>
      <c r="C82" s="26" t="s">
        <v>429</v>
      </c>
      <c r="D82" s="26" t="s">
        <v>45</v>
      </c>
      <c r="E82" s="26" t="s">
        <v>954</v>
      </c>
      <c r="F82" s="26" t="s">
        <v>303</v>
      </c>
      <c r="G82" s="26" t="s">
        <v>140</v>
      </c>
      <c r="H82" s="26" t="s">
        <v>34</v>
      </c>
      <c r="I82" s="26" t="s">
        <v>143</v>
      </c>
      <c r="J82" s="26">
        <v>3.0</v>
      </c>
      <c r="K82" s="26" t="s">
        <v>956</v>
      </c>
      <c r="L82" s="26" t="s">
        <v>15</v>
      </c>
      <c r="M82" s="26" t="s">
        <v>81</v>
      </c>
      <c r="N82" s="26" t="s">
        <v>307</v>
      </c>
      <c r="O82" s="26">
        <v>2.0</v>
      </c>
    </row>
    <row r="83" ht="15.75" customHeight="1">
      <c r="A83" s="26" t="s">
        <v>959</v>
      </c>
      <c r="B83" s="26" t="s">
        <v>960</v>
      </c>
      <c r="C83" s="26" t="s">
        <v>363</v>
      </c>
      <c r="D83" s="26" t="s">
        <v>48</v>
      </c>
      <c r="E83" s="26" t="s">
        <v>962</v>
      </c>
      <c r="F83" s="26" t="s">
        <v>366</v>
      </c>
      <c r="G83" s="26" t="s">
        <v>258</v>
      </c>
      <c r="H83" s="26" t="s">
        <v>61</v>
      </c>
      <c r="I83" s="26"/>
      <c r="J83" s="26">
        <v>1.0</v>
      </c>
      <c r="K83" s="26" t="s">
        <v>965</v>
      </c>
      <c r="L83" s="26" t="s">
        <v>15</v>
      </c>
      <c r="M83" s="26" t="s">
        <v>81</v>
      </c>
      <c r="N83" s="26" t="s">
        <v>307</v>
      </c>
      <c r="O83" s="26">
        <v>2.0</v>
      </c>
    </row>
    <row r="84" ht="15.75" customHeight="1">
      <c r="A84" s="26" t="s">
        <v>967</v>
      </c>
      <c r="B84" s="26" t="s">
        <v>968</v>
      </c>
      <c r="C84" s="26" t="s">
        <v>429</v>
      </c>
      <c r="D84" s="26" t="s">
        <v>48</v>
      </c>
      <c r="E84" s="26" t="s">
        <v>972</v>
      </c>
      <c r="F84" s="26" t="s">
        <v>973</v>
      </c>
      <c r="G84" s="26" t="s">
        <v>299</v>
      </c>
      <c r="H84" s="26" t="s">
        <v>34</v>
      </c>
      <c r="I84" s="26" t="s">
        <v>248</v>
      </c>
      <c r="J84" s="26">
        <v>3.0</v>
      </c>
      <c r="K84" s="26" t="s">
        <v>976</v>
      </c>
      <c r="L84" s="26" t="s">
        <v>19</v>
      </c>
      <c r="M84" s="26" t="s">
        <v>81</v>
      </c>
      <c r="N84" s="26" t="s">
        <v>307</v>
      </c>
      <c r="O84" s="26">
        <v>2.0</v>
      </c>
    </row>
    <row r="85" ht="15.75" customHeight="1">
      <c r="A85" s="26" t="s">
        <v>977</v>
      </c>
      <c r="B85" s="26" t="s">
        <v>979</v>
      </c>
      <c r="C85" s="26" t="s">
        <v>363</v>
      </c>
      <c r="D85" s="26" t="s">
        <v>48</v>
      </c>
      <c r="E85" s="26" t="s">
        <v>981</v>
      </c>
      <c r="F85" s="26" t="s">
        <v>984</v>
      </c>
      <c r="G85" s="26" t="s">
        <v>265</v>
      </c>
      <c r="H85" s="26" t="s">
        <v>34</v>
      </c>
      <c r="I85" s="26"/>
      <c r="J85" s="26">
        <v>1.0</v>
      </c>
      <c r="K85" s="26" t="s">
        <v>987</v>
      </c>
      <c r="L85" s="26" t="s">
        <v>15</v>
      </c>
      <c r="M85" s="26" t="s">
        <v>81</v>
      </c>
      <c r="N85" s="26" t="s">
        <v>307</v>
      </c>
      <c r="O85" s="26">
        <v>3.0</v>
      </c>
    </row>
    <row r="86" ht="15.75" customHeight="1">
      <c r="A86" s="26" t="s">
        <v>990</v>
      </c>
      <c r="B86" s="26" t="s">
        <v>991</v>
      </c>
      <c r="C86" s="26" t="s">
        <v>429</v>
      </c>
      <c r="D86" s="26" t="s">
        <v>48</v>
      </c>
      <c r="E86" s="26" t="s">
        <v>993</v>
      </c>
      <c r="F86" s="26" t="s">
        <v>366</v>
      </c>
      <c r="G86" s="26" t="s">
        <v>258</v>
      </c>
      <c r="H86" s="26" t="s">
        <v>61</v>
      </c>
      <c r="I86" s="26" t="s">
        <v>313</v>
      </c>
      <c r="J86" s="26">
        <v>5.0</v>
      </c>
      <c r="K86" s="26" t="s">
        <v>996</v>
      </c>
      <c r="L86" s="26" t="s">
        <v>19</v>
      </c>
      <c r="M86" s="26" t="s">
        <v>81</v>
      </c>
      <c r="N86" s="26" t="s">
        <v>307</v>
      </c>
      <c r="O86" s="26">
        <v>2.0</v>
      </c>
    </row>
    <row r="87" ht="15.75" customHeight="1">
      <c r="A87" s="26" t="s">
        <v>998</v>
      </c>
      <c r="B87" s="26" t="s">
        <v>999</v>
      </c>
      <c r="C87" s="26" t="s">
        <v>429</v>
      </c>
      <c r="D87" s="26" t="s">
        <v>62</v>
      </c>
      <c r="E87" s="26" t="s">
        <v>974</v>
      </c>
      <c r="F87" s="26" t="s">
        <v>398</v>
      </c>
      <c r="G87" s="26" t="s">
        <v>399</v>
      </c>
      <c r="H87" s="26" t="s">
        <v>46</v>
      </c>
      <c r="I87" s="26"/>
      <c r="J87" s="26">
        <v>0.0</v>
      </c>
      <c r="K87" s="26" t="s">
        <v>975</v>
      </c>
      <c r="L87" s="26" t="s">
        <v>19</v>
      </c>
      <c r="M87" s="26" t="s">
        <v>66</v>
      </c>
      <c r="N87" s="26" t="s">
        <v>307</v>
      </c>
      <c r="O87" s="26">
        <v>2.0</v>
      </c>
    </row>
    <row r="88" ht="15.75" customHeight="1">
      <c r="A88" s="26" t="s">
        <v>1002</v>
      </c>
      <c r="B88" s="26" t="s">
        <v>1004</v>
      </c>
      <c r="C88" s="26" t="s">
        <v>429</v>
      </c>
      <c r="D88" s="26" t="s">
        <v>62</v>
      </c>
      <c r="E88" s="26" t="s">
        <v>1006</v>
      </c>
      <c r="F88" s="26" t="s">
        <v>471</v>
      </c>
      <c r="G88" s="26" t="s">
        <v>105</v>
      </c>
      <c r="H88" s="26" t="s">
        <v>46</v>
      </c>
      <c r="I88" s="26"/>
      <c r="J88" s="26">
        <v>1.0</v>
      </c>
      <c r="K88" s="26" t="s">
        <v>136</v>
      </c>
      <c r="L88" s="26" t="s">
        <v>29</v>
      </c>
      <c r="M88" s="26" t="s">
        <v>95</v>
      </c>
      <c r="N88" s="26" t="s">
        <v>307</v>
      </c>
      <c r="O88" s="26">
        <v>2.0</v>
      </c>
    </row>
    <row r="89" ht="15.75" customHeight="1">
      <c r="A89" s="26" t="s">
        <v>1011</v>
      </c>
      <c r="B89" s="26" t="s">
        <v>1012</v>
      </c>
      <c r="C89" s="26" t="s">
        <v>312</v>
      </c>
      <c r="D89" s="26" t="s">
        <v>48</v>
      </c>
      <c r="E89" s="26" t="s">
        <v>1013</v>
      </c>
      <c r="F89" s="26" t="s">
        <v>1014</v>
      </c>
      <c r="G89" s="26" t="s">
        <v>248</v>
      </c>
      <c r="H89" s="26" t="s">
        <v>46</v>
      </c>
      <c r="I89" s="26"/>
      <c r="J89" s="26">
        <v>1.0</v>
      </c>
      <c r="K89" s="26" t="s">
        <v>1017</v>
      </c>
      <c r="L89" s="26" t="s">
        <v>15</v>
      </c>
      <c r="M89" s="26" t="s">
        <v>81</v>
      </c>
      <c r="N89" s="26" t="s">
        <v>307</v>
      </c>
      <c r="O89" s="26">
        <v>2.0</v>
      </c>
    </row>
    <row r="90" ht="15.75" customHeight="1">
      <c r="A90" s="26" t="s">
        <v>1019</v>
      </c>
      <c r="B90" s="26" t="s">
        <v>1020</v>
      </c>
      <c r="C90" s="26" t="s">
        <v>312</v>
      </c>
      <c r="D90" s="26" t="s">
        <v>48</v>
      </c>
      <c r="E90" s="26" t="s">
        <v>1022</v>
      </c>
      <c r="F90" s="26" t="s">
        <v>1014</v>
      </c>
      <c r="G90" s="26" t="s">
        <v>248</v>
      </c>
      <c r="H90" s="26" t="s">
        <v>46</v>
      </c>
      <c r="I90" s="26"/>
      <c r="J90" s="26">
        <v>1.0</v>
      </c>
      <c r="K90" s="26" t="s">
        <v>136</v>
      </c>
      <c r="L90" s="26" t="s">
        <v>29</v>
      </c>
      <c r="M90" s="26" t="s">
        <v>95</v>
      </c>
      <c r="N90" s="26" t="s">
        <v>307</v>
      </c>
      <c r="O90" s="26">
        <v>2.0</v>
      </c>
    </row>
    <row r="91" ht="15.75" customHeight="1">
      <c r="A91" s="26" t="s">
        <v>1025</v>
      </c>
      <c r="B91" s="26" t="s">
        <v>1027</v>
      </c>
      <c r="C91" s="26" t="s">
        <v>429</v>
      </c>
      <c r="D91" s="26" t="s">
        <v>36</v>
      </c>
      <c r="E91" s="26" t="s">
        <v>1029</v>
      </c>
      <c r="F91" s="26" t="s">
        <v>315</v>
      </c>
      <c r="G91" s="26" t="s">
        <v>47</v>
      </c>
      <c r="H91" s="26" t="s">
        <v>34</v>
      </c>
      <c r="I91" s="26" t="s">
        <v>82</v>
      </c>
      <c r="J91" s="26">
        <v>2.0</v>
      </c>
      <c r="K91" s="26" t="s">
        <v>1032</v>
      </c>
      <c r="L91" s="26" t="s">
        <v>15</v>
      </c>
      <c r="M91" s="26" t="s">
        <v>87</v>
      </c>
      <c r="N91" s="26" t="s">
        <v>307</v>
      </c>
      <c r="O91" s="26">
        <v>3.0</v>
      </c>
    </row>
    <row r="92" ht="15.75" customHeight="1">
      <c r="A92" s="26" t="s">
        <v>1034</v>
      </c>
      <c r="B92" s="26" t="s">
        <v>1035</v>
      </c>
      <c r="C92" s="26" t="s">
        <v>363</v>
      </c>
      <c r="D92" s="26" t="s">
        <v>48</v>
      </c>
      <c r="E92" s="26" t="s">
        <v>1037</v>
      </c>
      <c r="F92" s="26" t="s">
        <v>366</v>
      </c>
      <c r="G92" s="26" t="s">
        <v>258</v>
      </c>
      <c r="H92" s="26" t="s">
        <v>61</v>
      </c>
      <c r="I92" s="26"/>
      <c r="J92" s="26">
        <v>1.0</v>
      </c>
      <c r="K92" s="26" t="s">
        <v>1038</v>
      </c>
      <c r="L92" s="26" t="s">
        <v>15</v>
      </c>
      <c r="M92" s="26" t="s">
        <v>81</v>
      </c>
      <c r="N92" s="26" t="s">
        <v>307</v>
      </c>
      <c r="O92" s="26">
        <v>3.0</v>
      </c>
    </row>
    <row r="93" ht="15.75" customHeight="1">
      <c r="A93" s="26" t="s">
        <v>1039</v>
      </c>
      <c r="B93" s="26" t="s">
        <v>1040</v>
      </c>
      <c r="C93" s="26" t="s">
        <v>429</v>
      </c>
      <c r="D93" s="26" t="s">
        <v>48</v>
      </c>
      <c r="E93" s="26" t="s">
        <v>1041</v>
      </c>
      <c r="F93" s="26" t="s">
        <v>672</v>
      </c>
      <c r="G93" s="26" t="s">
        <v>339</v>
      </c>
      <c r="H93" s="26" t="s">
        <v>49</v>
      </c>
      <c r="I93" s="26"/>
      <c r="J93" s="26">
        <v>1.0</v>
      </c>
      <c r="K93" s="26" t="s">
        <v>1043</v>
      </c>
      <c r="L93" s="26" t="s">
        <v>15</v>
      </c>
      <c r="M93" s="26" t="s">
        <v>81</v>
      </c>
      <c r="N93" s="26" t="s">
        <v>307</v>
      </c>
      <c r="O93" s="26">
        <v>3.0</v>
      </c>
    </row>
    <row r="94" ht="15.75" customHeight="1">
      <c r="A94" s="26" t="s">
        <v>1046</v>
      </c>
      <c r="B94" s="26" t="s">
        <v>1047</v>
      </c>
      <c r="C94" s="26" t="s">
        <v>312</v>
      </c>
      <c r="D94" s="26" t="s">
        <v>54</v>
      </c>
      <c r="E94" s="26" t="s">
        <v>1049</v>
      </c>
      <c r="F94" s="26" t="s">
        <v>432</v>
      </c>
      <c r="G94" s="26" t="s">
        <v>182</v>
      </c>
      <c r="H94" s="26" t="s">
        <v>34</v>
      </c>
      <c r="I94" s="26" t="s">
        <v>520</v>
      </c>
      <c r="J94" s="26">
        <v>3.0</v>
      </c>
      <c r="K94" s="26" t="s">
        <v>1050</v>
      </c>
      <c r="L94" s="26" t="s">
        <v>15</v>
      </c>
      <c r="M94" s="26" t="s">
        <v>81</v>
      </c>
      <c r="N94" s="26" t="s">
        <v>307</v>
      </c>
      <c r="O94" s="26">
        <v>3.0</v>
      </c>
    </row>
    <row r="95" ht="15.75" customHeight="1">
      <c r="A95" s="26" t="s">
        <v>1053</v>
      </c>
      <c r="B95" s="26" t="s">
        <v>1054</v>
      </c>
      <c r="C95" s="26" t="s">
        <v>300</v>
      </c>
      <c r="D95" s="26" t="s">
        <v>54</v>
      </c>
      <c r="E95" s="26" t="s">
        <v>1057</v>
      </c>
      <c r="F95" s="26" t="s">
        <v>432</v>
      </c>
      <c r="G95" s="26" t="s">
        <v>182</v>
      </c>
      <c r="H95" s="26" t="s">
        <v>34</v>
      </c>
      <c r="I95" s="26" t="s">
        <v>572</v>
      </c>
      <c r="J95" s="26">
        <v>3.0</v>
      </c>
      <c r="K95" s="26" t="s">
        <v>1059</v>
      </c>
      <c r="L95" s="26" t="s">
        <v>15</v>
      </c>
      <c r="M95" s="26" t="s">
        <v>81</v>
      </c>
      <c r="N95" s="26" t="s">
        <v>307</v>
      </c>
      <c r="O95" s="26">
        <v>3.0</v>
      </c>
    </row>
    <row r="96" ht="15.75" customHeight="1">
      <c r="A96" s="26" t="s">
        <v>1063</v>
      </c>
      <c r="B96" s="26" t="s">
        <v>1064</v>
      </c>
      <c r="C96" s="26" t="s">
        <v>300</v>
      </c>
      <c r="D96" s="26" t="s">
        <v>54</v>
      </c>
      <c r="E96" s="26" t="s">
        <v>1065</v>
      </c>
      <c r="F96" s="26" t="s">
        <v>790</v>
      </c>
      <c r="G96" s="26" t="s">
        <v>646</v>
      </c>
      <c r="H96" s="26" t="s">
        <v>46</v>
      </c>
      <c r="I96" s="26"/>
      <c r="J96" s="26">
        <v>0.0</v>
      </c>
      <c r="K96" s="26" t="s">
        <v>136</v>
      </c>
      <c r="L96" s="26" t="s">
        <v>29</v>
      </c>
      <c r="M96" s="26" t="s">
        <v>95</v>
      </c>
      <c r="N96" s="26" t="s">
        <v>307</v>
      </c>
      <c r="O96" s="26">
        <v>3.0</v>
      </c>
    </row>
    <row r="97" ht="15.75" customHeight="1">
      <c r="A97" s="26" t="s">
        <v>1072</v>
      </c>
      <c r="B97" s="26" t="s">
        <v>1074</v>
      </c>
      <c r="C97" s="26" t="s">
        <v>429</v>
      </c>
      <c r="D97" s="26" t="s">
        <v>68</v>
      </c>
      <c r="E97" s="26" t="s">
        <v>1076</v>
      </c>
      <c r="F97" s="26" t="s">
        <v>894</v>
      </c>
      <c r="G97" s="26" t="s">
        <v>70</v>
      </c>
      <c r="H97" s="26" t="s">
        <v>53</v>
      </c>
      <c r="I97" s="26" t="s">
        <v>1078</v>
      </c>
      <c r="J97" s="26">
        <v>2.0</v>
      </c>
      <c r="K97" s="26" t="s">
        <v>358</v>
      </c>
      <c r="L97" s="26" t="s">
        <v>19</v>
      </c>
      <c r="M97" s="26" t="s">
        <v>66</v>
      </c>
      <c r="N97" s="26" t="s">
        <v>307</v>
      </c>
      <c r="O97" s="26">
        <v>3.0</v>
      </c>
    </row>
    <row r="98" ht="15.75" customHeight="1">
      <c r="A98" s="26" t="s">
        <v>1082</v>
      </c>
      <c r="B98" s="26" t="s">
        <v>1083</v>
      </c>
      <c r="C98" s="26" t="s">
        <v>300</v>
      </c>
      <c r="D98" s="26" t="s">
        <v>45</v>
      </c>
      <c r="E98" s="26" t="s">
        <v>1086</v>
      </c>
      <c r="F98" s="26" t="s">
        <v>744</v>
      </c>
      <c r="G98" s="26" t="s">
        <v>148</v>
      </c>
      <c r="H98" s="26" t="s">
        <v>34</v>
      </c>
      <c r="I98" s="26" t="s">
        <v>82</v>
      </c>
      <c r="J98" s="26">
        <v>2.0</v>
      </c>
      <c r="K98" s="26" t="s">
        <v>1089</v>
      </c>
      <c r="L98" s="26" t="s">
        <v>15</v>
      </c>
      <c r="M98" s="26" t="s">
        <v>81</v>
      </c>
      <c r="N98" s="26" t="s">
        <v>307</v>
      </c>
      <c r="O98" s="26">
        <v>3.0</v>
      </c>
    </row>
    <row r="99" ht="15.75" customHeight="1">
      <c r="A99" s="26" t="s">
        <v>1091</v>
      </c>
      <c r="B99" s="26" t="s">
        <v>1092</v>
      </c>
      <c r="C99" s="26" t="s">
        <v>363</v>
      </c>
      <c r="D99" s="26" t="s">
        <v>85</v>
      </c>
      <c r="E99" s="26" t="s">
        <v>1094</v>
      </c>
      <c r="F99" s="26" t="s">
        <v>599</v>
      </c>
      <c r="G99" s="26" t="s">
        <v>600</v>
      </c>
      <c r="H99" s="26" t="s">
        <v>46</v>
      </c>
      <c r="I99" s="26"/>
      <c r="J99" s="26">
        <v>1.0</v>
      </c>
      <c r="K99" s="26" t="s">
        <v>975</v>
      </c>
      <c r="L99" s="26" t="s">
        <v>19</v>
      </c>
      <c r="M99" s="26" t="s">
        <v>66</v>
      </c>
      <c r="N99" s="26" t="s">
        <v>307</v>
      </c>
      <c r="O99" s="26">
        <v>2.0</v>
      </c>
    </row>
    <row r="100" ht="15.75" customHeight="1">
      <c r="A100" s="26" t="s">
        <v>1099</v>
      </c>
      <c r="B100" s="26" t="s">
        <v>1101</v>
      </c>
      <c r="C100" s="26" t="s">
        <v>300</v>
      </c>
      <c r="D100" s="26" t="s">
        <v>45</v>
      </c>
      <c r="E100" s="26" t="s">
        <v>1102</v>
      </c>
      <c r="F100" s="26" t="s">
        <v>303</v>
      </c>
      <c r="G100" s="26" t="s">
        <v>140</v>
      </c>
      <c r="H100" s="26" t="s">
        <v>34</v>
      </c>
      <c r="I100" s="26"/>
      <c r="J100" s="26">
        <v>1.0</v>
      </c>
      <c r="K100" s="26" t="s">
        <v>1105</v>
      </c>
      <c r="L100" s="26" t="s">
        <v>15</v>
      </c>
      <c r="M100" s="26" t="s">
        <v>81</v>
      </c>
      <c r="N100" s="26" t="s">
        <v>307</v>
      </c>
      <c r="O100" s="26">
        <v>2.0</v>
      </c>
    </row>
    <row r="101" ht="15.75" customHeight="1">
      <c r="A101" s="26" t="s">
        <v>1107</v>
      </c>
      <c r="B101" s="26" t="s">
        <v>1108</v>
      </c>
      <c r="C101" s="26" t="s">
        <v>312</v>
      </c>
      <c r="D101" s="26" t="s">
        <v>48</v>
      </c>
      <c r="E101" s="26" t="s">
        <v>1110</v>
      </c>
      <c r="F101" s="26" t="s">
        <v>366</v>
      </c>
      <c r="G101" s="26" t="s">
        <v>258</v>
      </c>
      <c r="H101" s="26" t="s">
        <v>61</v>
      </c>
      <c r="I101" s="26" t="s">
        <v>339</v>
      </c>
      <c r="J101" s="26">
        <v>3.0</v>
      </c>
      <c r="K101" s="26" t="s">
        <v>1113</v>
      </c>
      <c r="L101" s="26" t="s">
        <v>19</v>
      </c>
      <c r="M101" s="26" t="s">
        <v>81</v>
      </c>
      <c r="N101" s="26" t="s">
        <v>307</v>
      </c>
      <c r="O101" s="26">
        <v>2.0</v>
      </c>
    </row>
    <row r="102" ht="15.75" customHeight="1">
      <c r="A102" s="26" t="s">
        <v>1116</v>
      </c>
      <c r="B102" s="26" t="s">
        <v>1117</v>
      </c>
      <c r="C102" s="26" t="s">
        <v>429</v>
      </c>
      <c r="D102" s="26" t="s">
        <v>48</v>
      </c>
      <c r="E102" s="26" t="s">
        <v>1120</v>
      </c>
      <c r="F102" s="26" t="s">
        <v>590</v>
      </c>
      <c r="G102" s="26" t="s">
        <v>329</v>
      </c>
      <c r="H102" s="26" t="s">
        <v>46</v>
      </c>
      <c r="I102" s="26"/>
      <c r="J102" s="26">
        <v>1.0</v>
      </c>
      <c r="K102" s="26" t="s">
        <v>976</v>
      </c>
      <c r="L102" s="26" t="s">
        <v>15</v>
      </c>
      <c r="M102" s="26" t="s">
        <v>81</v>
      </c>
      <c r="N102" s="26" t="s">
        <v>307</v>
      </c>
      <c r="O102" s="26">
        <v>1.0</v>
      </c>
    </row>
    <row r="103" ht="15.75" customHeight="1">
      <c r="A103" s="26" t="s">
        <v>1123</v>
      </c>
      <c r="B103" s="26" t="s">
        <v>1124</v>
      </c>
      <c r="C103" s="26" t="s">
        <v>363</v>
      </c>
      <c r="D103" s="26" t="s">
        <v>59</v>
      </c>
      <c r="E103" s="26" t="s">
        <v>848</v>
      </c>
      <c r="F103" s="26" t="s">
        <v>1125</v>
      </c>
      <c r="G103" s="26" t="s">
        <v>113</v>
      </c>
      <c r="H103" s="26" t="s">
        <v>49</v>
      </c>
      <c r="I103" s="26"/>
      <c r="J103" s="26">
        <v>1.0</v>
      </c>
      <c r="K103" s="26" t="s">
        <v>849</v>
      </c>
      <c r="L103" s="26" t="s">
        <v>19</v>
      </c>
      <c r="M103" s="26" t="s">
        <v>87</v>
      </c>
      <c r="N103" s="26" t="s">
        <v>307</v>
      </c>
      <c r="O103" s="26">
        <v>1.0</v>
      </c>
    </row>
    <row r="104" ht="15.75" customHeight="1">
      <c r="A104" s="26" t="s">
        <v>1128</v>
      </c>
      <c r="B104" s="26" t="s">
        <v>1129</v>
      </c>
      <c r="C104" s="26" t="s">
        <v>300</v>
      </c>
      <c r="D104" s="26" t="s">
        <v>45</v>
      </c>
      <c r="E104" s="26" t="s">
        <v>1132</v>
      </c>
      <c r="F104" s="26" t="s">
        <v>744</v>
      </c>
      <c r="G104" s="26" t="s">
        <v>148</v>
      </c>
      <c r="H104" s="26" t="s">
        <v>34</v>
      </c>
      <c r="I104" s="26" t="s">
        <v>82</v>
      </c>
      <c r="J104" s="26">
        <v>2.0</v>
      </c>
      <c r="K104" s="26" t="s">
        <v>922</v>
      </c>
      <c r="L104" s="26" t="s">
        <v>15</v>
      </c>
      <c r="M104" s="26" t="s">
        <v>81</v>
      </c>
      <c r="N104" s="26" t="s">
        <v>307</v>
      </c>
      <c r="O104" s="26">
        <v>2.0</v>
      </c>
    </row>
    <row r="105" ht="15.75" customHeight="1">
      <c r="A105" s="26" t="s">
        <v>1137</v>
      </c>
      <c r="B105" s="26" t="s">
        <v>1138</v>
      </c>
      <c r="C105" s="26" t="s">
        <v>892</v>
      </c>
      <c r="D105" s="26" t="s">
        <v>45</v>
      </c>
      <c r="E105" s="26" t="s">
        <v>1140</v>
      </c>
      <c r="F105" s="26" t="s">
        <v>799</v>
      </c>
      <c r="G105" s="26" t="s">
        <v>130</v>
      </c>
      <c r="H105" s="26" t="s">
        <v>34</v>
      </c>
      <c r="I105" s="26" t="s">
        <v>166</v>
      </c>
      <c r="J105" s="26">
        <v>2.0</v>
      </c>
      <c r="K105" s="26" t="s">
        <v>1144</v>
      </c>
      <c r="L105" s="26" t="s">
        <v>15</v>
      </c>
      <c r="M105" s="26" t="s">
        <v>81</v>
      </c>
      <c r="N105" s="26" t="s">
        <v>307</v>
      </c>
      <c r="O105" s="26">
        <v>2.0</v>
      </c>
    </row>
    <row r="106" ht="15.75" customHeight="1">
      <c r="A106" s="26" t="s">
        <v>1146</v>
      </c>
      <c r="B106" s="26" t="s">
        <v>1147</v>
      </c>
      <c r="C106" s="26" t="s">
        <v>429</v>
      </c>
      <c r="D106" s="26" t="s">
        <v>45</v>
      </c>
      <c r="E106" s="26" t="s">
        <v>1150</v>
      </c>
      <c r="F106" s="26" t="s">
        <v>303</v>
      </c>
      <c r="G106" s="26" t="s">
        <v>140</v>
      </c>
      <c r="H106" s="26" t="s">
        <v>34</v>
      </c>
      <c r="I106" s="26" t="s">
        <v>226</v>
      </c>
      <c r="J106" s="26">
        <v>3.0</v>
      </c>
      <c r="K106" s="26" t="s">
        <v>922</v>
      </c>
      <c r="L106" s="26" t="s">
        <v>15</v>
      </c>
      <c r="M106" s="26" t="s">
        <v>81</v>
      </c>
      <c r="N106" s="26" t="s">
        <v>307</v>
      </c>
      <c r="O106" s="26">
        <v>2.0</v>
      </c>
    </row>
    <row r="107" ht="15.75" customHeight="1">
      <c r="A107" s="26" t="s">
        <v>1155</v>
      </c>
      <c r="B107" s="26" t="s">
        <v>1156</v>
      </c>
      <c r="C107" s="26" t="s">
        <v>429</v>
      </c>
      <c r="D107" s="26" t="s">
        <v>45</v>
      </c>
      <c r="E107" s="26" t="s">
        <v>1158</v>
      </c>
      <c r="F107" s="26" t="s">
        <v>768</v>
      </c>
      <c r="G107" s="26" t="s">
        <v>183</v>
      </c>
      <c r="H107" s="26" t="s">
        <v>46</v>
      </c>
      <c r="I107" s="26"/>
      <c r="J107" s="26">
        <v>0.0</v>
      </c>
      <c r="K107" s="26" t="s">
        <v>136</v>
      </c>
      <c r="L107" s="26" t="s">
        <v>29</v>
      </c>
      <c r="M107" s="26" t="s">
        <v>95</v>
      </c>
      <c r="N107" s="26" t="s">
        <v>307</v>
      </c>
      <c r="O107" s="26">
        <v>2.0</v>
      </c>
    </row>
    <row r="108" ht="15.75" customHeight="1">
      <c r="A108" s="26" t="s">
        <v>1163</v>
      </c>
      <c r="B108" s="26" t="s">
        <v>1164</v>
      </c>
      <c r="C108" s="26" t="s">
        <v>429</v>
      </c>
      <c r="D108" s="26" t="s">
        <v>50</v>
      </c>
      <c r="E108" s="26" t="s">
        <v>1167</v>
      </c>
      <c r="F108" s="26" t="s">
        <v>336</v>
      </c>
      <c r="G108" s="26" t="s">
        <v>75</v>
      </c>
      <c r="H108" s="26" t="s">
        <v>53</v>
      </c>
      <c r="I108" s="26"/>
      <c r="J108" s="26">
        <v>1.0</v>
      </c>
      <c r="K108" s="26" t="s">
        <v>338</v>
      </c>
      <c r="L108" s="26" t="s">
        <v>19</v>
      </c>
      <c r="M108" s="26" t="s">
        <v>66</v>
      </c>
      <c r="N108" s="26" t="s">
        <v>307</v>
      </c>
      <c r="O108" s="26">
        <v>2.0</v>
      </c>
    </row>
    <row r="109" ht="15.75" customHeight="1">
      <c r="A109" s="26" t="s">
        <v>1170</v>
      </c>
      <c r="B109" s="26" t="s">
        <v>1172</v>
      </c>
      <c r="C109" s="26" t="s">
        <v>363</v>
      </c>
      <c r="D109" s="26" t="s">
        <v>50</v>
      </c>
      <c r="E109" s="26" t="s">
        <v>1173</v>
      </c>
      <c r="F109" s="26" t="s">
        <v>1174</v>
      </c>
      <c r="G109" s="26" t="s">
        <v>539</v>
      </c>
      <c r="H109" s="26" t="s">
        <v>46</v>
      </c>
      <c r="I109" s="26"/>
      <c r="J109" s="26">
        <v>0.0</v>
      </c>
      <c r="K109" s="26" t="s">
        <v>136</v>
      </c>
      <c r="L109" s="26" t="s">
        <v>29</v>
      </c>
      <c r="M109" s="26" t="s">
        <v>95</v>
      </c>
      <c r="N109" s="26" t="s">
        <v>307</v>
      </c>
      <c r="O109" s="26">
        <v>2.0</v>
      </c>
    </row>
    <row r="110" ht="15.75" customHeight="1">
      <c r="A110" s="26" t="s">
        <v>1178</v>
      </c>
      <c r="B110" s="26" t="s">
        <v>1180</v>
      </c>
      <c r="C110" s="26" t="s">
        <v>363</v>
      </c>
      <c r="D110" s="26" t="s">
        <v>50</v>
      </c>
      <c r="E110" s="26" t="s">
        <v>1181</v>
      </c>
      <c r="F110" s="26" t="s">
        <v>1174</v>
      </c>
      <c r="G110" s="26" t="s">
        <v>539</v>
      </c>
      <c r="H110" s="26" t="s">
        <v>46</v>
      </c>
      <c r="I110" s="26"/>
      <c r="J110" s="26">
        <v>0.0</v>
      </c>
      <c r="K110" s="26" t="s">
        <v>136</v>
      </c>
      <c r="L110" s="26" t="s">
        <v>29</v>
      </c>
      <c r="M110" s="26" t="s">
        <v>95</v>
      </c>
      <c r="N110" s="26" t="s">
        <v>307</v>
      </c>
      <c r="O110" s="26">
        <v>2.0</v>
      </c>
    </row>
    <row r="111" ht="15.75" customHeight="1">
      <c r="A111" s="26" t="s">
        <v>1187</v>
      </c>
      <c r="B111" s="26" t="s">
        <v>1180</v>
      </c>
      <c r="C111" s="26" t="s">
        <v>363</v>
      </c>
      <c r="D111" s="26" t="s">
        <v>69</v>
      </c>
      <c r="E111" s="26" t="s">
        <v>1188</v>
      </c>
      <c r="F111" s="26" t="s">
        <v>440</v>
      </c>
      <c r="G111" s="26" t="s">
        <v>83</v>
      </c>
      <c r="H111" s="26" t="s">
        <v>46</v>
      </c>
      <c r="I111" s="26"/>
      <c r="J111" s="26">
        <v>1.0</v>
      </c>
      <c r="K111" s="26" t="s">
        <v>136</v>
      </c>
      <c r="L111" s="26" t="s">
        <v>29</v>
      </c>
      <c r="M111" s="26" t="s">
        <v>95</v>
      </c>
      <c r="N111" s="26" t="s">
        <v>307</v>
      </c>
      <c r="O111" s="26">
        <v>2.0</v>
      </c>
    </row>
    <row r="112" ht="15.75" customHeight="1">
      <c r="A112" s="26" t="s">
        <v>1187</v>
      </c>
      <c r="B112" s="26" t="s">
        <v>1180</v>
      </c>
      <c r="C112" s="26" t="s">
        <v>363</v>
      </c>
      <c r="D112" s="26" t="s">
        <v>69</v>
      </c>
      <c r="E112" s="26" t="s">
        <v>1188</v>
      </c>
      <c r="F112" s="26" t="s">
        <v>440</v>
      </c>
      <c r="G112" s="26" t="s">
        <v>83</v>
      </c>
      <c r="H112" s="26" t="s">
        <v>46</v>
      </c>
      <c r="I112" s="26"/>
      <c r="J112" s="26">
        <v>1.0</v>
      </c>
      <c r="K112" s="26" t="s">
        <v>1195</v>
      </c>
      <c r="L112" s="26" t="s">
        <v>15</v>
      </c>
      <c r="M112" s="26" t="s">
        <v>81</v>
      </c>
      <c r="N112" s="26" t="s">
        <v>307</v>
      </c>
      <c r="O112" s="26">
        <v>2.0</v>
      </c>
    </row>
    <row r="113" ht="15.75" customHeight="1">
      <c r="A113" s="26" t="s">
        <v>1197</v>
      </c>
      <c r="B113" s="26" t="s">
        <v>1199</v>
      </c>
      <c r="C113" s="26" t="s">
        <v>429</v>
      </c>
      <c r="D113" s="26" t="s">
        <v>76</v>
      </c>
      <c r="E113" s="26" t="s">
        <v>1200</v>
      </c>
      <c r="F113" s="26" t="s">
        <v>1201</v>
      </c>
      <c r="G113" s="26" t="s">
        <v>222</v>
      </c>
      <c r="H113" s="26" t="s">
        <v>34</v>
      </c>
      <c r="I113" s="26"/>
      <c r="J113" s="26">
        <v>1.0</v>
      </c>
      <c r="K113" s="26" t="s">
        <v>1204</v>
      </c>
      <c r="L113" s="26" t="s">
        <v>15</v>
      </c>
      <c r="M113" s="26" t="s">
        <v>87</v>
      </c>
      <c r="N113" s="26" t="s">
        <v>307</v>
      </c>
      <c r="O113" s="26">
        <v>2.0</v>
      </c>
    </row>
    <row r="114" ht="15.75" customHeight="1">
      <c r="A114" s="26" t="s">
        <v>1208</v>
      </c>
      <c r="B114" s="26" t="s">
        <v>1209</v>
      </c>
      <c r="C114" s="26" t="s">
        <v>429</v>
      </c>
      <c r="D114" s="26" t="s">
        <v>76</v>
      </c>
      <c r="E114" s="26" t="s">
        <v>1210</v>
      </c>
      <c r="F114" s="26" t="s">
        <v>1212</v>
      </c>
      <c r="G114" s="26" t="s">
        <v>496</v>
      </c>
      <c r="H114" s="26" t="s">
        <v>46</v>
      </c>
      <c r="I114" s="26"/>
      <c r="J114" s="26">
        <v>1.0</v>
      </c>
      <c r="K114" s="26" t="s">
        <v>1214</v>
      </c>
      <c r="L114" s="26" t="s">
        <v>29</v>
      </c>
      <c r="M114" s="26" t="s">
        <v>95</v>
      </c>
      <c r="N114" s="26" t="s">
        <v>307</v>
      </c>
      <c r="O114" s="26">
        <v>2.0</v>
      </c>
    </row>
    <row r="115" ht="15.75" customHeight="1">
      <c r="A115" s="26" t="s">
        <v>1217</v>
      </c>
      <c r="B115" s="26" t="s">
        <v>1219</v>
      </c>
      <c r="C115" s="26" t="s">
        <v>429</v>
      </c>
      <c r="D115" s="26" t="s">
        <v>48</v>
      </c>
      <c r="E115" s="26" t="s">
        <v>1222</v>
      </c>
      <c r="F115" s="26" t="s">
        <v>672</v>
      </c>
      <c r="G115" s="26" t="s">
        <v>339</v>
      </c>
      <c r="H115" s="26" t="s">
        <v>49</v>
      </c>
      <c r="I115" s="26"/>
      <c r="J115" s="26">
        <v>1.0</v>
      </c>
      <c r="K115" s="26" t="s">
        <v>1223</v>
      </c>
      <c r="L115" s="26" t="s">
        <v>15</v>
      </c>
      <c r="M115" s="26" t="s">
        <v>81</v>
      </c>
      <c r="N115" s="26" t="s">
        <v>307</v>
      </c>
      <c r="O115" s="26">
        <v>1.0</v>
      </c>
    </row>
    <row r="116" ht="15.75" customHeight="1">
      <c r="A116" s="26" t="s">
        <v>1225</v>
      </c>
      <c r="B116" s="26" t="s">
        <v>1226</v>
      </c>
      <c r="C116" s="26" t="s">
        <v>363</v>
      </c>
      <c r="D116" s="26" t="s">
        <v>36</v>
      </c>
      <c r="E116" s="26" t="s">
        <v>1228</v>
      </c>
      <c r="F116" s="26" t="s">
        <v>315</v>
      </c>
      <c r="G116" s="26" t="s">
        <v>47</v>
      </c>
      <c r="H116" s="26" t="s">
        <v>34</v>
      </c>
      <c r="I116" s="26" t="s">
        <v>104</v>
      </c>
      <c r="J116" s="26">
        <v>3.0</v>
      </c>
      <c r="K116" s="26" t="s">
        <v>136</v>
      </c>
      <c r="L116" s="26" t="s">
        <v>29</v>
      </c>
      <c r="M116" s="26" t="s">
        <v>95</v>
      </c>
      <c r="N116" s="26" t="s">
        <v>307</v>
      </c>
      <c r="O116" s="26">
        <v>1.0</v>
      </c>
    </row>
    <row r="117" ht="15.75" customHeight="1">
      <c r="A117" s="26" t="s">
        <v>1232</v>
      </c>
      <c r="B117" s="26" t="s">
        <v>1234</v>
      </c>
      <c r="C117" s="26" t="s">
        <v>363</v>
      </c>
      <c r="D117" s="26" t="s">
        <v>45</v>
      </c>
      <c r="E117" s="26" t="s">
        <v>1236</v>
      </c>
      <c r="F117" s="26" t="s">
        <v>1237</v>
      </c>
      <c r="G117" s="26" t="s">
        <v>166</v>
      </c>
      <c r="H117" s="26" t="s">
        <v>46</v>
      </c>
      <c r="I117" s="26" t="s">
        <v>143</v>
      </c>
      <c r="J117" s="26">
        <v>3.0</v>
      </c>
      <c r="K117" s="26" t="s">
        <v>1238</v>
      </c>
      <c r="L117" s="26" t="s">
        <v>19</v>
      </c>
      <c r="M117" s="26" t="s">
        <v>81</v>
      </c>
      <c r="N117" s="26" t="s">
        <v>307</v>
      </c>
      <c r="O117" s="26">
        <v>1.0</v>
      </c>
    </row>
    <row r="118" ht="15.75" customHeight="1">
      <c r="A118" s="26" t="s">
        <v>1241</v>
      </c>
      <c r="B118" s="26" t="s">
        <v>1242</v>
      </c>
      <c r="C118" s="26" t="s">
        <v>312</v>
      </c>
      <c r="D118" s="26" t="s">
        <v>62</v>
      </c>
      <c r="E118" s="26" t="s">
        <v>1244</v>
      </c>
      <c r="F118" s="26" t="s">
        <v>1245</v>
      </c>
      <c r="G118" s="26" t="s">
        <v>119</v>
      </c>
      <c r="H118" s="26" t="s">
        <v>57</v>
      </c>
      <c r="I118" s="26" t="s">
        <v>1007</v>
      </c>
      <c r="J118" s="26">
        <v>2.0</v>
      </c>
      <c r="K118" s="26" t="s">
        <v>1247</v>
      </c>
      <c r="L118" s="26" t="s">
        <v>15</v>
      </c>
      <c r="M118" s="26" t="s">
        <v>81</v>
      </c>
      <c r="N118" s="26" t="s">
        <v>307</v>
      </c>
      <c r="O118" s="26">
        <v>1.0</v>
      </c>
    </row>
    <row r="119" ht="15.75" customHeight="1">
      <c r="A119" s="26" t="s">
        <v>1250</v>
      </c>
      <c r="B119" s="26" t="s">
        <v>1251</v>
      </c>
      <c r="C119" s="26" t="s">
        <v>300</v>
      </c>
      <c r="D119" s="26" t="s">
        <v>59</v>
      </c>
      <c r="E119" s="26" t="s">
        <v>1253</v>
      </c>
      <c r="F119" s="26" t="s">
        <v>423</v>
      </c>
      <c r="G119" s="26" t="s">
        <v>117</v>
      </c>
      <c r="H119" s="26" t="s">
        <v>34</v>
      </c>
      <c r="I119" s="26" t="s">
        <v>113</v>
      </c>
      <c r="J119" s="26">
        <v>3.0</v>
      </c>
      <c r="K119" s="26" t="s">
        <v>376</v>
      </c>
      <c r="L119" s="26" t="s">
        <v>15</v>
      </c>
      <c r="M119" s="26" t="s">
        <v>87</v>
      </c>
      <c r="N119" s="26" t="s">
        <v>307</v>
      </c>
      <c r="O119" s="26">
        <v>1.0</v>
      </c>
    </row>
    <row r="120" ht="15.75" customHeight="1">
      <c r="A120" s="26" t="s">
        <v>1256</v>
      </c>
      <c r="B120" s="26" t="s">
        <v>1258</v>
      </c>
      <c r="C120" s="26" t="s">
        <v>363</v>
      </c>
      <c r="D120" s="26" t="s">
        <v>45</v>
      </c>
      <c r="E120" s="26" t="s">
        <v>319</v>
      </c>
      <c r="F120" s="26" t="s">
        <v>1237</v>
      </c>
      <c r="G120" s="26" t="s">
        <v>166</v>
      </c>
      <c r="H120" s="26" t="s">
        <v>46</v>
      </c>
      <c r="I120" s="26" t="s">
        <v>82</v>
      </c>
      <c r="J120" s="26">
        <v>2.0</v>
      </c>
      <c r="K120" s="26" t="s">
        <v>136</v>
      </c>
      <c r="L120" s="26" t="s">
        <v>29</v>
      </c>
      <c r="M120" s="26" t="s">
        <v>95</v>
      </c>
      <c r="N120" s="26" t="s">
        <v>307</v>
      </c>
      <c r="O120" s="26">
        <v>0.0</v>
      </c>
    </row>
    <row r="121" ht="15.75" customHeight="1">
      <c r="A121" s="26" t="s">
        <v>1265</v>
      </c>
      <c r="B121" s="26" t="s">
        <v>1266</v>
      </c>
      <c r="C121" s="26" t="s">
        <v>363</v>
      </c>
      <c r="D121" s="26" t="s">
        <v>79</v>
      </c>
      <c r="E121" s="26" t="s">
        <v>1268</v>
      </c>
      <c r="F121" s="26" t="s">
        <v>1269</v>
      </c>
      <c r="G121" s="26" t="s">
        <v>1271</v>
      </c>
      <c r="H121" s="26" t="s">
        <v>34</v>
      </c>
      <c r="I121" s="26"/>
      <c r="J121" s="26">
        <v>1.0</v>
      </c>
      <c r="K121" s="26" t="s">
        <v>1272</v>
      </c>
      <c r="L121" s="26" t="s">
        <v>15</v>
      </c>
      <c r="M121" s="26" t="s">
        <v>87</v>
      </c>
      <c r="N121" s="26" t="s">
        <v>307</v>
      </c>
      <c r="O121" s="26">
        <v>1.0</v>
      </c>
    </row>
    <row r="122" ht="15.75" customHeight="1">
      <c r="A122" s="26" t="s">
        <v>1273</v>
      </c>
      <c r="B122" s="26" t="s">
        <v>1274</v>
      </c>
      <c r="C122" s="26" t="s">
        <v>312</v>
      </c>
      <c r="D122" s="26" t="s">
        <v>72</v>
      </c>
      <c r="E122" s="26" t="s">
        <v>1168</v>
      </c>
      <c r="F122" s="26" t="s">
        <v>1277</v>
      </c>
      <c r="G122" s="26" t="s">
        <v>1162</v>
      </c>
      <c r="H122" s="26" t="s">
        <v>46</v>
      </c>
      <c r="I122" s="26"/>
      <c r="J122" s="26">
        <v>1.0</v>
      </c>
      <c r="K122" s="26" t="s">
        <v>136</v>
      </c>
      <c r="L122" s="26" t="s">
        <v>29</v>
      </c>
      <c r="M122" s="26" t="s">
        <v>95</v>
      </c>
      <c r="N122" s="26" t="s">
        <v>307</v>
      </c>
      <c r="O122" s="26">
        <v>0.0</v>
      </c>
    </row>
    <row r="123" ht="15.75" customHeight="1">
      <c r="A123" s="26" t="s">
        <v>1281</v>
      </c>
      <c r="B123" s="26" t="s">
        <v>1282</v>
      </c>
      <c r="C123" s="26" t="s">
        <v>429</v>
      </c>
      <c r="D123" s="26" t="s">
        <v>72</v>
      </c>
      <c r="E123" s="26" t="s">
        <v>1182</v>
      </c>
      <c r="F123" s="26" t="s">
        <v>1285</v>
      </c>
      <c r="G123" s="26" t="s">
        <v>118</v>
      </c>
      <c r="H123" s="26" t="s">
        <v>46</v>
      </c>
      <c r="I123" s="26"/>
      <c r="J123" s="26">
        <v>0.0</v>
      </c>
      <c r="K123" s="26" t="s">
        <v>1183</v>
      </c>
      <c r="L123" s="26" t="s">
        <v>19</v>
      </c>
      <c r="M123" s="26" t="s">
        <v>66</v>
      </c>
      <c r="N123" s="26" t="s">
        <v>307</v>
      </c>
      <c r="O123" s="26">
        <v>0.0</v>
      </c>
    </row>
    <row r="124" ht="15.75" customHeight="1">
      <c r="A124" s="26" t="s">
        <v>1287</v>
      </c>
      <c r="B124" s="26" t="s">
        <v>1289</v>
      </c>
      <c r="C124" s="26" t="s">
        <v>312</v>
      </c>
      <c r="D124" s="26" t="s">
        <v>36</v>
      </c>
      <c r="E124" s="26" t="s">
        <v>1290</v>
      </c>
      <c r="F124" s="26" t="s">
        <v>1292</v>
      </c>
      <c r="G124" s="26" t="s">
        <v>65</v>
      </c>
      <c r="H124" s="26" t="s">
        <v>34</v>
      </c>
      <c r="I124" s="26" t="s">
        <v>92</v>
      </c>
      <c r="J124" s="26">
        <v>2.0</v>
      </c>
      <c r="K124" s="26" t="s">
        <v>1295</v>
      </c>
      <c r="L124" s="26" t="s">
        <v>15</v>
      </c>
      <c r="M124" s="26" t="s">
        <v>81</v>
      </c>
      <c r="N124" s="26" t="s">
        <v>307</v>
      </c>
      <c r="O124" s="26">
        <v>0.0</v>
      </c>
    </row>
    <row r="125" ht="15.75" customHeight="1">
      <c r="A125" s="26" t="s">
        <v>1297</v>
      </c>
      <c r="B125" s="26" t="s">
        <v>1298</v>
      </c>
      <c r="C125" s="26" t="s">
        <v>312</v>
      </c>
      <c r="D125" s="26" t="s">
        <v>59</v>
      </c>
      <c r="E125" s="26" t="s">
        <v>876</v>
      </c>
      <c r="F125" s="26" t="s">
        <v>1301</v>
      </c>
      <c r="G125" s="26" t="s">
        <v>810</v>
      </c>
      <c r="H125" s="26" t="s">
        <v>46</v>
      </c>
      <c r="I125" s="26"/>
      <c r="J125" s="26">
        <v>0.0</v>
      </c>
      <c r="K125" s="26" t="s">
        <v>878</v>
      </c>
      <c r="L125" s="26" t="s">
        <v>15</v>
      </c>
      <c r="M125" s="26" t="s">
        <v>81</v>
      </c>
      <c r="N125" s="26" t="s">
        <v>307</v>
      </c>
      <c r="O125" s="26">
        <v>0.0</v>
      </c>
    </row>
    <row r="126" ht="15.75" customHeight="1">
      <c r="A126" s="26" t="s">
        <v>1304</v>
      </c>
      <c r="B126" s="26" t="s">
        <v>1306</v>
      </c>
      <c r="C126" s="26" t="s">
        <v>429</v>
      </c>
      <c r="D126" s="26" t="s">
        <v>50</v>
      </c>
      <c r="E126" s="26" t="s">
        <v>1308</v>
      </c>
      <c r="F126" s="26" t="s">
        <v>1309</v>
      </c>
      <c r="G126" s="26" t="s">
        <v>245</v>
      </c>
      <c r="H126" s="26" t="s">
        <v>57</v>
      </c>
      <c r="I126" s="26" t="s">
        <v>328</v>
      </c>
      <c r="J126" s="26">
        <v>3.0</v>
      </c>
      <c r="K126" s="26" t="s">
        <v>1311</v>
      </c>
      <c r="L126" s="26" t="s">
        <v>19</v>
      </c>
      <c r="M126" s="26" t="s">
        <v>87</v>
      </c>
      <c r="N126" s="26" t="s">
        <v>307</v>
      </c>
      <c r="O126" s="26">
        <v>0.0</v>
      </c>
    </row>
    <row r="127" ht="15.75" customHeight="1">
      <c r="A127" s="26" t="s">
        <v>1313</v>
      </c>
      <c r="B127" s="26" t="s">
        <v>1315</v>
      </c>
      <c r="C127" s="26" t="s">
        <v>312</v>
      </c>
      <c r="D127" s="26" t="s">
        <v>36</v>
      </c>
      <c r="E127" s="26" t="s">
        <v>1317</v>
      </c>
      <c r="F127" s="26" t="s">
        <v>315</v>
      </c>
      <c r="G127" s="26" t="s">
        <v>47</v>
      </c>
      <c r="H127" s="26" t="s">
        <v>34</v>
      </c>
      <c r="I127" s="26" t="s">
        <v>84</v>
      </c>
      <c r="J127" s="26">
        <v>3.0</v>
      </c>
      <c r="K127" s="26" t="s">
        <v>1319</v>
      </c>
      <c r="L127" s="26" t="s">
        <v>15</v>
      </c>
      <c r="M127" s="26" t="s">
        <v>81</v>
      </c>
      <c r="N127" s="26" t="s">
        <v>307</v>
      </c>
      <c r="O127" s="26">
        <v>0.0</v>
      </c>
    </row>
    <row r="128" ht="15.75" customHeight="1">
      <c r="A128" s="26" t="s">
        <v>1320</v>
      </c>
      <c r="B128" s="26" t="s">
        <v>1322</v>
      </c>
      <c r="C128" s="26" t="s">
        <v>300</v>
      </c>
      <c r="D128" s="26" t="s">
        <v>69</v>
      </c>
      <c r="E128" s="26" t="s">
        <v>1075</v>
      </c>
      <c r="F128" s="26" t="s">
        <v>1324</v>
      </c>
      <c r="G128" s="26" t="s">
        <v>1070</v>
      </c>
      <c r="H128" s="26" t="s">
        <v>34</v>
      </c>
      <c r="I128" s="26"/>
      <c r="J128" s="26">
        <v>1.0</v>
      </c>
      <c r="K128" s="26" t="s">
        <v>1327</v>
      </c>
      <c r="L128" s="26" t="s">
        <v>15</v>
      </c>
      <c r="M128" s="26" t="s">
        <v>81</v>
      </c>
      <c r="N128" s="26" t="s">
        <v>307</v>
      </c>
      <c r="O128" s="26">
        <v>1.0</v>
      </c>
    </row>
    <row r="129" ht="15.75" customHeight="1">
      <c r="A129" s="26" t="s">
        <v>1329</v>
      </c>
      <c r="B129" s="26" t="s">
        <v>1330</v>
      </c>
      <c r="C129" s="26" t="s">
        <v>429</v>
      </c>
      <c r="D129" s="26" t="s">
        <v>54</v>
      </c>
      <c r="E129" s="26" t="s">
        <v>1332</v>
      </c>
      <c r="F129" s="26" t="s">
        <v>432</v>
      </c>
      <c r="G129" s="26" t="s">
        <v>182</v>
      </c>
      <c r="H129" s="26" t="s">
        <v>34</v>
      </c>
      <c r="I129" s="26" t="s">
        <v>217</v>
      </c>
      <c r="J129" s="26">
        <v>2.0</v>
      </c>
      <c r="K129" s="26" t="s">
        <v>793</v>
      </c>
      <c r="L129" s="26" t="s">
        <v>15</v>
      </c>
      <c r="M129" s="26" t="s">
        <v>81</v>
      </c>
      <c r="N129" s="26" t="s">
        <v>307</v>
      </c>
      <c r="O129" s="26">
        <v>0.0</v>
      </c>
    </row>
    <row r="130" ht="15.75" customHeight="1">
      <c r="A130" s="26" t="s">
        <v>1337</v>
      </c>
      <c r="B130" s="26" t="s">
        <v>1339</v>
      </c>
      <c r="C130" s="26" t="s">
        <v>300</v>
      </c>
      <c r="D130" s="26" t="s">
        <v>48</v>
      </c>
      <c r="E130" s="26" t="s">
        <v>1341</v>
      </c>
      <c r="F130" s="26" t="s">
        <v>625</v>
      </c>
      <c r="G130" s="26" t="s">
        <v>313</v>
      </c>
      <c r="H130" s="26" t="s">
        <v>34</v>
      </c>
      <c r="I130" s="26" t="s">
        <v>401</v>
      </c>
      <c r="J130" s="26">
        <v>2.0</v>
      </c>
      <c r="K130" s="26" t="s">
        <v>1345</v>
      </c>
      <c r="L130" s="26" t="s">
        <v>15</v>
      </c>
      <c r="M130" s="26" t="s">
        <v>81</v>
      </c>
      <c r="N130" s="26" t="s">
        <v>307</v>
      </c>
      <c r="O130" s="26">
        <v>2.0</v>
      </c>
    </row>
    <row r="131" ht="15.75" customHeight="1">
      <c r="A131" s="26" t="s">
        <v>1346</v>
      </c>
      <c r="B131" s="26" t="s">
        <v>1347</v>
      </c>
      <c r="C131" s="26" t="s">
        <v>322</v>
      </c>
      <c r="D131" s="26" t="s">
        <v>45</v>
      </c>
      <c r="E131" s="26" t="s">
        <v>1348</v>
      </c>
      <c r="F131" s="26" t="s">
        <v>806</v>
      </c>
      <c r="G131" s="26" t="s">
        <v>169</v>
      </c>
      <c r="H131" s="26" t="s">
        <v>52</v>
      </c>
      <c r="I131" s="26"/>
      <c r="J131" s="26">
        <v>1.0</v>
      </c>
      <c r="K131" s="26" t="s">
        <v>922</v>
      </c>
      <c r="L131" s="26" t="s">
        <v>15</v>
      </c>
      <c r="M131" s="26" t="s">
        <v>81</v>
      </c>
      <c r="N131" s="26" t="s">
        <v>307</v>
      </c>
      <c r="O131" s="26">
        <v>1.0</v>
      </c>
    </row>
    <row r="132" ht="15.75" customHeight="1">
      <c r="A132" s="26" t="s">
        <v>1353</v>
      </c>
      <c r="B132" s="26" t="s">
        <v>1355</v>
      </c>
      <c r="C132" s="26" t="s">
        <v>429</v>
      </c>
      <c r="D132" s="26" t="s">
        <v>59</v>
      </c>
      <c r="E132" s="26" t="s">
        <v>844</v>
      </c>
      <c r="F132" s="26" t="s">
        <v>1125</v>
      </c>
      <c r="G132" s="26" t="s">
        <v>113</v>
      </c>
      <c r="H132" s="26" t="s">
        <v>49</v>
      </c>
      <c r="I132" s="26" t="s">
        <v>373</v>
      </c>
      <c r="J132" s="26">
        <v>2.0</v>
      </c>
      <c r="K132" s="26" t="s">
        <v>136</v>
      </c>
      <c r="L132" s="26" t="s">
        <v>29</v>
      </c>
      <c r="M132" s="26" t="s">
        <v>95</v>
      </c>
      <c r="N132" s="26" t="s">
        <v>307</v>
      </c>
      <c r="O132" s="26">
        <v>1.0</v>
      </c>
    </row>
    <row r="133" ht="15.75" customHeight="1">
      <c r="A133" s="26" t="s">
        <v>1359</v>
      </c>
      <c r="B133" s="26" t="s">
        <v>1360</v>
      </c>
      <c r="C133" s="26" t="s">
        <v>429</v>
      </c>
      <c r="D133" s="26" t="s">
        <v>59</v>
      </c>
      <c r="E133" s="26" t="s">
        <v>1361</v>
      </c>
      <c r="F133" s="26" t="s">
        <v>1125</v>
      </c>
      <c r="G133" s="26" t="s">
        <v>113</v>
      </c>
      <c r="H133" s="26" t="s">
        <v>49</v>
      </c>
      <c r="I133" s="26" t="s">
        <v>373</v>
      </c>
      <c r="J133" s="26">
        <v>2.0</v>
      </c>
      <c r="K133" s="26" t="s">
        <v>1362</v>
      </c>
      <c r="L133" s="26" t="s">
        <v>15</v>
      </c>
      <c r="M133" s="26" t="s">
        <v>81</v>
      </c>
      <c r="N133" s="26" t="s">
        <v>307</v>
      </c>
      <c r="O133" s="26">
        <v>1.0</v>
      </c>
    </row>
    <row r="134" ht="15.75" customHeight="1">
      <c r="A134" s="26" t="s">
        <v>1364</v>
      </c>
      <c r="B134" s="26" t="s">
        <v>1365</v>
      </c>
      <c r="C134" s="26" t="s">
        <v>300</v>
      </c>
      <c r="D134" s="26" t="s">
        <v>48</v>
      </c>
      <c r="E134" s="26" t="s">
        <v>1367</v>
      </c>
      <c r="F134" s="26" t="s">
        <v>973</v>
      </c>
      <c r="G134" s="26" t="s">
        <v>299</v>
      </c>
      <c r="H134" s="26" t="s">
        <v>34</v>
      </c>
      <c r="I134" s="26"/>
      <c r="J134" s="26">
        <v>1.0</v>
      </c>
      <c r="K134" s="26" t="s">
        <v>136</v>
      </c>
      <c r="L134" s="26" t="s">
        <v>29</v>
      </c>
      <c r="M134" s="26" t="s">
        <v>95</v>
      </c>
      <c r="N134" s="26" t="s">
        <v>307</v>
      </c>
      <c r="O134" s="26">
        <v>1.0</v>
      </c>
    </row>
    <row r="135" ht="15.75" customHeight="1">
      <c r="A135" s="26" t="s">
        <v>1372</v>
      </c>
      <c r="B135" s="26" t="s">
        <v>1365</v>
      </c>
      <c r="C135" s="26" t="s">
        <v>300</v>
      </c>
      <c r="D135" s="26" t="s">
        <v>48</v>
      </c>
      <c r="E135" s="26" t="s">
        <v>1375</v>
      </c>
      <c r="F135" s="26" t="s">
        <v>973</v>
      </c>
      <c r="G135" s="26" t="s">
        <v>299</v>
      </c>
      <c r="H135" s="26" t="s">
        <v>34</v>
      </c>
      <c r="I135" s="26"/>
      <c r="J135" s="26">
        <v>1.0</v>
      </c>
      <c r="K135" s="26" t="s">
        <v>1378</v>
      </c>
      <c r="L135" s="26" t="s">
        <v>15</v>
      </c>
      <c r="M135" s="26" t="s">
        <v>87</v>
      </c>
      <c r="N135" s="26" t="s">
        <v>307</v>
      </c>
      <c r="O135" s="26">
        <v>1.0</v>
      </c>
    </row>
    <row r="136" ht="15.75" customHeight="1">
      <c r="A136" s="26" t="s">
        <v>1380</v>
      </c>
      <c r="B136" s="26" t="s">
        <v>1381</v>
      </c>
      <c r="C136" s="26" t="s">
        <v>300</v>
      </c>
      <c r="D136" s="26" t="s">
        <v>54</v>
      </c>
      <c r="E136" s="26" t="s">
        <v>1383</v>
      </c>
      <c r="F136" s="26" t="s">
        <v>432</v>
      </c>
      <c r="G136" s="26" t="s">
        <v>182</v>
      </c>
      <c r="H136" s="26" t="s">
        <v>34</v>
      </c>
      <c r="I136" s="26" t="s">
        <v>520</v>
      </c>
      <c r="J136" s="26">
        <v>3.0</v>
      </c>
      <c r="K136" s="26" t="s">
        <v>793</v>
      </c>
      <c r="L136" s="26" t="s">
        <v>15</v>
      </c>
      <c r="M136" s="26" t="s">
        <v>81</v>
      </c>
      <c r="N136" s="26" t="s">
        <v>307</v>
      </c>
      <c r="O136" s="26">
        <v>1.0</v>
      </c>
    </row>
    <row r="137" ht="15.75" customHeight="1">
      <c r="A137" s="26" t="s">
        <v>1386</v>
      </c>
      <c r="B137" s="26" t="s">
        <v>1387</v>
      </c>
      <c r="C137" s="26" t="s">
        <v>363</v>
      </c>
      <c r="D137" s="26" t="s">
        <v>68</v>
      </c>
      <c r="E137" s="26" t="s">
        <v>1388</v>
      </c>
      <c r="F137" s="26" t="s">
        <v>1389</v>
      </c>
      <c r="G137" s="26" t="s">
        <v>1338</v>
      </c>
      <c r="H137" s="26" t="s">
        <v>46</v>
      </c>
      <c r="I137" s="26"/>
      <c r="J137" s="26">
        <v>1.0</v>
      </c>
      <c r="K137" s="26" t="s">
        <v>136</v>
      </c>
      <c r="L137" s="26" t="s">
        <v>29</v>
      </c>
      <c r="M137" s="26" t="s">
        <v>95</v>
      </c>
      <c r="N137" s="26" t="s">
        <v>307</v>
      </c>
      <c r="O137" s="26">
        <v>1.0</v>
      </c>
    </row>
    <row r="138" ht="15.75" customHeight="1">
      <c r="A138" s="26" t="s">
        <v>1391</v>
      </c>
      <c r="B138" s="26" t="s">
        <v>1392</v>
      </c>
      <c r="C138" s="26" t="s">
        <v>429</v>
      </c>
      <c r="D138" s="26" t="s">
        <v>72</v>
      </c>
      <c r="E138" s="26" t="s">
        <v>1393</v>
      </c>
      <c r="F138" s="26" t="s">
        <v>1394</v>
      </c>
      <c r="G138" s="26" t="s">
        <v>109</v>
      </c>
      <c r="H138" s="26" t="s">
        <v>61</v>
      </c>
      <c r="I138" s="26" t="s">
        <v>1133</v>
      </c>
      <c r="J138" s="26">
        <v>3.0</v>
      </c>
      <c r="K138" s="26" t="s">
        <v>1398</v>
      </c>
      <c r="L138" s="26" t="s">
        <v>19</v>
      </c>
      <c r="M138" s="26" t="s">
        <v>66</v>
      </c>
      <c r="N138" s="26" t="s">
        <v>307</v>
      </c>
      <c r="O138" s="26">
        <v>2.0</v>
      </c>
    </row>
    <row r="139" ht="15.75" customHeight="1">
      <c r="A139" s="26" t="s">
        <v>1399</v>
      </c>
      <c r="B139" s="26" t="s">
        <v>1400</v>
      </c>
      <c r="C139" s="26" t="s">
        <v>363</v>
      </c>
      <c r="D139" s="26" t="s">
        <v>45</v>
      </c>
      <c r="E139" s="26" t="s">
        <v>1402</v>
      </c>
      <c r="F139" s="26" t="s">
        <v>1403</v>
      </c>
      <c r="G139" s="26" t="s">
        <v>143</v>
      </c>
      <c r="H139" s="26" t="s">
        <v>46</v>
      </c>
      <c r="I139" s="26" t="s">
        <v>220</v>
      </c>
      <c r="J139" s="26">
        <v>3.0</v>
      </c>
      <c r="K139" s="26" t="s">
        <v>1407</v>
      </c>
      <c r="L139" s="26" t="s">
        <v>15</v>
      </c>
      <c r="M139" s="26" t="s">
        <v>81</v>
      </c>
      <c r="N139" s="26" t="s">
        <v>307</v>
      </c>
      <c r="O139" s="26">
        <v>1.0</v>
      </c>
    </row>
    <row r="140" ht="15.75" customHeight="1">
      <c r="A140" s="26" t="s">
        <v>1410</v>
      </c>
      <c r="B140" s="26" t="s">
        <v>1411</v>
      </c>
      <c r="C140" s="26" t="s">
        <v>363</v>
      </c>
      <c r="D140" s="26" t="s">
        <v>59</v>
      </c>
      <c r="E140" s="26" t="s">
        <v>1412</v>
      </c>
      <c r="F140" s="26" t="s">
        <v>1125</v>
      </c>
      <c r="G140" s="26" t="s">
        <v>113</v>
      </c>
      <c r="H140" s="26" t="s">
        <v>49</v>
      </c>
      <c r="I140" s="26" t="s">
        <v>373</v>
      </c>
      <c r="J140" s="26">
        <v>3.0</v>
      </c>
      <c r="K140" s="26" t="s">
        <v>1415</v>
      </c>
      <c r="L140" s="26" t="s">
        <v>15</v>
      </c>
      <c r="M140" s="26" t="s">
        <v>81</v>
      </c>
      <c r="N140" s="26" t="s">
        <v>307</v>
      </c>
      <c r="O140" s="26">
        <v>1.0</v>
      </c>
    </row>
    <row r="141" ht="15.75" customHeight="1">
      <c r="A141" s="26" t="s">
        <v>1419</v>
      </c>
      <c r="B141" s="26" t="s">
        <v>1420</v>
      </c>
      <c r="C141" s="26" t="s">
        <v>429</v>
      </c>
      <c r="D141" s="26" t="s">
        <v>69</v>
      </c>
      <c r="E141" s="26" t="s">
        <v>1033</v>
      </c>
      <c r="F141" s="26" t="s">
        <v>1422</v>
      </c>
      <c r="G141" s="26" t="s">
        <v>86</v>
      </c>
      <c r="H141" s="26" t="s">
        <v>34</v>
      </c>
      <c r="I141" s="26"/>
      <c r="J141" s="26">
        <v>1.0</v>
      </c>
      <c r="K141" s="26" t="s">
        <v>763</v>
      </c>
      <c r="L141" s="26" t="s">
        <v>23</v>
      </c>
      <c r="M141" s="26" t="s">
        <v>91</v>
      </c>
      <c r="N141" s="26" t="s">
        <v>307</v>
      </c>
      <c r="O141" s="26">
        <v>1.0</v>
      </c>
    </row>
    <row r="142" ht="15.75" customHeight="1">
      <c r="A142" s="26" t="s">
        <v>1426</v>
      </c>
      <c r="B142" s="26" t="s">
        <v>1427</v>
      </c>
      <c r="C142" s="26" t="s">
        <v>363</v>
      </c>
      <c r="D142" s="26" t="s">
        <v>45</v>
      </c>
      <c r="E142" s="26" t="s">
        <v>1430</v>
      </c>
      <c r="F142" s="26" t="s">
        <v>799</v>
      </c>
      <c r="G142" s="26" t="s">
        <v>130</v>
      </c>
      <c r="H142" s="26" t="s">
        <v>34</v>
      </c>
      <c r="I142" s="26" t="s">
        <v>1433</v>
      </c>
      <c r="J142" s="26">
        <v>3.0</v>
      </c>
      <c r="K142" s="26" t="s">
        <v>1407</v>
      </c>
      <c r="L142" s="26" t="s">
        <v>15</v>
      </c>
      <c r="M142" s="26" t="s">
        <v>81</v>
      </c>
      <c r="N142" s="26" t="s">
        <v>307</v>
      </c>
      <c r="O142" s="26">
        <v>0.0</v>
      </c>
    </row>
    <row r="143" ht="15.75" customHeight="1">
      <c r="A143" s="26" t="s">
        <v>1426</v>
      </c>
      <c r="B143" s="26" t="s">
        <v>1427</v>
      </c>
      <c r="C143" s="26" t="s">
        <v>363</v>
      </c>
      <c r="D143" s="26" t="s">
        <v>45</v>
      </c>
      <c r="E143" s="26" t="s">
        <v>1430</v>
      </c>
      <c r="F143" s="26" t="s">
        <v>799</v>
      </c>
      <c r="G143" s="26" t="s">
        <v>130</v>
      </c>
      <c r="H143" s="26" t="s">
        <v>34</v>
      </c>
      <c r="I143" s="26" t="s">
        <v>1433</v>
      </c>
      <c r="J143" s="26">
        <v>3.0</v>
      </c>
      <c r="K143" s="26" t="s">
        <v>1407</v>
      </c>
      <c r="L143" s="26" t="s">
        <v>15</v>
      </c>
      <c r="M143" s="26" t="s">
        <v>81</v>
      </c>
      <c r="N143" s="26" t="s">
        <v>307</v>
      </c>
      <c r="O143" s="26">
        <v>0.0</v>
      </c>
    </row>
    <row r="144" ht="15.75" customHeight="1">
      <c r="A144" s="26" t="s">
        <v>1444</v>
      </c>
      <c r="B144" s="26" t="s">
        <v>1445</v>
      </c>
      <c r="C144" s="26" t="s">
        <v>363</v>
      </c>
      <c r="D144" s="26" t="s">
        <v>69</v>
      </c>
      <c r="E144" s="26" t="s">
        <v>1066</v>
      </c>
      <c r="F144" s="26" t="s">
        <v>1448</v>
      </c>
      <c r="G144" s="26" t="s">
        <v>1060</v>
      </c>
      <c r="H144" s="26" t="s">
        <v>49</v>
      </c>
      <c r="I144" s="26" t="s">
        <v>197</v>
      </c>
      <c r="J144" s="26">
        <v>3.0</v>
      </c>
      <c r="K144" s="26" t="s">
        <v>1067</v>
      </c>
      <c r="L144" s="26" t="s">
        <v>19</v>
      </c>
      <c r="M144" s="26" t="s">
        <v>81</v>
      </c>
      <c r="N144" s="26" t="s">
        <v>307</v>
      </c>
      <c r="O144" s="26">
        <v>1.0</v>
      </c>
    </row>
    <row r="145" ht="15.75" customHeight="1">
      <c r="A145" s="26" t="s">
        <v>1452</v>
      </c>
      <c r="B145" s="26" t="s">
        <v>1453</v>
      </c>
      <c r="C145" s="26" t="s">
        <v>300</v>
      </c>
      <c r="D145" s="26" t="s">
        <v>59</v>
      </c>
      <c r="E145" s="26" t="s">
        <v>1454</v>
      </c>
      <c r="F145" s="26" t="s">
        <v>1125</v>
      </c>
      <c r="G145" s="26" t="s">
        <v>113</v>
      </c>
      <c r="H145" s="26" t="s">
        <v>49</v>
      </c>
      <c r="I145" s="26" t="s">
        <v>373</v>
      </c>
      <c r="J145" s="26">
        <v>2.0</v>
      </c>
      <c r="K145" s="26" t="s">
        <v>1415</v>
      </c>
      <c r="L145" s="26" t="s">
        <v>15</v>
      </c>
      <c r="M145" s="26" t="s">
        <v>81</v>
      </c>
      <c r="N145" s="26" t="s">
        <v>307</v>
      </c>
      <c r="O145" s="26">
        <v>1.0</v>
      </c>
    </row>
    <row r="146" ht="15.75" customHeight="1">
      <c r="A146" s="26" t="s">
        <v>1455</v>
      </c>
      <c r="B146" s="26" t="s">
        <v>1456</v>
      </c>
      <c r="C146" s="26" t="s">
        <v>322</v>
      </c>
      <c r="D146" s="26" t="s">
        <v>48</v>
      </c>
      <c r="E146" s="26" t="s">
        <v>1457</v>
      </c>
      <c r="F146" s="26" t="s">
        <v>834</v>
      </c>
      <c r="G146" s="26" t="s">
        <v>267</v>
      </c>
      <c r="H146" s="26" t="s">
        <v>34</v>
      </c>
      <c r="I146" s="26"/>
      <c r="J146" s="26">
        <v>1.0</v>
      </c>
      <c r="K146" s="26" t="s">
        <v>1458</v>
      </c>
      <c r="L146" s="26" t="s">
        <v>15</v>
      </c>
      <c r="M146" s="26" t="s">
        <v>81</v>
      </c>
      <c r="N146" s="26" t="s">
        <v>307</v>
      </c>
      <c r="O146" s="26">
        <v>2.0</v>
      </c>
    </row>
    <row r="147" ht="15.75" customHeight="1">
      <c r="A147" s="26" t="s">
        <v>1459</v>
      </c>
      <c r="B147" s="26" t="s">
        <v>1460</v>
      </c>
      <c r="C147" s="26" t="s">
        <v>429</v>
      </c>
      <c r="D147" s="26" t="s">
        <v>68</v>
      </c>
      <c r="E147" s="26" t="s">
        <v>1461</v>
      </c>
      <c r="F147" s="26" t="s">
        <v>894</v>
      </c>
      <c r="G147" s="26" t="s">
        <v>70</v>
      </c>
      <c r="H147" s="26" t="s">
        <v>53</v>
      </c>
      <c r="I147" s="26" t="s">
        <v>356</v>
      </c>
      <c r="J147" s="26">
        <v>2.0</v>
      </c>
      <c r="K147" s="26" t="s">
        <v>338</v>
      </c>
      <c r="L147" s="26" t="s">
        <v>19</v>
      </c>
      <c r="M147" s="26" t="s">
        <v>66</v>
      </c>
      <c r="N147" s="26" t="s">
        <v>307</v>
      </c>
      <c r="O147" s="26">
        <v>1.0</v>
      </c>
    </row>
    <row r="148" ht="15.75" customHeight="1">
      <c r="A148" s="26" t="s">
        <v>1462</v>
      </c>
      <c r="B148" s="26" t="s">
        <v>1463</v>
      </c>
      <c r="C148" s="26" t="s">
        <v>363</v>
      </c>
      <c r="D148" s="26" t="s">
        <v>68</v>
      </c>
      <c r="E148" s="26" t="s">
        <v>1464</v>
      </c>
      <c r="F148" s="26" t="s">
        <v>894</v>
      </c>
      <c r="G148" s="26" t="s">
        <v>70</v>
      </c>
      <c r="H148" s="26" t="s">
        <v>53</v>
      </c>
      <c r="I148" s="26"/>
      <c r="J148" s="26">
        <v>1.0</v>
      </c>
      <c r="K148" s="26" t="s">
        <v>1465</v>
      </c>
      <c r="L148" s="26" t="s">
        <v>19</v>
      </c>
      <c r="M148" s="26" t="s">
        <v>66</v>
      </c>
      <c r="N148" s="26" t="s">
        <v>307</v>
      </c>
      <c r="O148" s="26">
        <v>2.0</v>
      </c>
    </row>
    <row r="149" ht="15.75" customHeight="1">
      <c r="A149" s="26" t="s">
        <v>1466</v>
      </c>
      <c r="B149" s="26" t="s">
        <v>1467</v>
      </c>
      <c r="C149" s="26" t="s">
        <v>429</v>
      </c>
      <c r="D149" s="26" t="s">
        <v>69</v>
      </c>
      <c r="E149" s="26" t="s">
        <v>1468</v>
      </c>
      <c r="F149" s="26" t="s">
        <v>1422</v>
      </c>
      <c r="G149" s="26" t="s">
        <v>86</v>
      </c>
      <c r="H149" s="26" t="s">
        <v>34</v>
      </c>
      <c r="I149" s="26"/>
      <c r="J149" s="26">
        <v>1.0</v>
      </c>
      <c r="K149" s="26" t="s">
        <v>1469</v>
      </c>
      <c r="L149" s="26" t="s">
        <v>23</v>
      </c>
      <c r="M149" s="26" t="s">
        <v>94</v>
      </c>
      <c r="N149" s="26" t="s">
        <v>307</v>
      </c>
      <c r="O149" s="26">
        <v>1.0</v>
      </c>
    </row>
    <row r="150" ht="15.75" customHeight="1">
      <c r="A150" s="26" t="s">
        <v>1470</v>
      </c>
      <c r="B150" s="26" t="s">
        <v>1471</v>
      </c>
      <c r="C150" s="26" t="s">
        <v>429</v>
      </c>
      <c r="D150" s="26" t="s">
        <v>69</v>
      </c>
      <c r="E150" s="26" t="s">
        <v>1472</v>
      </c>
      <c r="F150" s="26" t="s">
        <v>1448</v>
      </c>
      <c r="G150" s="26" t="s">
        <v>1060</v>
      </c>
      <c r="H150" s="26" t="s">
        <v>49</v>
      </c>
      <c r="I150" s="26" t="s">
        <v>197</v>
      </c>
      <c r="J150" s="26">
        <v>3.0</v>
      </c>
      <c r="K150" s="26" t="s">
        <v>1067</v>
      </c>
      <c r="L150" s="26" t="s">
        <v>19</v>
      </c>
      <c r="M150" s="26" t="s">
        <v>81</v>
      </c>
      <c r="N150" s="26" t="s">
        <v>307</v>
      </c>
      <c r="O150" s="26">
        <v>1.0</v>
      </c>
    </row>
    <row r="151" ht="15.75" customHeight="1">
      <c r="A151" s="26" t="s">
        <v>1473</v>
      </c>
      <c r="B151" s="26" t="s">
        <v>1474</v>
      </c>
      <c r="C151" s="26" t="s">
        <v>363</v>
      </c>
      <c r="D151" s="26" t="s">
        <v>48</v>
      </c>
      <c r="E151" s="26" t="s">
        <v>1475</v>
      </c>
      <c r="F151" s="26" t="s">
        <v>984</v>
      </c>
      <c r="G151" s="26" t="s">
        <v>265</v>
      </c>
      <c r="H151" s="26" t="s">
        <v>34</v>
      </c>
      <c r="I151" s="26" t="s">
        <v>339</v>
      </c>
      <c r="J151" s="26">
        <v>3.0</v>
      </c>
      <c r="K151" s="26" t="s">
        <v>1476</v>
      </c>
      <c r="L151" s="26" t="s">
        <v>15</v>
      </c>
      <c r="M151" s="26" t="s">
        <v>81</v>
      </c>
      <c r="N151" s="26" t="s">
        <v>307</v>
      </c>
      <c r="O151" s="26">
        <v>3.0</v>
      </c>
    </row>
    <row r="152" ht="15.75" customHeight="1">
      <c r="A152" s="26" t="s">
        <v>1477</v>
      </c>
      <c r="B152" s="26" t="s">
        <v>1478</v>
      </c>
      <c r="C152" s="26" t="s">
        <v>363</v>
      </c>
      <c r="D152" s="26" t="s">
        <v>54</v>
      </c>
      <c r="E152" s="26" t="s">
        <v>1479</v>
      </c>
      <c r="F152" s="26" t="s">
        <v>347</v>
      </c>
      <c r="G152" s="26" t="s">
        <v>99</v>
      </c>
      <c r="H152" s="26" t="s">
        <v>49</v>
      </c>
      <c r="I152" s="26" t="s">
        <v>572</v>
      </c>
      <c r="J152" s="26">
        <v>2.0</v>
      </c>
      <c r="K152" s="26" t="s">
        <v>136</v>
      </c>
      <c r="L152" s="26" t="s">
        <v>29</v>
      </c>
      <c r="M152" s="26" t="s">
        <v>95</v>
      </c>
      <c r="N152" s="26" t="s">
        <v>307</v>
      </c>
      <c r="O152" s="26">
        <v>1.0</v>
      </c>
    </row>
    <row r="153" ht="15.75" customHeight="1">
      <c r="A153" s="26" t="s">
        <v>1480</v>
      </c>
      <c r="B153" s="26" t="s">
        <v>1481</v>
      </c>
      <c r="C153" s="26" t="s">
        <v>312</v>
      </c>
      <c r="D153" s="26" t="s">
        <v>72</v>
      </c>
      <c r="E153" s="26" t="s">
        <v>1482</v>
      </c>
      <c r="F153" s="26" t="s">
        <v>1483</v>
      </c>
      <c r="G153" s="26" t="s">
        <v>1152</v>
      </c>
      <c r="H153" s="26" t="s">
        <v>46</v>
      </c>
      <c r="I153" s="26"/>
      <c r="J153" s="26">
        <v>0.0</v>
      </c>
      <c r="K153" s="26" t="s">
        <v>136</v>
      </c>
      <c r="L153" s="26" t="s">
        <v>29</v>
      </c>
      <c r="M153" s="26" t="s">
        <v>95</v>
      </c>
      <c r="N153" s="26" t="s">
        <v>307</v>
      </c>
      <c r="O153" s="26">
        <v>2.0</v>
      </c>
    </row>
    <row r="154" ht="15.75" customHeight="1">
      <c r="A154" s="26" t="s">
        <v>1484</v>
      </c>
      <c r="B154" s="26" t="s">
        <v>1485</v>
      </c>
      <c r="C154" s="26" t="s">
        <v>312</v>
      </c>
      <c r="D154" s="26" t="s">
        <v>72</v>
      </c>
      <c r="E154" s="26" t="s">
        <v>1486</v>
      </c>
      <c r="F154" s="26" t="s">
        <v>1277</v>
      </c>
      <c r="G154" s="26" t="s">
        <v>1162</v>
      </c>
      <c r="H154" s="26" t="s">
        <v>46</v>
      </c>
      <c r="I154" s="26"/>
      <c r="J154" s="26">
        <v>1.0</v>
      </c>
      <c r="K154" s="26" t="s">
        <v>1487</v>
      </c>
      <c r="L154" s="26" t="s">
        <v>15</v>
      </c>
      <c r="M154" s="26" t="s">
        <v>81</v>
      </c>
      <c r="N154" s="26" t="s">
        <v>307</v>
      </c>
      <c r="O154" s="26">
        <v>2.0</v>
      </c>
    </row>
    <row r="155" ht="15.75" customHeight="1">
      <c r="A155" s="26" t="s">
        <v>1488</v>
      </c>
      <c r="B155" s="26" t="s">
        <v>1489</v>
      </c>
      <c r="C155" s="26" t="s">
        <v>322</v>
      </c>
      <c r="D155" s="26" t="s">
        <v>48</v>
      </c>
      <c r="E155" s="26" t="s">
        <v>1490</v>
      </c>
      <c r="F155" s="26" t="s">
        <v>625</v>
      </c>
      <c r="G155" s="26" t="s">
        <v>313</v>
      </c>
      <c r="H155" s="26" t="s">
        <v>34</v>
      </c>
      <c r="I155" s="26" t="s">
        <v>386</v>
      </c>
      <c r="J155" s="26">
        <v>2.0</v>
      </c>
      <c r="K155" s="26" t="s">
        <v>1491</v>
      </c>
      <c r="L155" s="26" t="s">
        <v>15</v>
      </c>
      <c r="M155" s="26" t="s">
        <v>81</v>
      </c>
      <c r="N155" s="26" t="s">
        <v>307</v>
      </c>
      <c r="O155" s="26">
        <v>3.0</v>
      </c>
    </row>
    <row r="156" ht="15.75" customHeight="1">
      <c r="A156" s="26" t="s">
        <v>1492</v>
      </c>
      <c r="B156" s="26" t="s">
        <v>1493</v>
      </c>
      <c r="C156" s="26" t="s">
        <v>429</v>
      </c>
      <c r="D156" s="26" t="s">
        <v>50</v>
      </c>
      <c r="E156" s="26" t="s">
        <v>1494</v>
      </c>
      <c r="F156" s="26" t="s">
        <v>336</v>
      </c>
      <c r="G156" s="26" t="s">
        <v>75</v>
      </c>
      <c r="H156" s="26" t="s">
        <v>53</v>
      </c>
      <c r="I156" s="26" t="s">
        <v>328</v>
      </c>
      <c r="J156" s="26">
        <v>2.0</v>
      </c>
      <c r="K156" s="26" t="s">
        <v>1495</v>
      </c>
      <c r="L156" s="26" t="s">
        <v>15</v>
      </c>
      <c r="M156" s="26" t="s">
        <v>81</v>
      </c>
      <c r="N156" s="26" t="s">
        <v>307</v>
      </c>
      <c r="O156" s="26">
        <v>1.0</v>
      </c>
    </row>
    <row r="157" ht="15.75" customHeight="1">
      <c r="A157" s="26" t="s">
        <v>1496</v>
      </c>
      <c r="B157" s="26" t="s">
        <v>1497</v>
      </c>
      <c r="C157" s="26" t="s">
        <v>429</v>
      </c>
      <c r="D157" s="26" t="s">
        <v>36</v>
      </c>
      <c r="E157" s="26" t="s">
        <v>1498</v>
      </c>
      <c r="F157" s="26" t="s">
        <v>315</v>
      </c>
      <c r="G157" s="26" t="s">
        <v>47</v>
      </c>
      <c r="H157" s="26" t="s">
        <v>34</v>
      </c>
      <c r="I157" s="26"/>
      <c r="J157" s="26">
        <v>1.0</v>
      </c>
      <c r="K157" s="26" t="s">
        <v>1499</v>
      </c>
      <c r="L157" s="26" t="s">
        <v>15</v>
      </c>
      <c r="M157" s="26" t="s">
        <v>81</v>
      </c>
      <c r="N157" s="26" t="s">
        <v>307</v>
      </c>
      <c r="O157" s="26">
        <v>2.0</v>
      </c>
    </row>
    <row r="158" ht="15.75" customHeight="1">
      <c r="A158" s="26" t="s">
        <v>1500</v>
      </c>
      <c r="B158" s="26" t="s">
        <v>1501</v>
      </c>
      <c r="C158" s="26" t="s">
        <v>429</v>
      </c>
      <c r="D158" s="26" t="s">
        <v>59</v>
      </c>
      <c r="E158" s="26" t="s">
        <v>1502</v>
      </c>
      <c r="F158" s="26" t="s">
        <v>372</v>
      </c>
      <c r="G158" s="26" t="s">
        <v>373</v>
      </c>
      <c r="H158" s="26" t="s">
        <v>34</v>
      </c>
      <c r="I158" s="26"/>
      <c r="J158" s="26">
        <v>1.0</v>
      </c>
      <c r="K158" s="26" t="s">
        <v>1503</v>
      </c>
      <c r="L158" s="26" t="s">
        <v>15</v>
      </c>
      <c r="M158" s="26" t="s">
        <v>81</v>
      </c>
      <c r="N158" s="26" t="s">
        <v>307</v>
      </c>
      <c r="O158" s="26">
        <v>1.0</v>
      </c>
    </row>
    <row r="159" ht="15.75" customHeight="1">
      <c r="A159" s="26" t="s">
        <v>1504</v>
      </c>
      <c r="B159" s="26" t="s">
        <v>1505</v>
      </c>
      <c r="C159" s="26" t="s">
        <v>300</v>
      </c>
      <c r="D159" s="26" t="s">
        <v>45</v>
      </c>
      <c r="E159" s="26" t="s">
        <v>1506</v>
      </c>
      <c r="F159" s="26" t="s">
        <v>303</v>
      </c>
      <c r="G159" s="26" t="s">
        <v>140</v>
      </c>
      <c r="H159" s="26" t="s">
        <v>34</v>
      </c>
      <c r="I159" s="26" t="s">
        <v>143</v>
      </c>
      <c r="J159" s="26">
        <v>3.0</v>
      </c>
      <c r="K159" s="26" t="s">
        <v>1507</v>
      </c>
      <c r="L159" s="26" t="s">
        <v>15</v>
      </c>
      <c r="M159" s="26" t="s">
        <v>81</v>
      </c>
      <c r="N159" s="26" t="s">
        <v>307</v>
      </c>
      <c r="O159" s="26">
        <v>1.0</v>
      </c>
    </row>
    <row r="160" ht="15.75" customHeight="1">
      <c r="A160" s="26" t="s">
        <v>1508</v>
      </c>
      <c r="B160" s="26" t="s">
        <v>1509</v>
      </c>
      <c r="C160" s="26" t="s">
        <v>429</v>
      </c>
      <c r="D160" s="26" t="s">
        <v>45</v>
      </c>
      <c r="E160" s="26" t="s">
        <v>1510</v>
      </c>
      <c r="F160" s="26" t="s">
        <v>806</v>
      </c>
      <c r="G160" s="26" t="s">
        <v>169</v>
      </c>
      <c r="H160" s="26" t="s">
        <v>52</v>
      </c>
      <c r="I160" s="26"/>
      <c r="J160" s="26">
        <v>1.0</v>
      </c>
      <c r="K160" s="26" t="s">
        <v>1511</v>
      </c>
      <c r="L160" s="26" t="s">
        <v>15</v>
      </c>
      <c r="M160" s="26" t="s">
        <v>81</v>
      </c>
      <c r="N160" s="26" t="s">
        <v>307</v>
      </c>
      <c r="O160" s="26">
        <v>1.0</v>
      </c>
    </row>
    <row r="161" ht="15.75" customHeight="1">
      <c r="A161" s="26" t="s">
        <v>1512</v>
      </c>
      <c r="B161" s="26" t="s">
        <v>1513</v>
      </c>
      <c r="C161" s="26" t="s">
        <v>300</v>
      </c>
      <c r="D161" s="26" t="s">
        <v>45</v>
      </c>
      <c r="E161" s="26" t="s">
        <v>1514</v>
      </c>
      <c r="F161" s="26" t="s">
        <v>1403</v>
      </c>
      <c r="G161" s="26" t="s">
        <v>143</v>
      </c>
      <c r="H161" s="26" t="s">
        <v>46</v>
      </c>
      <c r="I161" s="26"/>
      <c r="J161" s="26">
        <v>1.0</v>
      </c>
      <c r="K161" s="26" t="s">
        <v>1515</v>
      </c>
      <c r="L161" s="26" t="s">
        <v>15</v>
      </c>
      <c r="M161" s="26" t="s">
        <v>81</v>
      </c>
      <c r="N161" s="26" t="s">
        <v>307</v>
      </c>
      <c r="O161" s="26">
        <v>1.0</v>
      </c>
    </row>
    <row r="162" ht="15.75" customHeight="1">
      <c r="A162" s="26" t="s">
        <v>1516</v>
      </c>
      <c r="B162" s="26" t="s">
        <v>1517</v>
      </c>
      <c r="C162" s="26" t="s">
        <v>429</v>
      </c>
      <c r="D162" s="26" t="s">
        <v>48</v>
      </c>
      <c r="E162" s="26" t="s">
        <v>1518</v>
      </c>
      <c r="F162" s="26" t="s">
        <v>973</v>
      </c>
      <c r="G162" s="26" t="s">
        <v>299</v>
      </c>
      <c r="H162" s="26" t="s">
        <v>34</v>
      </c>
      <c r="I162" s="26" t="s">
        <v>329</v>
      </c>
      <c r="J162" s="26">
        <v>2.0</v>
      </c>
      <c r="K162" s="26" t="s">
        <v>1378</v>
      </c>
      <c r="L162" s="26" t="s">
        <v>15</v>
      </c>
      <c r="M162" s="26" t="s">
        <v>87</v>
      </c>
      <c r="N162" s="26" t="s">
        <v>307</v>
      </c>
      <c r="O162" s="26">
        <v>1.0</v>
      </c>
    </row>
    <row r="163" ht="15.75" customHeight="1">
      <c r="A163" s="26" t="s">
        <v>1519</v>
      </c>
      <c r="B163" s="26" t="s">
        <v>1520</v>
      </c>
      <c r="C163" s="26" t="s">
        <v>300</v>
      </c>
      <c r="D163" s="26" t="s">
        <v>54</v>
      </c>
      <c r="E163" s="26" t="s">
        <v>1521</v>
      </c>
      <c r="F163" s="26" t="s">
        <v>432</v>
      </c>
      <c r="G163" s="26" t="s">
        <v>182</v>
      </c>
      <c r="H163" s="26" t="s">
        <v>34</v>
      </c>
      <c r="I163" s="26" t="s">
        <v>99</v>
      </c>
      <c r="J163" s="26">
        <v>2.0</v>
      </c>
      <c r="K163" s="26" t="s">
        <v>136</v>
      </c>
      <c r="L163" s="26" t="s">
        <v>29</v>
      </c>
      <c r="M163" s="26" t="s">
        <v>95</v>
      </c>
      <c r="N163" s="26" t="s">
        <v>307</v>
      </c>
      <c r="O163" s="26">
        <v>1.0</v>
      </c>
    </row>
    <row r="164" ht="15.75" customHeight="1">
      <c r="A164" s="26" t="s">
        <v>1522</v>
      </c>
      <c r="B164" s="26" t="s">
        <v>1523</v>
      </c>
      <c r="C164" s="26" t="s">
        <v>300</v>
      </c>
      <c r="D164" s="26" t="s">
        <v>54</v>
      </c>
      <c r="E164" s="26" t="s">
        <v>1524</v>
      </c>
      <c r="F164" s="26" t="s">
        <v>432</v>
      </c>
      <c r="G164" s="26" t="s">
        <v>182</v>
      </c>
      <c r="H164" s="26" t="s">
        <v>34</v>
      </c>
      <c r="I164" s="26" t="s">
        <v>217</v>
      </c>
      <c r="J164" s="26">
        <v>2.0</v>
      </c>
      <c r="K164" s="26" t="s">
        <v>1525</v>
      </c>
      <c r="L164" s="26" t="s">
        <v>19</v>
      </c>
      <c r="M164" s="26" t="s">
        <v>66</v>
      </c>
      <c r="N164" s="26" t="s">
        <v>307</v>
      </c>
      <c r="O164" s="26">
        <v>2.0</v>
      </c>
    </row>
    <row r="165" ht="15.75" customHeight="1">
      <c r="A165" s="26" t="s">
        <v>1526</v>
      </c>
      <c r="B165" s="26" t="s">
        <v>1527</v>
      </c>
      <c r="C165" s="26" t="s">
        <v>312</v>
      </c>
      <c r="D165" s="26" t="s">
        <v>89</v>
      </c>
      <c r="E165" s="26" t="s">
        <v>1528</v>
      </c>
      <c r="F165" s="26" t="s">
        <v>614</v>
      </c>
      <c r="G165" s="26" t="s">
        <v>616</v>
      </c>
      <c r="H165" s="26" t="s">
        <v>49</v>
      </c>
      <c r="I165" s="26"/>
      <c r="J165" s="26">
        <v>1.0</v>
      </c>
      <c r="K165" s="26" t="s">
        <v>1529</v>
      </c>
      <c r="L165" s="26" t="s">
        <v>15</v>
      </c>
      <c r="M165" s="26" t="s">
        <v>81</v>
      </c>
      <c r="N165" s="26" t="s">
        <v>307</v>
      </c>
      <c r="O165" s="26">
        <v>2.0</v>
      </c>
    </row>
    <row r="166" ht="15.75" customHeight="1">
      <c r="A166" s="26" t="s">
        <v>1530</v>
      </c>
      <c r="B166" s="26" t="s">
        <v>1531</v>
      </c>
      <c r="C166" s="26" t="s">
        <v>322</v>
      </c>
      <c r="D166" s="26" t="s">
        <v>48</v>
      </c>
      <c r="E166" s="26" t="s">
        <v>457</v>
      </c>
      <c r="F166" s="26" t="s">
        <v>984</v>
      </c>
      <c r="G166" s="26" t="s">
        <v>265</v>
      </c>
      <c r="H166" s="26" t="s">
        <v>34</v>
      </c>
      <c r="I166" s="26" t="s">
        <v>313</v>
      </c>
      <c r="J166" s="26">
        <v>2.0</v>
      </c>
      <c r="K166" s="26" t="s">
        <v>458</v>
      </c>
      <c r="L166" s="26" t="s">
        <v>15</v>
      </c>
      <c r="M166" s="26" t="s">
        <v>87</v>
      </c>
      <c r="N166" s="26" t="s">
        <v>307</v>
      </c>
      <c r="O166" s="26">
        <v>2.0</v>
      </c>
    </row>
    <row r="167" ht="15.75" customHeight="1">
      <c r="A167" s="26" t="s">
        <v>1532</v>
      </c>
      <c r="B167" s="26" t="s">
        <v>1533</v>
      </c>
      <c r="C167" s="26" t="s">
        <v>429</v>
      </c>
      <c r="D167" s="26" t="s">
        <v>54</v>
      </c>
      <c r="E167" s="26" t="s">
        <v>1534</v>
      </c>
      <c r="F167" s="26" t="s">
        <v>347</v>
      </c>
      <c r="G167" s="26" t="s">
        <v>99</v>
      </c>
      <c r="H167" s="26" t="s">
        <v>49</v>
      </c>
      <c r="I167" s="26"/>
      <c r="J167" s="26">
        <v>1.0</v>
      </c>
      <c r="K167" s="26" t="s">
        <v>1535</v>
      </c>
      <c r="L167" s="26" t="s">
        <v>19</v>
      </c>
      <c r="M167" s="26" t="s">
        <v>87</v>
      </c>
      <c r="N167" s="26" t="s">
        <v>307</v>
      </c>
      <c r="O167" s="26">
        <v>2.0</v>
      </c>
    </row>
    <row r="168" ht="15.75" customHeight="1">
      <c r="A168" s="26" t="s">
        <v>1536</v>
      </c>
      <c r="B168" s="26" t="s">
        <v>1537</v>
      </c>
      <c r="C168" s="26" t="s">
        <v>363</v>
      </c>
      <c r="D168" s="26" t="s">
        <v>62</v>
      </c>
      <c r="E168" s="26" t="s">
        <v>1538</v>
      </c>
      <c r="F168" s="26" t="s">
        <v>1539</v>
      </c>
      <c r="G168" s="26" t="s">
        <v>212</v>
      </c>
      <c r="H168" s="26" t="s">
        <v>34</v>
      </c>
      <c r="I168" s="26" t="s">
        <v>107</v>
      </c>
      <c r="J168" s="26">
        <v>4.0</v>
      </c>
      <c r="K168" s="26" t="s">
        <v>1540</v>
      </c>
      <c r="L168" s="26" t="s">
        <v>19</v>
      </c>
      <c r="M168" s="26" t="s">
        <v>87</v>
      </c>
      <c r="N168" s="26" t="s">
        <v>307</v>
      </c>
      <c r="O168" s="26">
        <v>2.0</v>
      </c>
    </row>
    <row r="169" ht="15.75" customHeight="1">
      <c r="A169" s="26" t="s">
        <v>1541</v>
      </c>
      <c r="B169" s="26" t="s">
        <v>1542</v>
      </c>
      <c r="C169" s="26" t="s">
        <v>363</v>
      </c>
      <c r="D169" s="26" t="s">
        <v>62</v>
      </c>
      <c r="E169" s="26" t="s">
        <v>1003</v>
      </c>
      <c r="F169" s="26" t="s">
        <v>1543</v>
      </c>
      <c r="G169" s="26" t="s">
        <v>1001</v>
      </c>
      <c r="H169" s="26" t="s">
        <v>53</v>
      </c>
      <c r="I169" s="26"/>
      <c r="J169" s="26">
        <v>1.0</v>
      </c>
      <c r="K169" s="26" t="s">
        <v>1005</v>
      </c>
      <c r="L169" s="26" t="s">
        <v>15</v>
      </c>
      <c r="M169" s="26" t="s">
        <v>81</v>
      </c>
      <c r="N169" s="26" t="s">
        <v>307</v>
      </c>
      <c r="O169" s="26">
        <v>1.0</v>
      </c>
    </row>
    <row r="170" ht="15.75" customHeight="1">
      <c r="A170" s="26" t="s">
        <v>1544</v>
      </c>
      <c r="B170" s="26" t="s">
        <v>1545</v>
      </c>
      <c r="C170" s="26" t="s">
        <v>892</v>
      </c>
      <c r="D170" s="26" t="s">
        <v>45</v>
      </c>
      <c r="E170" s="26" t="s">
        <v>1546</v>
      </c>
      <c r="F170" s="26" t="s">
        <v>303</v>
      </c>
      <c r="G170" s="26" t="s">
        <v>140</v>
      </c>
      <c r="H170" s="26" t="s">
        <v>34</v>
      </c>
      <c r="I170" s="26" t="s">
        <v>169</v>
      </c>
      <c r="J170" s="26">
        <v>2.0</v>
      </c>
      <c r="K170" s="26" t="s">
        <v>1547</v>
      </c>
      <c r="L170" s="26" t="s">
        <v>15</v>
      </c>
      <c r="M170" s="26" t="s">
        <v>81</v>
      </c>
      <c r="N170" s="26" t="s">
        <v>307</v>
      </c>
      <c r="O170" s="26">
        <v>1.0</v>
      </c>
    </row>
    <row r="171" ht="15.75" customHeight="1">
      <c r="A171" s="26" t="s">
        <v>1548</v>
      </c>
      <c r="B171" s="26" t="s">
        <v>1549</v>
      </c>
      <c r="C171" s="26" t="s">
        <v>322</v>
      </c>
      <c r="D171" s="26" t="s">
        <v>45</v>
      </c>
      <c r="E171" s="26" t="s">
        <v>1550</v>
      </c>
      <c r="F171" s="26" t="s">
        <v>303</v>
      </c>
      <c r="G171" s="26" t="s">
        <v>140</v>
      </c>
      <c r="H171" s="26" t="s">
        <v>34</v>
      </c>
      <c r="I171" s="26" t="s">
        <v>143</v>
      </c>
      <c r="J171" s="26">
        <v>2.0</v>
      </c>
      <c r="K171" s="26" t="s">
        <v>1551</v>
      </c>
      <c r="L171" s="26" t="s">
        <v>15</v>
      </c>
      <c r="M171" s="26" t="s">
        <v>81</v>
      </c>
      <c r="N171" s="26" t="s">
        <v>307</v>
      </c>
      <c r="O171" s="26">
        <v>2.0</v>
      </c>
    </row>
    <row r="172" ht="15.75" customHeight="1">
      <c r="A172" s="26" t="s">
        <v>1552</v>
      </c>
      <c r="B172" s="26" t="s">
        <v>1553</v>
      </c>
      <c r="C172" s="26" t="s">
        <v>363</v>
      </c>
      <c r="D172" s="26" t="s">
        <v>59</v>
      </c>
      <c r="E172" s="26" t="s">
        <v>1554</v>
      </c>
      <c r="F172" s="26" t="s">
        <v>423</v>
      </c>
      <c r="G172" s="26" t="s">
        <v>117</v>
      </c>
      <c r="H172" s="26" t="s">
        <v>34</v>
      </c>
      <c r="I172" s="26" t="s">
        <v>373</v>
      </c>
      <c r="J172" s="26">
        <v>2.0</v>
      </c>
      <c r="K172" s="26" t="s">
        <v>1555</v>
      </c>
      <c r="L172" s="26" t="s">
        <v>15</v>
      </c>
      <c r="M172" s="26" t="s">
        <v>81</v>
      </c>
      <c r="N172" s="26" t="s">
        <v>307</v>
      </c>
      <c r="O172" s="26">
        <v>1.0</v>
      </c>
    </row>
    <row r="173" ht="15.75" customHeight="1">
      <c r="A173" s="26" t="s">
        <v>1556</v>
      </c>
      <c r="B173" s="26" t="s">
        <v>1557</v>
      </c>
      <c r="C173" s="26" t="s">
        <v>363</v>
      </c>
      <c r="D173" s="26" t="s">
        <v>45</v>
      </c>
      <c r="E173" s="26" t="s">
        <v>1558</v>
      </c>
      <c r="F173" s="26" t="s">
        <v>799</v>
      </c>
      <c r="G173" s="26" t="s">
        <v>130</v>
      </c>
      <c r="H173" s="26" t="s">
        <v>34</v>
      </c>
      <c r="I173" s="26" t="s">
        <v>166</v>
      </c>
      <c r="J173" s="26">
        <v>2.0</v>
      </c>
      <c r="K173" s="26" t="s">
        <v>136</v>
      </c>
      <c r="L173" s="26" t="s">
        <v>29</v>
      </c>
      <c r="M173" s="26" t="s">
        <v>95</v>
      </c>
      <c r="N173" s="26" t="s">
        <v>307</v>
      </c>
      <c r="O173" s="26">
        <v>2.0</v>
      </c>
    </row>
    <row r="174" ht="15.75" customHeight="1">
      <c r="A174" s="26" t="s">
        <v>1559</v>
      </c>
      <c r="B174" s="26" t="s">
        <v>1560</v>
      </c>
      <c r="C174" s="26" t="s">
        <v>312</v>
      </c>
      <c r="D174" s="26" t="s">
        <v>59</v>
      </c>
      <c r="E174" s="26" t="s">
        <v>1561</v>
      </c>
      <c r="F174" s="26" t="s">
        <v>1125</v>
      </c>
      <c r="G174" s="26" t="s">
        <v>113</v>
      </c>
      <c r="H174" s="26" t="s">
        <v>49</v>
      </c>
      <c r="I174" s="26" t="s">
        <v>373</v>
      </c>
      <c r="J174" s="26">
        <v>2.0</v>
      </c>
      <c r="K174" s="26" t="s">
        <v>136</v>
      </c>
      <c r="L174" s="26" t="s">
        <v>29</v>
      </c>
      <c r="M174" s="26" t="s">
        <v>95</v>
      </c>
      <c r="N174" s="26" t="s">
        <v>307</v>
      </c>
      <c r="O174" s="26">
        <v>1.0</v>
      </c>
    </row>
    <row r="175" ht="15.75" customHeight="1">
      <c r="A175" s="26" t="s">
        <v>1562</v>
      </c>
      <c r="B175" s="26" t="s">
        <v>1563</v>
      </c>
      <c r="C175" s="26" t="s">
        <v>312</v>
      </c>
      <c r="D175" s="26" t="s">
        <v>36</v>
      </c>
      <c r="E175" s="26" t="s">
        <v>1564</v>
      </c>
      <c r="F175" s="26" t="s">
        <v>315</v>
      </c>
      <c r="G175" s="26" t="s">
        <v>47</v>
      </c>
      <c r="H175" s="26" t="s">
        <v>34</v>
      </c>
      <c r="I175" s="26" t="s">
        <v>65</v>
      </c>
      <c r="J175" s="26">
        <v>5.0</v>
      </c>
      <c r="K175" s="26" t="s">
        <v>1565</v>
      </c>
      <c r="L175" s="26" t="s">
        <v>15</v>
      </c>
      <c r="M175" s="26" t="s">
        <v>81</v>
      </c>
      <c r="N175" s="26" t="s">
        <v>307</v>
      </c>
      <c r="O175" s="26">
        <v>1.0</v>
      </c>
    </row>
    <row r="176" ht="15.75" customHeight="1">
      <c r="A176" s="26" t="s">
        <v>1566</v>
      </c>
      <c r="B176" s="26" t="s">
        <v>1567</v>
      </c>
      <c r="C176" s="26" t="s">
        <v>363</v>
      </c>
      <c r="D176" s="26" t="s">
        <v>45</v>
      </c>
      <c r="E176" s="26" t="s">
        <v>1568</v>
      </c>
      <c r="F176" s="26" t="s">
        <v>799</v>
      </c>
      <c r="G176" s="26" t="s">
        <v>130</v>
      </c>
      <c r="H176" s="26" t="s">
        <v>34</v>
      </c>
      <c r="I176" s="26" t="s">
        <v>140</v>
      </c>
      <c r="J176" s="26">
        <v>3.0</v>
      </c>
      <c r="K176" s="26" t="s">
        <v>1569</v>
      </c>
      <c r="L176" s="26" t="s">
        <v>15</v>
      </c>
      <c r="M176" s="26" t="s">
        <v>81</v>
      </c>
      <c r="N176" s="26" t="s">
        <v>307</v>
      </c>
      <c r="O176" s="26">
        <v>2.0</v>
      </c>
    </row>
    <row r="177" ht="15.75" customHeight="1">
      <c r="A177" s="26" t="s">
        <v>1570</v>
      </c>
      <c r="B177" s="26" t="s">
        <v>1571</v>
      </c>
      <c r="C177" s="26" t="s">
        <v>892</v>
      </c>
      <c r="D177" s="26" t="s">
        <v>48</v>
      </c>
      <c r="E177" s="26" t="s">
        <v>507</v>
      </c>
      <c r="F177" s="26" t="s">
        <v>625</v>
      </c>
      <c r="G177" s="26" t="s">
        <v>313</v>
      </c>
      <c r="H177" s="26" t="s">
        <v>34</v>
      </c>
      <c r="I177" s="26"/>
      <c r="J177" s="26">
        <v>1.0</v>
      </c>
      <c r="K177" s="26" t="s">
        <v>509</v>
      </c>
      <c r="L177" s="26" t="s">
        <v>15</v>
      </c>
      <c r="M177" s="26" t="s">
        <v>81</v>
      </c>
      <c r="N177" s="26" t="s">
        <v>307</v>
      </c>
      <c r="O177" s="26">
        <v>1.0</v>
      </c>
    </row>
    <row r="178" ht="15.75" customHeight="1">
      <c r="A178" s="26" t="s">
        <v>1572</v>
      </c>
      <c r="B178" s="26" t="s">
        <v>1573</v>
      </c>
      <c r="C178" s="26" t="s">
        <v>300</v>
      </c>
      <c r="D178" s="26" t="s">
        <v>54</v>
      </c>
      <c r="E178" s="26" t="s">
        <v>1574</v>
      </c>
      <c r="F178" s="26" t="s">
        <v>1575</v>
      </c>
      <c r="G178" s="26" t="s">
        <v>572</v>
      </c>
      <c r="H178" s="26" t="s">
        <v>46</v>
      </c>
      <c r="I178" s="26" t="s">
        <v>217</v>
      </c>
      <c r="J178" s="26">
        <v>2.0</v>
      </c>
      <c r="K178" s="26" t="s">
        <v>1576</v>
      </c>
      <c r="L178" s="26" t="s">
        <v>15</v>
      </c>
      <c r="M178" s="26" t="s">
        <v>81</v>
      </c>
      <c r="N178" s="26" t="s">
        <v>307</v>
      </c>
      <c r="O178" s="26">
        <v>2.0</v>
      </c>
    </row>
    <row r="179" ht="15.75" customHeight="1">
      <c r="A179" s="26" t="s">
        <v>1577</v>
      </c>
      <c r="B179" s="26" t="s">
        <v>1578</v>
      </c>
      <c r="C179" s="26" t="s">
        <v>363</v>
      </c>
      <c r="D179" s="26" t="s">
        <v>50</v>
      </c>
      <c r="E179" s="26" t="s">
        <v>1579</v>
      </c>
      <c r="F179" s="26" t="s">
        <v>336</v>
      </c>
      <c r="G179" s="26" t="s">
        <v>75</v>
      </c>
      <c r="H179" s="26" t="s">
        <v>53</v>
      </c>
      <c r="I179" s="26"/>
      <c r="J179" s="26">
        <v>1.0</v>
      </c>
      <c r="K179" s="26" t="s">
        <v>136</v>
      </c>
      <c r="L179" s="26" t="s">
        <v>29</v>
      </c>
      <c r="M179" s="26" t="s">
        <v>95</v>
      </c>
      <c r="N179" s="26" t="s">
        <v>307</v>
      </c>
      <c r="O179" s="26">
        <v>2.0</v>
      </c>
    </row>
    <row r="180" ht="15.75" customHeight="1">
      <c r="A180" s="26" t="s">
        <v>1580</v>
      </c>
      <c r="B180" s="26" t="s">
        <v>1581</v>
      </c>
      <c r="C180" s="26" t="s">
        <v>312</v>
      </c>
      <c r="D180" s="26" t="s">
        <v>36</v>
      </c>
      <c r="E180" s="26" t="s">
        <v>1582</v>
      </c>
      <c r="F180" s="26" t="s">
        <v>1583</v>
      </c>
      <c r="G180" s="26" t="s">
        <v>73</v>
      </c>
      <c r="H180" s="26" t="s">
        <v>46</v>
      </c>
      <c r="I180" s="26"/>
      <c r="J180" s="26">
        <v>1.0</v>
      </c>
      <c r="K180" s="26" t="s">
        <v>136</v>
      </c>
      <c r="L180" s="26" t="s">
        <v>29</v>
      </c>
      <c r="M180" s="26" t="s">
        <v>95</v>
      </c>
      <c r="N180" s="26" t="s">
        <v>307</v>
      </c>
      <c r="O180" s="26">
        <v>2.0</v>
      </c>
    </row>
    <row r="181" ht="15.75" customHeight="1">
      <c r="A181" s="26" t="s">
        <v>1584</v>
      </c>
      <c r="B181" s="26" t="s">
        <v>1585</v>
      </c>
      <c r="C181" s="26" t="s">
        <v>300</v>
      </c>
      <c r="D181" s="26" t="s">
        <v>45</v>
      </c>
      <c r="E181" s="26" t="s">
        <v>1586</v>
      </c>
      <c r="F181" s="26" t="s">
        <v>303</v>
      </c>
      <c r="G181" s="26" t="s">
        <v>140</v>
      </c>
      <c r="H181" s="26" t="s">
        <v>34</v>
      </c>
      <c r="I181" s="26" t="s">
        <v>169</v>
      </c>
      <c r="J181" s="26">
        <v>2.0</v>
      </c>
      <c r="K181" s="26" t="s">
        <v>1587</v>
      </c>
      <c r="L181" s="26" t="s">
        <v>15</v>
      </c>
      <c r="M181" s="26" t="s">
        <v>81</v>
      </c>
      <c r="N181" s="26" t="s">
        <v>307</v>
      </c>
      <c r="O181" s="26">
        <v>2.0</v>
      </c>
    </row>
    <row r="182" ht="15.75" customHeight="1">
      <c r="A182" s="26" t="s">
        <v>1588</v>
      </c>
      <c r="B182" s="26" t="s">
        <v>1589</v>
      </c>
      <c r="C182" s="26" t="s">
        <v>300</v>
      </c>
      <c r="D182" s="26" t="s">
        <v>45</v>
      </c>
      <c r="E182" s="26" t="s">
        <v>1590</v>
      </c>
      <c r="F182" s="26" t="s">
        <v>799</v>
      </c>
      <c r="G182" s="26" t="s">
        <v>130</v>
      </c>
      <c r="H182" s="26" t="s">
        <v>34</v>
      </c>
      <c r="I182" s="26" t="s">
        <v>82</v>
      </c>
      <c r="J182" s="26">
        <v>2.0</v>
      </c>
      <c r="K182" s="26" t="s">
        <v>1591</v>
      </c>
      <c r="L182" s="26" t="s">
        <v>15</v>
      </c>
      <c r="M182" s="26" t="s">
        <v>81</v>
      </c>
      <c r="N182" s="26" t="s">
        <v>307</v>
      </c>
      <c r="O182" s="26">
        <v>1.0</v>
      </c>
    </row>
    <row r="183" ht="15.75" customHeight="1">
      <c r="A183" s="26" t="s">
        <v>1592</v>
      </c>
      <c r="B183" s="26" t="s">
        <v>1593</v>
      </c>
      <c r="C183" s="26" t="s">
        <v>322</v>
      </c>
      <c r="D183" s="26" t="s">
        <v>59</v>
      </c>
      <c r="E183" s="26" t="s">
        <v>1594</v>
      </c>
      <c r="F183" s="26" t="s">
        <v>1125</v>
      </c>
      <c r="G183" s="26" t="s">
        <v>113</v>
      </c>
      <c r="H183" s="26" t="s">
        <v>49</v>
      </c>
      <c r="I183" s="26" t="s">
        <v>1595</v>
      </c>
      <c r="J183" s="26">
        <v>2.0</v>
      </c>
      <c r="K183" s="26" t="s">
        <v>136</v>
      </c>
      <c r="L183" s="26" t="s">
        <v>29</v>
      </c>
      <c r="M183" s="26" t="s">
        <v>95</v>
      </c>
      <c r="N183" s="26" t="s">
        <v>307</v>
      </c>
      <c r="O183" s="26">
        <v>2.0</v>
      </c>
    </row>
    <row r="184" ht="15.75" customHeight="1">
      <c r="A184" s="26" t="s">
        <v>1596</v>
      </c>
      <c r="B184" s="26" t="s">
        <v>1597</v>
      </c>
      <c r="C184" s="26" t="s">
        <v>322</v>
      </c>
      <c r="D184" s="26" t="s">
        <v>36</v>
      </c>
      <c r="E184" s="26" t="s">
        <v>1598</v>
      </c>
      <c r="F184" s="26" t="s">
        <v>681</v>
      </c>
      <c r="G184" s="26" t="s">
        <v>58</v>
      </c>
      <c r="H184" s="26" t="s">
        <v>49</v>
      </c>
      <c r="I184" s="26" t="s">
        <v>120</v>
      </c>
      <c r="J184" s="26">
        <v>2.0</v>
      </c>
      <c r="K184" s="26" t="s">
        <v>1599</v>
      </c>
      <c r="L184" s="26" t="s">
        <v>15</v>
      </c>
      <c r="M184" s="26" t="s">
        <v>81</v>
      </c>
      <c r="N184" s="26" t="s">
        <v>307</v>
      </c>
      <c r="O184" s="26">
        <v>2.0</v>
      </c>
    </row>
    <row r="185" ht="15.75" customHeight="1">
      <c r="A185" s="26" t="s">
        <v>1600</v>
      </c>
      <c r="B185" s="26" t="s">
        <v>1601</v>
      </c>
      <c r="C185" s="26" t="s">
        <v>312</v>
      </c>
      <c r="D185" s="26" t="s">
        <v>36</v>
      </c>
      <c r="E185" s="26" t="s">
        <v>1602</v>
      </c>
      <c r="F185" s="26" t="s">
        <v>315</v>
      </c>
      <c r="G185" s="26" t="s">
        <v>47</v>
      </c>
      <c r="H185" s="26" t="s">
        <v>34</v>
      </c>
      <c r="I185" s="26" t="s">
        <v>104</v>
      </c>
      <c r="J185" s="26">
        <v>3.0</v>
      </c>
      <c r="K185" s="26" t="s">
        <v>136</v>
      </c>
      <c r="L185" s="26" t="s">
        <v>29</v>
      </c>
      <c r="M185" s="26" t="s">
        <v>95</v>
      </c>
      <c r="N185" s="26" t="s">
        <v>307</v>
      </c>
      <c r="O185" s="26">
        <v>2.0</v>
      </c>
    </row>
    <row r="186" ht="15.75" customHeight="1">
      <c r="A186" s="26" t="s">
        <v>1603</v>
      </c>
      <c r="B186" s="26" t="s">
        <v>1604</v>
      </c>
      <c r="C186" s="26" t="s">
        <v>429</v>
      </c>
      <c r="D186" s="26" t="s">
        <v>45</v>
      </c>
      <c r="E186" s="26" t="s">
        <v>1605</v>
      </c>
      <c r="F186" s="26" t="s">
        <v>799</v>
      </c>
      <c r="G186" s="26" t="s">
        <v>130</v>
      </c>
      <c r="H186" s="26" t="s">
        <v>34</v>
      </c>
      <c r="I186" s="26" t="s">
        <v>140</v>
      </c>
      <c r="J186" s="26">
        <v>3.0</v>
      </c>
      <c r="K186" s="26" t="s">
        <v>1606</v>
      </c>
      <c r="L186" s="26" t="s">
        <v>19</v>
      </c>
      <c r="M186" s="26" t="s">
        <v>81</v>
      </c>
      <c r="N186" s="26" t="s">
        <v>307</v>
      </c>
      <c r="O186" s="26">
        <v>1.0</v>
      </c>
    </row>
    <row r="187" ht="15.75" customHeight="1">
      <c r="A187" s="26" t="s">
        <v>1607</v>
      </c>
      <c r="B187" s="26" t="s">
        <v>1608</v>
      </c>
      <c r="C187" s="26" t="s">
        <v>429</v>
      </c>
      <c r="D187" s="26" t="s">
        <v>45</v>
      </c>
      <c r="E187" s="26" t="s">
        <v>1609</v>
      </c>
      <c r="F187" s="26" t="s">
        <v>303</v>
      </c>
      <c r="G187" s="26" t="s">
        <v>140</v>
      </c>
      <c r="H187" s="26" t="s">
        <v>34</v>
      </c>
      <c r="I187" s="26" t="s">
        <v>166</v>
      </c>
      <c r="J187" s="26">
        <v>3.0</v>
      </c>
      <c r="K187" s="26" t="s">
        <v>136</v>
      </c>
      <c r="L187" s="26" t="s">
        <v>29</v>
      </c>
      <c r="M187" s="26" t="s">
        <v>95</v>
      </c>
      <c r="N187" s="26" t="s">
        <v>307</v>
      </c>
      <c r="O187" s="26">
        <v>1.0</v>
      </c>
    </row>
    <row r="188" ht="15.75" customHeight="1">
      <c r="A188" s="26" t="s">
        <v>1610</v>
      </c>
      <c r="B188" s="26" t="s">
        <v>1611</v>
      </c>
      <c r="C188" s="26" t="s">
        <v>429</v>
      </c>
      <c r="D188" s="26" t="s">
        <v>36</v>
      </c>
      <c r="E188" s="26" t="s">
        <v>1612</v>
      </c>
      <c r="F188" s="26" t="s">
        <v>760</v>
      </c>
      <c r="G188" s="26" t="s">
        <v>51</v>
      </c>
      <c r="H188" s="26" t="s">
        <v>52</v>
      </c>
      <c r="I188" s="26" t="s">
        <v>73</v>
      </c>
      <c r="J188" s="26">
        <v>2.0</v>
      </c>
      <c r="K188" s="26" t="s">
        <v>1613</v>
      </c>
      <c r="L188" s="26" t="s">
        <v>15</v>
      </c>
      <c r="M188" s="26" t="s">
        <v>81</v>
      </c>
      <c r="N188" s="26" t="s">
        <v>307</v>
      </c>
      <c r="O188" s="26">
        <v>2.0</v>
      </c>
    </row>
    <row r="189" ht="15.75" customHeight="1">
      <c r="A189" s="26" t="s">
        <v>1614</v>
      </c>
      <c r="B189" s="26" t="s">
        <v>1615</v>
      </c>
      <c r="C189" s="26" t="s">
        <v>300</v>
      </c>
      <c r="D189" s="26" t="s">
        <v>89</v>
      </c>
      <c r="E189" s="26" t="s">
        <v>1616</v>
      </c>
      <c r="F189" s="26" t="s">
        <v>614</v>
      </c>
      <c r="G189" s="26" t="s">
        <v>616</v>
      </c>
      <c r="H189" s="26" t="s">
        <v>49</v>
      </c>
      <c r="I189" s="26"/>
      <c r="J189" s="26">
        <v>1.0</v>
      </c>
      <c r="K189" s="26" t="s">
        <v>1617</v>
      </c>
      <c r="L189" s="26" t="s">
        <v>15</v>
      </c>
      <c r="M189" s="26" t="s">
        <v>81</v>
      </c>
      <c r="N189" s="26" t="s">
        <v>307</v>
      </c>
      <c r="O189" s="26">
        <v>2.0</v>
      </c>
    </row>
    <row r="190" ht="15.75" customHeight="1">
      <c r="A190" s="26" t="s">
        <v>1618</v>
      </c>
      <c r="B190" s="26" t="s">
        <v>1619</v>
      </c>
      <c r="C190" s="26" t="s">
        <v>429</v>
      </c>
      <c r="D190" s="26" t="s">
        <v>59</v>
      </c>
      <c r="E190" s="26" t="s">
        <v>889</v>
      </c>
      <c r="F190" s="26" t="s">
        <v>1620</v>
      </c>
      <c r="G190" s="26" t="s">
        <v>438</v>
      </c>
      <c r="H190" s="26" t="s">
        <v>34</v>
      </c>
      <c r="I190" s="26"/>
      <c r="J190" s="26">
        <v>0.0</v>
      </c>
      <c r="K190" s="26" t="s">
        <v>1555</v>
      </c>
      <c r="L190" s="26" t="s">
        <v>15</v>
      </c>
      <c r="M190" s="26" t="s">
        <v>81</v>
      </c>
      <c r="N190" s="26" t="s">
        <v>307</v>
      </c>
      <c r="O190" s="26">
        <v>1.0</v>
      </c>
    </row>
    <row r="191" ht="15.75" customHeight="1">
      <c r="A191" s="26" t="s">
        <v>1621</v>
      </c>
      <c r="B191" s="26" t="s">
        <v>1622</v>
      </c>
      <c r="C191" s="26" t="s">
        <v>429</v>
      </c>
      <c r="D191" s="26" t="s">
        <v>68</v>
      </c>
      <c r="E191" s="26" t="s">
        <v>1333</v>
      </c>
      <c r="F191" s="26" t="s">
        <v>1623</v>
      </c>
      <c r="G191" s="26" t="s">
        <v>1078</v>
      </c>
      <c r="H191" s="26" t="s">
        <v>53</v>
      </c>
      <c r="I191" s="26"/>
      <c r="J191" s="26">
        <v>1.0</v>
      </c>
      <c r="K191" s="26" t="s">
        <v>1334</v>
      </c>
      <c r="L191" s="26" t="s">
        <v>15</v>
      </c>
      <c r="M191" s="26" t="s">
        <v>81</v>
      </c>
      <c r="N191" s="26" t="s">
        <v>307</v>
      </c>
      <c r="O191" s="26">
        <v>4.0</v>
      </c>
    </row>
    <row r="192" ht="15.75" customHeight="1">
      <c r="A192" s="26" t="s">
        <v>1624</v>
      </c>
      <c r="B192" s="26" t="s">
        <v>1625</v>
      </c>
      <c r="C192" s="26" t="s">
        <v>300</v>
      </c>
      <c r="D192" s="26" t="s">
        <v>68</v>
      </c>
      <c r="E192" s="26" t="s">
        <v>1340</v>
      </c>
      <c r="F192" s="26" t="s">
        <v>1389</v>
      </c>
      <c r="G192" s="26" t="s">
        <v>1338</v>
      </c>
      <c r="H192" s="26" t="s">
        <v>46</v>
      </c>
      <c r="I192" s="26"/>
      <c r="J192" s="26">
        <v>1.0</v>
      </c>
      <c r="K192" s="26" t="s">
        <v>1342</v>
      </c>
      <c r="L192" s="26" t="s">
        <v>15</v>
      </c>
      <c r="M192" s="26" t="s">
        <v>81</v>
      </c>
      <c r="N192" s="26" t="s">
        <v>307</v>
      </c>
      <c r="O192" s="26">
        <v>4.0</v>
      </c>
    </row>
    <row r="193" ht="15.75" customHeight="1">
      <c r="A193" s="26" t="s">
        <v>1626</v>
      </c>
      <c r="B193" s="26" t="s">
        <v>1627</v>
      </c>
      <c r="C193" s="26" t="s">
        <v>300</v>
      </c>
      <c r="D193" s="26" t="s">
        <v>62</v>
      </c>
      <c r="E193" s="26" t="s">
        <v>1628</v>
      </c>
      <c r="F193" s="26" t="s">
        <v>1245</v>
      </c>
      <c r="G193" s="26" t="s">
        <v>119</v>
      </c>
      <c r="H193" s="26" t="s">
        <v>57</v>
      </c>
      <c r="I193" s="26"/>
      <c r="J193" s="26">
        <v>1.0</v>
      </c>
      <c r="K193" s="26" t="s">
        <v>1629</v>
      </c>
      <c r="L193" s="26" t="s">
        <v>19</v>
      </c>
      <c r="M193" s="26" t="s">
        <v>66</v>
      </c>
      <c r="N193" s="26" t="s">
        <v>307</v>
      </c>
      <c r="O193" s="26">
        <v>2.0</v>
      </c>
    </row>
    <row r="194" ht="15.75" customHeight="1">
      <c r="A194" s="26" t="s">
        <v>1630</v>
      </c>
      <c r="B194" s="26" t="s">
        <v>1631</v>
      </c>
      <c r="C194" s="26" t="s">
        <v>300</v>
      </c>
      <c r="D194" s="26" t="s">
        <v>62</v>
      </c>
      <c r="E194" s="26" t="s">
        <v>1632</v>
      </c>
      <c r="F194" s="26" t="s">
        <v>1245</v>
      </c>
      <c r="G194" s="26" t="s">
        <v>119</v>
      </c>
      <c r="H194" s="26" t="s">
        <v>57</v>
      </c>
      <c r="I194" s="26" t="s">
        <v>1007</v>
      </c>
      <c r="J194" s="26">
        <v>2.0</v>
      </c>
      <c r="K194" s="26" t="s">
        <v>1629</v>
      </c>
      <c r="L194" s="26" t="s">
        <v>19</v>
      </c>
      <c r="M194" s="26" t="s">
        <v>66</v>
      </c>
      <c r="N194" s="26" t="s">
        <v>307</v>
      </c>
      <c r="O194" s="26">
        <v>2.0</v>
      </c>
    </row>
    <row r="195" ht="15.75" customHeight="1">
      <c r="A195" s="26" t="s">
        <v>1633</v>
      </c>
      <c r="B195" s="26" t="s">
        <v>1634</v>
      </c>
      <c r="C195" s="26" t="s">
        <v>363</v>
      </c>
      <c r="D195" s="26" t="s">
        <v>69</v>
      </c>
      <c r="E195" s="26" t="s">
        <v>1635</v>
      </c>
      <c r="F195" s="26" t="s">
        <v>887</v>
      </c>
      <c r="G195" s="26" t="s">
        <v>888</v>
      </c>
      <c r="H195" s="26" t="s">
        <v>46</v>
      </c>
      <c r="I195" s="26"/>
      <c r="J195" s="26">
        <v>0.0</v>
      </c>
      <c r="K195" s="26" t="s">
        <v>1636</v>
      </c>
      <c r="L195" s="26" t="s">
        <v>15</v>
      </c>
      <c r="M195" s="26" t="s">
        <v>81</v>
      </c>
      <c r="N195" s="26" t="s">
        <v>307</v>
      </c>
      <c r="O195" s="26">
        <v>2.0</v>
      </c>
    </row>
    <row r="196" ht="15.75" customHeight="1">
      <c r="A196" s="26" t="s">
        <v>1637</v>
      </c>
      <c r="B196" s="26" t="s">
        <v>1638</v>
      </c>
      <c r="C196" s="26" t="s">
        <v>300</v>
      </c>
      <c r="D196" s="26" t="s">
        <v>48</v>
      </c>
      <c r="E196" s="26" t="s">
        <v>1639</v>
      </c>
      <c r="F196" s="26" t="s">
        <v>834</v>
      </c>
      <c r="G196" s="26" t="s">
        <v>267</v>
      </c>
      <c r="H196" s="26" t="s">
        <v>34</v>
      </c>
      <c r="I196" s="26" t="s">
        <v>365</v>
      </c>
      <c r="J196" s="26">
        <v>3.0</v>
      </c>
      <c r="K196" s="26" t="s">
        <v>1640</v>
      </c>
      <c r="L196" s="26" t="s">
        <v>15</v>
      </c>
      <c r="M196" s="26" t="s">
        <v>81</v>
      </c>
      <c r="N196" s="26" t="s">
        <v>307</v>
      </c>
      <c r="O196" s="26">
        <v>2.0</v>
      </c>
    </row>
    <row r="197" ht="15.75" customHeight="1">
      <c r="A197" s="26" t="s">
        <v>1641</v>
      </c>
      <c r="B197" s="26" t="s">
        <v>1642</v>
      </c>
      <c r="C197" s="26" t="s">
        <v>429</v>
      </c>
      <c r="D197" s="26" t="s">
        <v>50</v>
      </c>
      <c r="E197" s="26" t="s">
        <v>1643</v>
      </c>
      <c r="F197" s="26" t="s">
        <v>847</v>
      </c>
      <c r="G197" s="26" t="s">
        <v>328</v>
      </c>
      <c r="H197" s="26" t="s">
        <v>49</v>
      </c>
      <c r="I197" s="26"/>
      <c r="J197" s="26">
        <v>1.0</v>
      </c>
      <c r="K197" s="26" t="s">
        <v>1644</v>
      </c>
      <c r="L197" s="26" t="s">
        <v>15</v>
      </c>
      <c r="M197" s="26" t="s">
        <v>81</v>
      </c>
      <c r="N197" s="26" t="s">
        <v>307</v>
      </c>
      <c r="O197" s="26">
        <v>2.0</v>
      </c>
    </row>
    <row r="198" ht="15.75" customHeight="1">
      <c r="A198" s="26" t="s">
        <v>1645</v>
      </c>
      <c r="B198" s="26" t="s">
        <v>1646</v>
      </c>
      <c r="C198" s="26" t="s">
        <v>363</v>
      </c>
      <c r="D198" s="26" t="s">
        <v>45</v>
      </c>
      <c r="E198" s="26" t="s">
        <v>348</v>
      </c>
      <c r="F198" s="26" t="s">
        <v>1647</v>
      </c>
      <c r="G198" s="26" t="s">
        <v>82</v>
      </c>
      <c r="H198" s="26" t="s">
        <v>34</v>
      </c>
      <c r="I198" s="26"/>
      <c r="J198" s="26">
        <v>1.0</v>
      </c>
      <c r="K198" s="26" t="s">
        <v>922</v>
      </c>
      <c r="L198" s="26" t="s">
        <v>15</v>
      </c>
      <c r="M198" s="26" t="s">
        <v>81</v>
      </c>
      <c r="N198" s="26" t="s">
        <v>307</v>
      </c>
      <c r="O198" s="26">
        <v>2.0</v>
      </c>
    </row>
    <row r="199" ht="15.75" customHeight="1">
      <c r="A199" s="26" t="s">
        <v>1648</v>
      </c>
      <c r="B199" s="26" t="s">
        <v>1649</v>
      </c>
      <c r="C199" s="26" t="s">
        <v>322</v>
      </c>
      <c r="D199" s="26" t="s">
        <v>62</v>
      </c>
      <c r="E199" s="26" t="s">
        <v>953</v>
      </c>
      <c r="F199" s="26" t="s">
        <v>471</v>
      </c>
      <c r="G199" s="26" t="s">
        <v>105</v>
      </c>
      <c r="H199" s="26" t="s">
        <v>46</v>
      </c>
      <c r="I199" s="26"/>
      <c r="J199" s="26">
        <v>1.0</v>
      </c>
      <c r="K199" s="26" t="s">
        <v>136</v>
      </c>
      <c r="L199" s="26" t="s">
        <v>29</v>
      </c>
      <c r="M199" s="26" t="s">
        <v>95</v>
      </c>
      <c r="N199" s="26" t="s">
        <v>307</v>
      </c>
      <c r="O199" s="26">
        <v>1.0</v>
      </c>
    </row>
    <row r="200" ht="15.75" customHeight="1">
      <c r="A200" s="26" t="s">
        <v>1650</v>
      </c>
      <c r="B200" s="26" t="s">
        <v>1651</v>
      </c>
      <c r="C200" s="26" t="s">
        <v>322</v>
      </c>
      <c r="D200" s="26" t="s">
        <v>48</v>
      </c>
      <c r="E200" s="26" t="s">
        <v>455</v>
      </c>
      <c r="F200" s="26" t="s">
        <v>984</v>
      </c>
      <c r="G200" s="26" t="s">
        <v>265</v>
      </c>
      <c r="H200" s="26" t="s">
        <v>34</v>
      </c>
      <c r="I200" s="26" t="s">
        <v>313</v>
      </c>
      <c r="J200" s="26">
        <v>2.0</v>
      </c>
      <c r="K200" s="26" t="s">
        <v>136</v>
      </c>
      <c r="L200" s="26" t="s">
        <v>29</v>
      </c>
      <c r="M200" s="26" t="s">
        <v>95</v>
      </c>
      <c r="N200" s="26" t="s">
        <v>307</v>
      </c>
      <c r="O200" s="26">
        <v>3.0</v>
      </c>
    </row>
    <row r="201" ht="15.75" customHeight="1">
      <c r="A201" s="26" t="s">
        <v>1652</v>
      </c>
      <c r="B201" s="26" t="s">
        <v>1653</v>
      </c>
      <c r="C201" s="26" t="s">
        <v>312</v>
      </c>
      <c r="D201" s="26" t="s">
        <v>59</v>
      </c>
      <c r="E201" s="26" t="s">
        <v>1654</v>
      </c>
      <c r="F201" s="26" t="s">
        <v>1125</v>
      </c>
      <c r="G201" s="26" t="s">
        <v>113</v>
      </c>
      <c r="H201" s="26" t="s">
        <v>49</v>
      </c>
      <c r="I201" s="26" t="s">
        <v>373</v>
      </c>
      <c r="J201" s="26">
        <v>2.0</v>
      </c>
      <c r="K201" s="26" t="s">
        <v>136</v>
      </c>
      <c r="L201" s="26" t="s">
        <v>29</v>
      </c>
      <c r="M201" s="26" t="s">
        <v>95</v>
      </c>
      <c r="N201" s="26" t="s">
        <v>307</v>
      </c>
      <c r="O201" s="26">
        <v>2.0</v>
      </c>
    </row>
    <row r="202" ht="15.75" customHeight="1">
      <c r="A202" s="26" t="s">
        <v>1655</v>
      </c>
      <c r="B202" s="26" t="s">
        <v>1656</v>
      </c>
      <c r="C202" s="26" t="s">
        <v>363</v>
      </c>
      <c r="D202" s="26" t="s">
        <v>36</v>
      </c>
      <c r="E202" s="26" t="s">
        <v>205</v>
      </c>
      <c r="F202" s="26" t="s">
        <v>1657</v>
      </c>
      <c r="G202" s="26" t="s">
        <v>101</v>
      </c>
      <c r="H202" s="26" t="s">
        <v>46</v>
      </c>
      <c r="I202" s="26"/>
      <c r="J202" s="26">
        <v>1.0</v>
      </c>
      <c r="K202" s="26" t="s">
        <v>136</v>
      </c>
      <c r="L202" s="26" t="s">
        <v>29</v>
      </c>
      <c r="M202" s="26" t="s">
        <v>95</v>
      </c>
      <c r="N202" s="26" t="s">
        <v>307</v>
      </c>
      <c r="O202" s="26">
        <v>2.0</v>
      </c>
    </row>
    <row r="203" ht="15.75" customHeight="1">
      <c r="A203" s="26" t="s">
        <v>1658</v>
      </c>
      <c r="B203" s="26" t="s">
        <v>1659</v>
      </c>
      <c r="C203" s="26" t="s">
        <v>300</v>
      </c>
      <c r="D203" s="26" t="s">
        <v>36</v>
      </c>
      <c r="E203" s="26" t="s">
        <v>240</v>
      </c>
      <c r="F203" s="26" t="s">
        <v>1660</v>
      </c>
      <c r="G203" s="26" t="s">
        <v>112</v>
      </c>
      <c r="H203" s="26" t="s">
        <v>53</v>
      </c>
      <c r="I203" s="26" t="s">
        <v>108</v>
      </c>
      <c r="J203" s="26">
        <v>2.0</v>
      </c>
      <c r="K203" s="26" t="s">
        <v>241</v>
      </c>
      <c r="L203" s="26" t="s">
        <v>15</v>
      </c>
      <c r="M203" s="26" t="s">
        <v>81</v>
      </c>
      <c r="N203" s="26" t="s">
        <v>307</v>
      </c>
      <c r="O203" s="26">
        <v>2.0</v>
      </c>
    </row>
    <row r="204" ht="15.75" customHeight="1">
      <c r="A204" s="26" t="s">
        <v>1661</v>
      </c>
      <c r="B204" s="26" t="s">
        <v>1662</v>
      </c>
      <c r="C204" s="26" t="s">
        <v>300</v>
      </c>
      <c r="D204" s="26" t="s">
        <v>36</v>
      </c>
      <c r="E204" s="26" t="s">
        <v>1663</v>
      </c>
      <c r="F204" s="26" t="s">
        <v>681</v>
      </c>
      <c r="G204" s="26" t="s">
        <v>58</v>
      </c>
      <c r="H204" s="26" t="s">
        <v>49</v>
      </c>
      <c r="I204" s="26" t="s">
        <v>73</v>
      </c>
      <c r="J204" s="26">
        <v>2.0</v>
      </c>
      <c r="K204" s="26" t="s">
        <v>136</v>
      </c>
      <c r="L204" s="26" t="s">
        <v>29</v>
      </c>
      <c r="M204" s="26" t="s">
        <v>95</v>
      </c>
      <c r="N204" s="26" t="s">
        <v>307</v>
      </c>
      <c r="O204" s="26">
        <v>2.0</v>
      </c>
    </row>
    <row r="205" ht="15.75" customHeight="1">
      <c r="A205" s="26" t="s">
        <v>1664</v>
      </c>
      <c r="B205" s="26" t="s">
        <v>1665</v>
      </c>
      <c r="C205" s="26" t="s">
        <v>300</v>
      </c>
      <c r="D205" s="26" t="s">
        <v>45</v>
      </c>
      <c r="E205" s="26" t="s">
        <v>1666</v>
      </c>
      <c r="F205" s="26" t="s">
        <v>303</v>
      </c>
      <c r="G205" s="26" t="s">
        <v>140</v>
      </c>
      <c r="H205" s="26" t="s">
        <v>34</v>
      </c>
      <c r="I205" s="26" t="s">
        <v>169</v>
      </c>
      <c r="J205" s="26">
        <v>2.0</v>
      </c>
      <c r="K205" s="26" t="s">
        <v>922</v>
      </c>
      <c r="L205" s="26" t="s">
        <v>15</v>
      </c>
      <c r="M205" s="26" t="s">
        <v>81</v>
      </c>
      <c r="N205" s="26" t="s">
        <v>307</v>
      </c>
      <c r="O205" s="26">
        <v>1.0</v>
      </c>
    </row>
    <row r="206" ht="15.75" customHeight="1">
      <c r="A206" s="26" t="s">
        <v>1667</v>
      </c>
      <c r="B206" s="26" t="s">
        <v>1668</v>
      </c>
      <c r="C206" s="26" t="s">
        <v>300</v>
      </c>
      <c r="D206" s="26" t="s">
        <v>45</v>
      </c>
      <c r="E206" s="26" t="s">
        <v>264</v>
      </c>
      <c r="F206" s="26" t="s">
        <v>303</v>
      </c>
      <c r="G206" s="26" t="s">
        <v>140</v>
      </c>
      <c r="H206" s="26" t="s">
        <v>34</v>
      </c>
      <c r="I206" s="26" t="s">
        <v>169</v>
      </c>
      <c r="J206" s="26">
        <v>2.0</v>
      </c>
      <c r="K206" s="26" t="s">
        <v>136</v>
      </c>
      <c r="L206" s="26" t="s">
        <v>29</v>
      </c>
      <c r="M206" s="26" t="s">
        <v>95</v>
      </c>
      <c r="N206" s="26" t="s">
        <v>307</v>
      </c>
      <c r="O206" s="26">
        <v>1.0</v>
      </c>
    </row>
    <row r="207" ht="15.75" customHeight="1">
      <c r="A207" s="26" t="s">
        <v>1669</v>
      </c>
      <c r="B207" s="26" t="s">
        <v>1670</v>
      </c>
      <c r="C207" s="26" t="s">
        <v>429</v>
      </c>
      <c r="D207" s="26" t="s">
        <v>69</v>
      </c>
      <c r="E207" s="26" t="s">
        <v>1068</v>
      </c>
      <c r="F207" s="26" t="s">
        <v>1448</v>
      </c>
      <c r="G207" s="26" t="s">
        <v>1060</v>
      </c>
      <c r="H207" s="26" t="s">
        <v>49</v>
      </c>
      <c r="I207" s="26" t="s">
        <v>197</v>
      </c>
      <c r="J207" s="26">
        <v>3.0</v>
      </c>
      <c r="K207" s="26" t="s">
        <v>1069</v>
      </c>
      <c r="L207" s="26" t="s">
        <v>15</v>
      </c>
      <c r="M207" s="26" t="s">
        <v>81</v>
      </c>
      <c r="N207" s="26" t="s">
        <v>307</v>
      </c>
      <c r="O207" s="26">
        <v>4.0</v>
      </c>
    </row>
    <row r="208" ht="15.75" customHeight="1">
      <c r="A208" s="26" t="s">
        <v>1671</v>
      </c>
      <c r="B208" s="26" t="s">
        <v>1672</v>
      </c>
      <c r="C208" s="26" t="s">
        <v>429</v>
      </c>
      <c r="D208" s="26" t="s">
        <v>89</v>
      </c>
      <c r="E208" s="26" t="s">
        <v>1396</v>
      </c>
      <c r="F208" s="26" t="s">
        <v>1673</v>
      </c>
      <c r="G208" s="26" t="s">
        <v>1395</v>
      </c>
      <c r="H208" s="26" t="s">
        <v>46</v>
      </c>
      <c r="I208" s="26"/>
      <c r="J208" s="26">
        <v>0.0</v>
      </c>
      <c r="K208" s="26" t="s">
        <v>1397</v>
      </c>
      <c r="L208" s="26" t="s">
        <v>15</v>
      </c>
      <c r="M208" s="26" t="s">
        <v>81</v>
      </c>
      <c r="N208" s="26" t="s">
        <v>307</v>
      </c>
      <c r="O208" s="26">
        <v>0.0</v>
      </c>
    </row>
    <row r="209" ht="15.75" customHeight="1">
      <c r="A209" s="26" t="s">
        <v>1674</v>
      </c>
      <c r="B209" s="26" t="s">
        <v>1675</v>
      </c>
      <c r="C209" s="26" t="s">
        <v>429</v>
      </c>
      <c r="D209" s="26" t="s">
        <v>89</v>
      </c>
      <c r="E209" s="26" t="s">
        <v>1676</v>
      </c>
      <c r="F209" s="26" t="s">
        <v>614</v>
      </c>
      <c r="G209" s="26" t="s">
        <v>616</v>
      </c>
      <c r="H209" s="26" t="s">
        <v>49</v>
      </c>
      <c r="I209" s="26"/>
      <c r="J209" s="26">
        <v>1.0</v>
      </c>
      <c r="K209" s="26" t="s">
        <v>136</v>
      </c>
      <c r="L209" s="26" t="s">
        <v>29</v>
      </c>
      <c r="M209" s="26" t="s">
        <v>95</v>
      </c>
      <c r="N209" s="26" t="s">
        <v>307</v>
      </c>
      <c r="O209" s="26">
        <v>0.0</v>
      </c>
    </row>
    <row r="210" ht="15.75" customHeight="1">
      <c r="A210" s="26" t="s">
        <v>1677</v>
      </c>
      <c r="B210" s="26" t="s">
        <v>1678</v>
      </c>
      <c r="C210" s="26" t="s">
        <v>429</v>
      </c>
      <c r="D210" s="26" t="s">
        <v>59</v>
      </c>
      <c r="E210" s="26" t="s">
        <v>1679</v>
      </c>
      <c r="F210" s="26" t="s">
        <v>372</v>
      </c>
      <c r="G210" s="26" t="s">
        <v>373</v>
      </c>
      <c r="H210" s="26" t="s">
        <v>34</v>
      </c>
      <c r="I210" s="26"/>
      <c r="J210" s="26">
        <v>1.0</v>
      </c>
      <c r="K210" s="26" t="s">
        <v>136</v>
      </c>
      <c r="L210" s="26" t="s">
        <v>29</v>
      </c>
      <c r="M210" s="26" t="s">
        <v>95</v>
      </c>
      <c r="N210" s="26" t="s">
        <v>307</v>
      </c>
      <c r="O210" s="26">
        <v>1.0</v>
      </c>
    </row>
    <row r="211" ht="15.75" customHeight="1">
      <c r="A211" s="26" t="s">
        <v>1680</v>
      </c>
      <c r="B211" s="26" t="s">
        <v>1681</v>
      </c>
      <c r="C211" s="26" t="s">
        <v>363</v>
      </c>
      <c r="D211" s="26" t="s">
        <v>72</v>
      </c>
      <c r="E211" s="26" t="s">
        <v>1157</v>
      </c>
      <c r="F211" s="26" t="s">
        <v>1483</v>
      </c>
      <c r="G211" s="26" t="s">
        <v>1152</v>
      </c>
      <c r="H211" s="26" t="s">
        <v>46</v>
      </c>
      <c r="I211" s="26"/>
      <c r="J211" s="26">
        <v>0.0</v>
      </c>
      <c r="K211" s="26" t="s">
        <v>1159</v>
      </c>
      <c r="L211" s="26" t="s">
        <v>15</v>
      </c>
      <c r="M211" s="26" t="s">
        <v>81</v>
      </c>
      <c r="N211" s="26" t="s">
        <v>307</v>
      </c>
      <c r="O211" s="26">
        <v>2.0</v>
      </c>
    </row>
    <row r="212" ht="15.75" customHeight="1">
      <c r="A212" s="26" t="s">
        <v>1682</v>
      </c>
      <c r="B212" s="26" t="s">
        <v>1683</v>
      </c>
      <c r="C212" s="26" t="s">
        <v>363</v>
      </c>
      <c r="D212" s="26" t="s">
        <v>48</v>
      </c>
      <c r="E212" s="26" t="s">
        <v>587</v>
      </c>
      <c r="F212" s="26" t="s">
        <v>1684</v>
      </c>
      <c r="G212" s="26" t="s">
        <v>401</v>
      </c>
      <c r="H212" s="26" t="s">
        <v>61</v>
      </c>
      <c r="I212" s="26" t="s">
        <v>339</v>
      </c>
      <c r="J212" s="26">
        <v>2.0</v>
      </c>
      <c r="K212" s="26" t="s">
        <v>588</v>
      </c>
      <c r="L212" s="26" t="s">
        <v>15</v>
      </c>
      <c r="M212" s="26" t="s">
        <v>81</v>
      </c>
      <c r="N212" s="26" t="s">
        <v>307</v>
      </c>
      <c r="O212" s="26">
        <v>2.0</v>
      </c>
    </row>
    <row r="213" ht="15.75" customHeight="1">
      <c r="A213" s="26" t="s">
        <v>1685</v>
      </c>
      <c r="B213" s="26" t="s">
        <v>1686</v>
      </c>
      <c r="C213" s="26" t="s">
        <v>363</v>
      </c>
      <c r="D213" s="26" t="s">
        <v>36</v>
      </c>
      <c r="E213" s="26" t="s">
        <v>1687</v>
      </c>
      <c r="F213" s="26" t="s">
        <v>1583</v>
      </c>
      <c r="G213" s="26" t="s">
        <v>73</v>
      </c>
      <c r="H213" s="26" t="s">
        <v>46</v>
      </c>
      <c r="I213" s="26" t="s">
        <v>101</v>
      </c>
      <c r="J213" s="26">
        <v>2.0</v>
      </c>
      <c r="K213" s="26" t="s">
        <v>1688</v>
      </c>
      <c r="L213" s="26" t="s">
        <v>15</v>
      </c>
      <c r="M213" s="26" t="s">
        <v>81</v>
      </c>
      <c r="N213" s="26" t="s">
        <v>307</v>
      </c>
      <c r="O213" s="26">
        <v>1.0</v>
      </c>
    </row>
    <row r="214" ht="15.75" customHeight="1">
      <c r="A214" s="26" t="s">
        <v>1689</v>
      </c>
      <c r="B214" s="26" t="s">
        <v>1690</v>
      </c>
      <c r="C214" s="26" t="s">
        <v>363</v>
      </c>
      <c r="D214" s="26" t="s">
        <v>45</v>
      </c>
      <c r="E214" s="26" t="s">
        <v>404</v>
      </c>
      <c r="F214" s="26" t="s">
        <v>1691</v>
      </c>
      <c r="G214" s="26" t="s">
        <v>220</v>
      </c>
      <c r="H214" s="26" t="s">
        <v>53</v>
      </c>
      <c r="I214" s="26"/>
      <c r="J214" s="26">
        <v>1.0</v>
      </c>
      <c r="K214" s="26" t="s">
        <v>406</v>
      </c>
      <c r="L214" s="26" t="s">
        <v>15</v>
      </c>
      <c r="M214" s="26" t="s">
        <v>81</v>
      </c>
      <c r="N214" s="26" t="s">
        <v>307</v>
      </c>
      <c r="O214" s="26">
        <v>2.0</v>
      </c>
    </row>
    <row r="215" ht="15.75" customHeight="1">
      <c r="A215" s="26" t="s">
        <v>1692</v>
      </c>
      <c r="B215" s="26" t="s">
        <v>1693</v>
      </c>
      <c r="C215" s="26" t="s">
        <v>363</v>
      </c>
      <c r="D215" s="26" t="s">
        <v>72</v>
      </c>
      <c r="E215" s="26" t="s">
        <v>1694</v>
      </c>
      <c r="F215" s="26" t="s">
        <v>1394</v>
      </c>
      <c r="G215" s="26" t="s">
        <v>109</v>
      </c>
      <c r="H215" s="26" t="s">
        <v>61</v>
      </c>
      <c r="I215" s="26" t="s">
        <v>1143</v>
      </c>
      <c r="J215" s="26">
        <v>2.0</v>
      </c>
      <c r="K215" s="26" t="s">
        <v>1695</v>
      </c>
      <c r="L215" s="26" t="s">
        <v>19</v>
      </c>
      <c r="M215" s="26" t="s">
        <v>66</v>
      </c>
      <c r="N215" s="26" t="s">
        <v>307</v>
      </c>
      <c r="O215" s="26">
        <v>2.0</v>
      </c>
    </row>
    <row r="216" ht="15.75" customHeight="1">
      <c r="A216" s="26" t="s">
        <v>1696</v>
      </c>
      <c r="B216" s="26" t="s">
        <v>1697</v>
      </c>
      <c r="C216" s="26" t="s">
        <v>322</v>
      </c>
      <c r="D216" s="26" t="s">
        <v>36</v>
      </c>
      <c r="E216" s="26" t="s">
        <v>216</v>
      </c>
      <c r="F216" s="26" t="s">
        <v>1698</v>
      </c>
      <c r="G216" s="26" t="s">
        <v>106</v>
      </c>
      <c r="H216" s="26" t="s">
        <v>57</v>
      </c>
      <c r="I216" s="26" t="s">
        <v>116</v>
      </c>
      <c r="J216" s="26">
        <v>2.0</v>
      </c>
      <c r="K216" s="26" t="s">
        <v>136</v>
      </c>
      <c r="L216" s="26" t="s">
        <v>29</v>
      </c>
      <c r="M216" s="26" t="s">
        <v>95</v>
      </c>
      <c r="N216" s="26" t="s">
        <v>307</v>
      </c>
      <c r="O216" s="26">
        <v>1.0</v>
      </c>
    </row>
    <row r="217" ht="15.75" customHeight="1">
      <c r="A217" s="26" t="s">
        <v>1699</v>
      </c>
      <c r="B217" s="26" t="s">
        <v>1700</v>
      </c>
      <c r="C217" s="26" t="s">
        <v>429</v>
      </c>
      <c r="D217" s="26" t="s">
        <v>48</v>
      </c>
      <c r="E217" s="26" t="s">
        <v>1701</v>
      </c>
      <c r="F217" s="26" t="s">
        <v>625</v>
      </c>
      <c r="G217" s="26" t="s">
        <v>313</v>
      </c>
      <c r="H217" s="26" t="s">
        <v>34</v>
      </c>
      <c r="I217" s="26"/>
      <c r="J217" s="26">
        <v>1.0</v>
      </c>
      <c r="K217" s="26" t="s">
        <v>1702</v>
      </c>
      <c r="L217" s="26" t="s">
        <v>15</v>
      </c>
      <c r="M217" s="26" t="s">
        <v>81</v>
      </c>
      <c r="N217" s="26" t="s">
        <v>307</v>
      </c>
      <c r="O217" s="26">
        <v>1.0</v>
      </c>
    </row>
    <row r="218" ht="15.75" customHeight="1">
      <c r="A218" s="26" t="s">
        <v>1703</v>
      </c>
      <c r="B218" s="26" t="s">
        <v>1704</v>
      </c>
      <c r="C218" s="26" t="s">
        <v>429</v>
      </c>
      <c r="D218" s="26" t="s">
        <v>69</v>
      </c>
      <c r="E218" s="26" t="s">
        <v>1106</v>
      </c>
      <c r="F218" s="26" t="s">
        <v>1705</v>
      </c>
      <c r="G218" s="26" t="s">
        <v>110</v>
      </c>
      <c r="H218" s="26" t="s">
        <v>71</v>
      </c>
      <c r="I218" s="26"/>
      <c r="J218" s="26">
        <v>1.0</v>
      </c>
      <c r="K218" s="26" t="s">
        <v>136</v>
      </c>
      <c r="L218" s="26" t="s">
        <v>29</v>
      </c>
      <c r="M218" s="26" t="s">
        <v>95</v>
      </c>
      <c r="N218" s="26" t="s">
        <v>307</v>
      </c>
      <c r="O218" s="26">
        <v>0.0</v>
      </c>
    </row>
    <row r="219" ht="15.75" customHeight="1">
      <c r="A219" s="26" t="s">
        <v>1706</v>
      </c>
      <c r="B219" s="26" t="s">
        <v>1707</v>
      </c>
      <c r="C219" s="26" t="s">
        <v>429</v>
      </c>
      <c r="D219" s="26" t="s">
        <v>69</v>
      </c>
      <c r="E219" s="26" t="s">
        <v>1708</v>
      </c>
      <c r="F219" s="26" t="s">
        <v>537</v>
      </c>
      <c r="G219" s="26" t="s">
        <v>197</v>
      </c>
      <c r="H219" s="26" t="s">
        <v>34</v>
      </c>
      <c r="I219" s="26" t="s">
        <v>83</v>
      </c>
      <c r="J219" s="26">
        <v>2.0</v>
      </c>
      <c r="K219" s="26" t="s">
        <v>1709</v>
      </c>
      <c r="L219" s="26" t="s">
        <v>15</v>
      </c>
      <c r="M219" s="26" t="s">
        <v>81</v>
      </c>
      <c r="N219" s="26" t="s">
        <v>307</v>
      </c>
      <c r="O219" s="26">
        <v>0.0</v>
      </c>
    </row>
    <row r="220" ht="15.75" customHeight="1">
      <c r="A220" s="26" t="s">
        <v>1710</v>
      </c>
      <c r="B220" s="26" t="s">
        <v>1711</v>
      </c>
      <c r="C220" s="26" t="s">
        <v>300</v>
      </c>
      <c r="D220" s="26" t="s">
        <v>48</v>
      </c>
      <c r="E220" s="26" t="s">
        <v>1712</v>
      </c>
      <c r="F220" s="26" t="s">
        <v>590</v>
      </c>
      <c r="G220" s="26" t="s">
        <v>329</v>
      </c>
      <c r="H220" s="26" t="s">
        <v>46</v>
      </c>
      <c r="I220" s="26"/>
      <c r="J220" s="26">
        <v>1.0</v>
      </c>
      <c r="K220" s="26" t="s">
        <v>1713</v>
      </c>
      <c r="L220" s="26" t="s">
        <v>15</v>
      </c>
      <c r="M220" s="26" t="s">
        <v>81</v>
      </c>
      <c r="N220" s="26" t="s">
        <v>307</v>
      </c>
      <c r="O220" s="26">
        <v>2.0</v>
      </c>
    </row>
    <row r="221" ht="15.75" customHeight="1">
      <c r="A221" s="26" t="s">
        <v>1714</v>
      </c>
      <c r="B221" s="26" t="s">
        <v>1715</v>
      </c>
      <c r="C221" s="26" t="s">
        <v>363</v>
      </c>
      <c r="D221" s="26" t="s">
        <v>48</v>
      </c>
      <c r="E221" s="26" t="s">
        <v>596</v>
      </c>
      <c r="F221" s="26" t="s">
        <v>479</v>
      </c>
      <c r="G221" s="26" t="s">
        <v>413</v>
      </c>
      <c r="H221" s="26" t="s">
        <v>34</v>
      </c>
      <c r="I221" s="26"/>
      <c r="J221" s="26">
        <v>1.0</v>
      </c>
      <c r="K221" s="26" t="s">
        <v>1716</v>
      </c>
      <c r="L221" s="26" t="s">
        <v>15</v>
      </c>
      <c r="M221" s="26" t="s">
        <v>81</v>
      </c>
      <c r="N221" s="26" t="s">
        <v>307</v>
      </c>
      <c r="O221" s="26">
        <v>2.0</v>
      </c>
    </row>
    <row r="222" ht="15.75" customHeight="1">
      <c r="A222" s="26" t="s">
        <v>1717</v>
      </c>
      <c r="B222" s="26" t="s">
        <v>1718</v>
      </c>
      <c r="C222" s="26" t="s">
        <v>300</v>
      </c>
      <c r="D222" s="26" t="s">
        <v>48</v>
      </c>
      <c r="E222" s="26" t="s">
        <v>1719</v>
      </c>
      <c r="F222" s="26" t="s">
        <v>973</v>
      </c>
      <c r="G222" s="26" t="s">
        <v>299</v>
      </c>
      <c r="H222" s="26" t="s">
        <v>34</v>
      </c>
      <c r="I222" s="26" t="s">
        <v>386</v>
      </c>
      <c r="J222" s="26">
        <v>2.0</v>
      </c>
      <c r="K222" s="26" t="s">
        <v>1720</v>
      </c>
      <c r="L222" s="26" t="s">
        <v>15</v>
      </c>
      <c r="M222" s="26" t="s">
        <v>81</v>
      </c>
      <c r="N222" s="26" t="s">
        <v>307</v>
      </c>
      <c r="O222" s="26">
        <v>2.0</v>
      </c>
    </row>
    <row r="223" ht="15.75" customHeight="1">
      <c r="A223" s="26" t="s">
        <v>1721</v>
      </c>
      <c r="B223" s="26" t="s">
        <v>1722</v>
      </c>
      <c r="C223" s="26" t="s">
        <v>322</v>
      </c>
      <c r="D223" s="26" t="s">
        <v>68</v>
      </c>
      <c r="E223" s="26" t="s">
        <v>1723</v>
      </c>
      <c r="F223" s="26" t="s">
        <v>894</v>
      </c>
      <c r="G223" s="26" t="s">
        <v>70</v>
      </c>
      <c r="H223" s="26" t="s">
        <v>53</v>
      </c>
      <c r="I223" s="26"/>
      <c r="J223" s="26">
        <v>1.0</v>
      </c>
      <c r="K223" s="26" t="s">
        <v>338</v>
      </c>
      <c r="L223" s="26" t="s">
        <v>19</v>
      </c>
      <c r="M223" s="26" t="s">
        <v>66</v>
      </c>
      <c r="N223" s="26" t="s">
        <v>307</v>
      </c>
      <c r="O223" s="26">
        <v>2.0</v>
      </c>
    </row>
    <row r="224" ht="15.75" customHeight="1">
      <c r="A224" s="26" t="s">
        <v>1724</v>
      </c>
      <c r="B224" s="26" t="s">
        <v>1725</v>
      </c>
      <c r="C224" s="26" t="s">
        <v>363</v>
      </c>
      <c r="D224" s="26" t="s">
        <v>48</v>
      </c>
      <c r="E224" s="26" t="s">
        <v>1726</v>
      </c>
      <c r="F224" s="26" t="s">
        <v>1727</v>
      </c>
      <c r="G224" s="26" t="s">
        <v>284</v>
      </c>
      <c r="H224" s="26" t="s">
        <v>46</v>
      </c>
      <c r="I224" s="26"/>
      <c r="J224" s="26">
        <v>0.0</v>
      </c>
      <c r="K224" s="26" t="s">
        <v>1728</v>
      </c>
      <c r="L224" s="26" t="s">
        <v>23</v>
      </c>
      <c r="M224" s="26" t="s">
        <v>91</v>
      </c>
      <c r="N224" s="26" t="s">
        <v>307</v>
      </c>
      <c r="O224" s="26">
        <v>1.0</v>
      </c>
    </row>
    <row r="225" ht="15.75" customHeight="1">
      <c r="A225" s="26" t="s">
        <v>1729</v>
      </c>
      <c r="B225" s="26" t="s">
        <v>1730</v>
      </c>
      <c r="C225" s="26" t="s">
        <v>429</v>
      </c>
      <c r="D225" s="26" t="s">
        <v>62</v>
      </c>
      <c r="E225" s="26" t="s">
        <v>1731</v>
      </c>
      <c r="F225" s="26" t="s">
        <v>471</v>
      </c>
      <c r="G225" s="26" t="s">
        <v>105</v>
      </c>
      <c r="H225" s="26" t="s">
        <v>46</v>
      </c>
      <c r="I225" s="26" t="s">
        <v>119</v>
      </c>
      <c r="J225" s="26">
        <v>2.0</v>
      </c>
      <c r="K225" s="26" t="s">
        <v>136</v>
      </c>
      <c r="L225" s="26" t="s">
        <v>29</v>
      </c>
      <c r="M225" s="26" t="s">
        <v>95</v>
      </c>
      <c r="N225" s="26" t="s">
        <v>307</v>
      </c>
      <c r="O225" s="26">
        <v>2.0</v>
      </c>
    </row>
    <row r="226" ht="15.75" customHeight="1">
      <c r="A226" s="26" t="s">
        <v>1732</v>
      </c>
      <c r="B226" s="26" t="s">
        <v>1733</v>
      </c>
      <c r="C226" s="26" t="s">
        <v>363</v>
      </c>
      <c r="D226" s="26" t="s">
        <v>48</v>
      </c>
      <c r="E226" s="26" t="s">
        <v>1734</v>
      </c>
      <c r="F226" s="26" t="s">
        <v>366</v>
      </c>
      <c r="G226" s="26" t="s">
        <v>258</v>
      </c>
      <c r="H226" s="26" t="s">
        <v>61</v>
      </c>
      <c r="I226" s="26" t="s">
        <v>267</v>
      </c>
      <c r="J226" s="26">
        <v>3.0</v>
      </c>
      <c r="K226" s="26" t="s">
        <v>1735</v>
      </c>
      <c r="L226" s="26" t="s">
        <v>15</v>
      </c>
      <c r="M226" s="26" t="s">
        <v>81</v>
      </c>
      <c r="N226" s="26" t="s">
        <v>307</v>
      </c>
      <c r="O226" s="26">
        <v>2.0</v>
      </c>
    </row>
    <row r="227" ht="15.75" customHeight="1">
      <c r="A227" s="26" t="s">
        <v>1736</v>
      </c>
      <c r="B227" s="26" t="s">
        <v>1737</v>
      </c>
      <c r="C227" s="26" t="s">
        <v>322</v>
      </c>
      <c r="D227" s="26" t="s">
        <v>62</v>
      </c>
      <c r="E227" s="26" t="s">
        <v>1738</v>
      </c>
      <c r="F227" s="26" t="s">
        <v>471</v>
      </c>
      <c r="G227" s="26" t="s">
        <v>105</v>
      </c>
      <c r="H227" s="26" t="s">
        <v>46</v>
      </c>
      <c r="I227" s="26"/>
      <c r="J227" s="26">
        <v>1.0</v>
      </c>
      <c r="K227" s="26" t="s">
        <v>1739</v>
      </c>
      <c r="L227" s="26" t="s">
        <v>15</v>
      </c>
      <c r="M227" s="26" t="s">
        <v>81</v>
      </c>
      <c r="N227" s="26" t="s">
        <v>307</v>
      </c>
      <c r="O227" s="26">
        <v>3.0</v>
      </c>
    </row>
    <row r="228" ht="15.75" customHeight="1">
      <c r="A228" s="26" t="s">
        <v>1740</v>
      </c>
      <c r="B228" s="26" t="s">
        <v>1741</v>
      </c>
      <c r="C228" s="26" t="s">
        <v>300</v>
      </c>
      <c r="D228" s="26" t="s">
        <v>48</v>
      </c>
      <c r="E228" s="26" t="s">
        <v>1742</v>
      </c>
      <c r="F228" s="26" t="s">
        <v>366</v>
      </c>
      <c r="G228" s="26" t="s">
        <v>258</v>
      </c>
      <c r="H228" s="26" t="s">
        <v>61</v>
      </c>
      <c r="I228" s="26" t="s">
        <v>299</v>
      </c>
      <c r="J228" s="26">
        <v>3.0</v>
      </c>
      <c r="K228" s="26" t="s">
        <v>1743</v>
      </c>
      <c r="L228" s="26" t="s">
        <v>15</v>
      </c>
      <c r="M228" s="26" t="s">
        <v>81</v>
      </c>
      <c r="N228" s="26" t="s">
        <v>307</v>
      </c>
      <c r="O228" s="26">
        <v>2.0</v>
      </c>
    </row>
    <row r="229" ht="15.75" customHeight="1">
      <c r="A229" s="26" t="s">
        <v>1744</v>
      </c>
      <c r="B229" s="26" t="s">
        <v>1745</v>
      </c>
      <c r="C229" s="26" t="s">
        <v>363</v>
      </c>
      <c r="D229" s="26" t="s">
        <v>48</v>
      </c>
      <c r="E229" s="26" t="s">
        <v>1746</v>
      </c>
      <c r="F229" s="26" t="s">
        <v>625</v>
      </c>
      <c r="G229" s="26" t="s">
        <v>313</v>
      </c>
      <c r="H229" s="26" t="s">
        <v>34</v>
      </c>
      <c r="I229" s="26" t="s">
        <v>386</v>
      </c>
      <c r="J229" s="26">
        <v>2.0</v>
      </c>
      <c r="K229" s="26" t="s">
        <v>1747</v>
      </c>
      <c r="L229" s="26" t="s">
        <v>15</v>
      </c>
      <c r="M229" s="26" t="s">
        <v>81</v>
      </c>
      <c r="N229" s="26" t="s">
        <v>307</v>
      </c>
      <c r="O229" s="26">
        <v>2.0</v>
      </c>
    </row>
    <row r="230" ht="15.75" customHeight="1">
      <c r="A230" s="26" t="s">
        <v>1748</v>
      </c>
      <c r="B230" s="26" t="s">
        <v>1749</v>
      </c>
      <c r="C230" s="26" t="s">
        <v>312</v>
      </c>
      <c r="D230" s="26" t="s">
        <v>48</v>
      </c>
      <c r="E230" s="26" t="s">
        <v>1750</v>
      </c>
      <c r="F230" s="26" t="s">
        <v>366</v>
      </c>
      <c r="G230" s="26" t="s">
        <v>258</v>
      </c>
      <c r="H230" s="26" t="s">
        <v>61</v>
      </c>
      <c r="I230" s="26"/>
      <c r="J230" s="26">
        <v>1.0</v>
      </c>
      <c r="K230" s="26" t="s">
        <v>1751</v>
      </c>
      <c r="L230" s="26" t="s">
        <v>15</v>
      </c>
      <c r="M230" s="26" t="s">
        <v>81</v>
      </c>
      <c r="N230" s="26" t="s">
        <v>307</v>
      </c>
      <c r="O230" s="26">
        <v>2.0</v>
      </c>
    </row>
    <row r="231" ht="15.75" customHeight="1">
      <c r="A231" s="26" t="s">
        <v>1752</v>
      </c>
      <c r="B231" s="26" t="s">
        <v>1753</v>
      </c>
      <c r="C231" s="26" t="s">
        <v>429</v>
      </c>
      <c r="D231" s="26" t="s">
        <v>48</v>
      </c>
      <c r="E231" s="26" t="s">
        <v>1754</v>
      </c>
      <c r="F231" s="26" t="s">
        <v>366</v>
      </c>
      <c r="G231" s="26" t="s">
        <v>258</v>
      </c>
      <c r="H231" s="26" t="s">
        <v>61</v>
      </c>
      <c r="I231" s="26" t="s">
        <v>248</v>
      </c>
      <c r="J231" s="26">
        <v>2.0</v>
      </c>
      <c r="K231" s="26" t="s">
        <v>1755</v>
      </c>
      <c r="L231" s="26" t="s">
        <v>15</v>
      </c>
      <c r="M231" s="26" t="s">
        <v>81</v>
      </c>
      <c r="N231" s="26" t="s">
        <v>307</v>
      </c>
      <c r="O231" s="26">
        <v>2.0</v>
      </c>
    </row>
    <row r="232" ht="15.75" customHeight="1">
      <c r="A232" s="26" t="s">
        <v>1756</v>
      </c>
      <c r="B232" s="26" t="s">
        <v>1757</v>
      </c>
      <c r="C232" s="26" t="s">
        <v>429</v>
      </c>
      <c r="D232" s="26" t="s">
        <v>50</v>
      </c>
      <c r="E232" s="26" t="s">
        <v>1758</v>
      </c>
      <c r="F232" s="26" t="s">
        <v>336</v>
      </c>
      <c r="G232" s="26" t="s">
        <v>75</v>
      </c>
      <c r="H232" s="26" t="s">
        <v>53</v>
      </c>
      <c r="I232" s="26" t="s">
        <v>245</v>
      </c>
      <c r="J232" s="26">
        <v>3.0</v>
      </c>
      <c r="K232" s="26" t="s">
        <v>136</v>
      </c>
      <c r="L232" s="26" t="s">
        <v>29</v>
      </c>
      <c r="M232" s="26" t="s">
        <v>95</v>
      </c>
      <c r="N232" s="26" t="s">
        <v>307</v>
      </c>
      <c r="O232" s="26">
        <v>1.0</v>
      </c>
    </row>
    <row r="233" ht="15.75" customHeight="1">
      <c r="A233" s="26" t="s">
        <v>1759</v>
      </c>
      <c r="B233" s="26" t="s">
        <v>1760</v>
      </c>
      <c r="C233" s="26" t="s">
        <v>429</v>
      </c>
      <c r="D233" s="26" t="s">
        <v>50</v>
      </c>
      <c r="E233" s="26" t="s">
        <v>1761</v>
      </c>
      <c r="F233" s="26" t="s">
        <v>847</v>
      </c>
      <c r="G233" s="26" t="s">
        <v>328</v>
      </c>
      <c r="H233" s="26" t="s">
        <v>49</v>
      </c>
      <c r="I233" s="26"/>
      <c r="J233" s="26">
        <v>1.0</v>
      </c>
      <c r="K233" s="26" t="s">
        <v>1762</v>
      </c>
      <c r="L233" s="26" t="s">
        <v>15</v>
      </c>
      <c r="M233" s="26" t="s">
        <v>81</v>
      </c>
      <c r="N233" s="26" t="s">
        <v>307</v>
      </c>
      <c r="O233" s="26">
        <v>3.0</v>
      </c>
    </row>
    <row r="234" ht="15.75" customHeight="1">
      <c r="A234" s="26" t="s">
        <v>1763</v>
      </c>
      <c r="B234" s="26" t="s">
        <v>1764</v>
      </c>
      <c r="C234" s="26" t="s">
        <v>363</v>
      </c>
      <c r="D234" s="26" t="s">
        <v>48</v>
      </c>
      <c r="E234" s="26" t="s">
        <v>1765</v>
      </c>
      <c r="F234" s="26" t="s">
        <v>366</v>
      </c>
      <c r="G234" s="26" t="s">
        <v>258</v>
      </c>
      <c r="H234" s="26" t="s">
        <v>61</v>
      </c>
      <c r="I234" s="26"/>
      <c r="J234" s="26">
        <v>1.0</v>
      </c>
      <c r="K234" s="26" t="s">
        <v>136</v>
      </c>
      <c r="L234" s="26" t="s">
        <v>29</v>
      </c>
      <c r="M234" s="26" t="s">
        <v>95</v>
      </c>
      <c r="N234" s="26" t="s">
        <v>307</v>
      </c>
      <c r="O234" s="26">
        <v>2.0</v>
      </c>
    </row>
    <row r="235" ht="15.75" customHeight="1">
      <c r="A235" s="26" t="s">
        <v>1766</v>
      </c>
      <c r="B235" s="26" t="s">
        <v>1764</v>
      </c>
      <c r="C235" s="26" t="s">
        <v>363</v>
      </c>
      <c r="D235" s="26" t="s">
        <v>48</v>
      </c>
      <c r="E235" s="26" t="s">
        <v>1767</v>
      </c>
      <c r="F235" s="26" t="s">
        <v>834</v>
      </c>
      <c r="G235" s="26" t="s">
        <v>267</v>
      </c>
      <c r="H235" s="26" t="s">
        <v>34</v>
      </c>
      <c r="I235" s="26"/>
      <c r="J235" s="26">
        <v>1.0</v>
      </c>
      <c r="K235" s="26" t="s">
        <v>1768</v>
      </c>
      <c r="L235" s="26" t="s">
        <v>15</v>
      </c>
      <c r="M235" s="26" t="s">
        <v>81</v>
      </c>
      <c r="N235" s="26" t="s">
        <v>307</v>
      </c>
      <c r="O235" s="26">
        <v>2.0</v>
      </c>
    </row>
    <row r="236" ht="15.75" customHeight="1">
      <c r="A236" s="26" t="s">
        <v>1769</v>
      </c>
      <c r="B236" s="26" t="s">
        <v>1770</v>
      </c>
      <c r="C236" s="26" t="s">
        <v>363</v>
      </c>
      <c r="D236" s="26" t="s">
        <v>48</v>
      </c>
      <c r="E236" s="26" t="s">
        <v>1771</v>
      </c>
      <c r="F236" s="26" t="s">
        <v>1014</v>
      </c>
      <c r="G236" s="26" t="s">
        <v>248</v>
      </c>
      <c r="H236" s="26" t="s">
        <v>46</v>
      </c>
      <c r="I236" s="26"/>
      <c r="J236" s="26">
        <v>1.0</v>
      </c>
      <c r="K236" s="26" t="s">
        <v>1772</v>
      </c>
      <c r="L236" s="26" t="s">
        <v>15</v>
      </c>
      <c r="M236" s="26" t="s">
        <v>81</v>
      </c>
      <c r="N236" s="26" t="s">
        <v>307</v>
      </c>
      <c r="O236" s="26">
        <v>2.0</v>
      </c>
    </row>
    <row r="237" ht="15.75" customHeight="1">
      <c r="A237" s="26" t="s">
        <v>1773</v>
      </c>
      <c r="B237" s="26" t="s">
        <v>1774</v>
      </c>
      <c r="C237" s="26" t="s">
        <v>429</v>
      </c>
      <c r="D237" s="26" t="s">
        <v>48</v>
      </c>
      <c r="E237" s="26" t="s">
        <v>1775</v>
      </c>
      <c r="F237" s="26" t="s">
        <v>366</v>
      </c>
      <c r="G237" s="26" t="s">
        <v>258</v>
      </c>
      <c r="H237" s="26" t="s">
        <v>61</v>
      </c>
      <c r="I237" s="26" t="s">
        <v>267</v>
      </c>
      <c r="J237" s="26">
        <v>2.0</v>
      </c>
      <c r="K237" s="26" t="s">
        <v>1776</v>
      </c>
      <c r="L237" s="26" t="s">
        <v>15</v>
      </c>
      <c r="M237" s="26" t="s">
        <v>81</v>
      </c>
      <c r="N237" s="26" t="s">
        <v>307</v>
      </c>
      <c r="O237" s="26">
        <v>2.0</v>
      </c>
    </row>
    <row r="238" ht="15.75" customHeight="1">
      <c r="A238" s="26" t="s">
        <v>1777</v>
      </c>
      <c r="B238" s="26" t="s">
        <v>1778</v>
      </c>
      <c r="C238" s="26" t="s">
        <v>300</v>
      </c>
      <c r="D238" s="26" t="s">
        <v>48</v>
      </c>
      <c r="E238" s="26" t="s">
        <v>531</v>
      </c>
      <c r="F238" s="26" t="s">
        <v>672</v>
      </c>
      <c r="G238" s="26" t="s">
        <v>339</v>
      </c>
      <c r="H238" s="26" t="s">
        <v>49</v>
      </c>
      <c r="I238" s="26"/>
      <c r="J238" s="26">
        <v>1.0</v>
      </c>
      <c r="K238" s="26" t="s">
        <v>532</v>
      </c>
      <c r="L238" s="26" t="s">
        <v>15</v>
      </c>
      <c r="M238" s="26" t="s">
        <v>81</v>
      </c>
      <c r="N238" s="26" t="s">
        <v>307</v>
      </c>
      <c r="O238" s="26">
        <v>2.0</v>
      </c>
    </row>
    <row r="239" ht="15.75" customHeight="1">
      <c r="A239" s="26" t="s">
        <v>1779</v>
      </c>
      <c r="B239" s="26" t="s">
        <v>1780</v>
      </c>
      <c r="C239" s="26" t="s">
        <v>322</v>
      </c>
      <c r="D239" s="26" t="s">
        <v>50</v>
      </c>
      <c r="E239" s="26" t="s">
        <v>1781</v>
      </c>
      <c r="F239" s="26" t="s">
        <v>1309</v>
      </c>
      <c r="G239" s="26" t="s">
        <v>245</v>
      </c>
      <c r="H239" s="26" t="s">
        <v>57</v>
      </c>
      <c r="I239" s="26" t="s">
        <v>328</v>
      </c>
      <c r="J239" s="26">
        <v>2.0</v>
      </c>
      <c r="K239" s="26" t="s">
        <v>1782</v>
      </c>
      <c r="L239" s="26" t="s">
        <v>15</v>
      </c>
      <c r="M239" s="26" t="s">
        <v>81</v>
      </c>
      <c r="N239" s="26" t="s">
        <v>307</v>
      </c>
      <c r="O239" s="26">
        <v>2.0</v>
      </c>
    </row>
    <row r="240" ht="15.75" customHeight="1">
      <c r="A240" s="26" t="s">
        <v>1783</v>
      </c>
      <c r="B240" s="26" t="s">
        <v>1784</v>
      </c>
      <c r="C240" s="26" t="s">
        <v>363</v>
      </c>
      <c r="D240" s="26" t="s">
        <v>48</v>
      </c>
      <c r="E240" s="26" t="s">
        <v>1785</v>
      </c>
      <c r="F240" s="26" t="s">
        <v>1727</v>
      </c>
      <c r="G240" s="26" t="s">
        <v>284</v>
      </c>
      <c r="H240" s="26" t="s">
        <v>46</v>
      </c>
      <c r="I240" s="26"/>
      <c r="J240" s="26">
        <v>0.0</v>
      </c>
      <c r="K240" s="26" t="s">
        <v>1786</v>
      </c>
      <c r="L240" s="26" t="s">
        <v>15</v>
      </c>
      <c r="M240" s="26" t="s">
        <v>81</v>
      </c>
      <c r="N240" s="26" t="s">
        <v>307</v>
      </c>
      <c r="O240" s="26">
        <v>2.0</v>
      </c>
    </row>
    <row r="241" ht="15.75" customHeight="1">
      <c r="A241" s="26" t="s">
        <v>1787</v>
      </c>
      <c r="B241" s="26" t="s">
        <v>1788</v>
      </c>
      <c r="C241" s="26" t="s">
        <v>429</v>
      </c>
      <c r="D241" s="26" t="s">
        <v>48</v>
      </c>
      <c r="E241" s="26" t="s">
        <v>1789</v>
      </c>
      <c r="F241" s="26" t="s">
        <v>1014</v>
      </c>
      <c r="G241" s="26" t="s">
        <v>248</v>
      </c>
      <c r="H241" s="26" t="s">
        <v>46</v>
      </c>
      <c r="I241" s="26" t="s">
        <v>401</v>
      </c>
      <c r="J241" s="26">
        <v>2.0</v>
      </c>
      <c r="K241" s="26" t="s">
        <v>1790</v>
      </c>
      <c r="L241" s="26" t="s">
        <v>15</v>
      </c>
      <c r="M241" s="26" t="s">
        <v>81</v>
      </c>
      <c r="N241" s="26" t="s">
        <v>307</v>
      </c>
      <c r="O241" s="26">
        <v>2.0</v>
      </c>
    </row>
    <row r="242" ht="15.75" customHeight="1">
      <c r="A242" s="26" t="s">
        <v>1791</v>
      </c>
      <c r="B242" s="26" t="s">
        <v>1792</v>
      </c>
      <c r="C242" s="26" t="s">
        <v>300</v>
      </c>
      <c r="D242" s="26" t="s">
        <v>48</v>
      </c>
      <c r="E242" s="26" t="s">
        <v>1793</v>
      </c>
      <c r="F242" s="26" t="s">
        <v>625</v>
      </c>
      <c r="G242" s="26" t="s">
        <v>313</v>
      </c>
      <c r="H242" s="26" t="s">
        <v>34</v>
      </c>
      <c r="I242" s="26" t="s">
        <v>386</v>
      </c>
      <c r="J242" s="26">
        <v>2.0</v>
      </c>
      <c r="K242" s="26" t="s">
        <v>1794</v>
      </c>
      <c r="L242" s="26" t="s">
        <v>15</v>
      </c>
      <c r="M242" s="26" t="s">
        <v>81</v>
      </c>
      <c r="N242" s="26" t="s">
        <v>307</v>
      </c>
      <c r="O242" s="26">
        <v>2.0</v>
      </c>
    </row>
    <row r="243" ht="15.75" customHeight="1">
      <c r="A243" s="26" t="s">
        <v>1795</v>
      </c>
      <c r="B243" s="26" t="s">
        <v>1796</v>
      </c>
      <c r="C243" s="26" t="s">
        <v>312</v>
      </c>
      <c r="D243" s="26" t="s">
        <v>48</v>
      </c>
      <c r="E243" s="26" t="s">
        <v>1797</v>
      </c>
      <c r="F243" s="26" t="s">
        <v>1727</v>
      </c>
      <c r="G243" s="26" t="s">
        <v>284</v>
      </c>
      <c r="H243" s="26" t="s">
        <v>46</v>
      </c>
      <c r="I243" s="26"/>
      <c r="J243" s="26">
        <v>0.0</v>
      </c>
      <c r="K243" s="26" t="s">
        <v>136</v>
      </c>
      <c r="L243" s="26" t="s">
        <v>29</v>
      </c>
      <c r="M243" s="26" t="s">
        <v>95</v>
      </c>
      <c r="N243" s="26" t="s">
        <v>307</v>
      </c>
      <c r="O243" s="26">
        <v>2.0</v>
      </c>
    </row>
    <row r="244" ht="15.75" customHeight="1">
      <c r="A244" s="26" t="s">
        <v>1798</v>
      </c>
      <c r="B244" s="26" t="s">
        <v>1799</v>
      </c>
      <c r="C244" s="26" t="s">
        <v>312</v>
      </c>
      <c r="D244" s="26" t="s">
        <v>48</v>
      </c>
      <c r="E244" s="26" t="s">
        <v>1800</v>
      </c>
      <c r="F244" s="26" t="s">
        <v>672</v>
      </c>
      <c r="G244" s="26" t="s">
        <v>339</v>
      </c>
      <c r="H244" s="26" t="s">
        <v>49</v>
      </c>
      <c r="I244" s="26"/>
      <c r="J244" s="26">
        <v>1.0</v>
      </c>
      <c r="K244" s="26" t="s">
        <v>1801</v>
      </c>
      <c r="L244" s="26" t="s">
        <v>15</v>
      </c>
      <c r="M244" s="26" t="s">
        <v>81</v>
      </c>
      <c r="N244" s="26" t="s">
        <v>307</v>
      </c>
      <c r="O244" s="26">
        <v>2.0</v>
      </c>
    </row>
    <row r="245" ht="15.75" customHeight="1">
      <c r="A245" s="26" t="s">
        <v>1802</v>
      </c>
      <c r="B245" s="26" t="s">
        <v>1803</v>
      </c>
      <c r="C245" s="26" t="s">
        <v>429</v>
      </c>
      <c r="D245" s="26" t="s">
        <v>48</v>
      </c>
      <c r="E245" s="26" t="s">
        <v>541</v>
      </c>
      <c r="F245" s="26" t="s">
        <v>463</v>
      </c>
      <c r="G245" s="26" t="s">
        <v>365</v>
      </c>
      <c r="H245" s="26" t="s">
        <v>53</v>
      </c>
      <c r="I245" s="26"/>
      <c r="J245" s="26">
        <v>1.0</v>
      </c>
      <c r="K245" s="26" t="s">
        <v>542</v>
      </c>
      <c r="L245" s="26" t="s">
        <v>15</v>
      </c>
      <c r="M245" s="26" t="s">
        <v>81</v>
      </c>
      <c r="N245" s="26" t="s">
        <v>307</v>
      </c>
      <c r="O245" s="26">
        <v>2.0</v>
      </c>
    </row>
    <row r="246" ht="15.75" customHeight="1">
      <c r="A246" s="26" t="s">
        <v>1804</v>
      </c>
      <c r="B246" s="26" t="s">
        <v>1805</v>
      </c>
      <c r="C246" s="26" t="s">
        <v>312</v>
      </c>
      <c r="D246" s="26" t="s">
        <v>48</v>
      </c>
      <c r="E246" s="26" t="s">
        <v>615</v>
      </c>
      <c r="F246" s="26" t="s">
        <v>1620</v>
      </c>
      <c r="G246" s="26" t="s">
        <v>438</v>
      </c>
      <c r="H246" s="26" t="s">
        <v>34</v>
      </c>
      <c r="I246" s="26"/>
      <c r="J246" s="26">
        <v>0.0</v>
      </c>
      <c r="K246" s="26" t="s">
        <v>617</v>
      </c>
      <c r="L246" s="26" t="s">
        <v>15</v>
      </c>
      <c r="M246" s="26" t="s">
        <v>81</v>
      </c>
      <c r="N246" s="26" t="s">
        <v>307</v>
      </c>
      <c r="O246" s="26">
        <v>2.0</v>
      </c>
    </row>
    <row r="247" ht="15.75" customHeight="1">
      <c r="A247" s="26" t="s">
        <v>1806</v>
      </c>
      <c r="B247" s="26" t="s">
        <v>1807</v>
      </c>
      <c r="C247" s="26" t="s">
        <v>363</v>
      </c>
      <c r="D247" s="26" t="s">
        <v>48</v>
      </c>
      <c r="E247" s="26" t="s">
        <v>1808</v>
      </c>
      <c r="F247" s="26" t="s">
        <v>366</v>
      </c>
      <c r="G247" s="26" t="s">
        <v>258</v>
      </c>
      <c r="H247" s="26" t="s">
        <v>61</v>
      </c>
      <c r="I247" s="26" t="s">
        <v>339</v>
      </c>
      <c r="J247" s="26">
        <v>3.0</v>
      </c>
      <c r="K247" s="26" t="s">
        <v>1809</v>
      </c>
      <c r="L247" s="26" t="s">
        <v>15</v>
      </c>
      <c r="M247" s="26" t="s">
        <v>81</v>
      </c>
      <c r="N247" s="26" t="s">
        <v>307</v>
      </c>
      <c r="O247" s="26">
        <v>2.0</v>
      </c>
    </row>
    <row r="248" ht="15.75" customHeight="1">
      <c r="A248" s="26" t="s">
        <v>1810</v>
      </c>
      <c r="B248" s="26" t="s">
        <v>1811</v>
      </c>
      <c r="C248" s="26" t="s">
        <v>363</v>
      </c>
      <c r="D248" s="26" t="s">
        <v>62</v>
      </c>
      <c r="E248" s="26" t="s">
        <v>1812</v>
      </c>
      <c r="F248" s="26" t="s">
        <v>1813</v>
      </c>
      <c r="G248" s="26" t="s">
        <v>107</v>
      </c>
      <c r="H248" s="26" t="s">
        <v>46</v>
      </c>
      <c r="I248" s="26"/>
      <c r="J248" s="26">
        <v>1.0</v>
      </c>
      <c r="K248" s="26" t="s">
        <v>433</v>
      </c>
      <c r="L248" s="26" t="s">
        <v>19</v>
      </c>
      <c r="M248" s="26" t="s">
        <v>66</v>
      </c>
      <c r="N248" s="26" t="s">
        <v>307</v>
      </c>
      <c r="O248" s="26">
        <v>4.0</v>
      </c>
    </row>
    <row r="249" ht="15.75" customHeight="1">
      <c r="A249" s="26" t="s">
        <v>1814</v>
      </c>
      <c r="B249" s="26" t="s">
        <v>1730</v>
      </c>
      <c r="C249" s="26" t="s">
        <v>429</v>
      </c>
      <c r="D249" s="26" t="s">
        <v>50</v>
      </c>
      <c r="E249" s="26" t="s">
        <v>1731</v>
      </c>
      <c r="F249" s="26" t="s">
        <v>1309</v>
      </c>
      <c r="G249" s="26" t="s">
        <v>245</v>
      </c>
      <c r="H249" s="26" t="s">
        <v>57</v>
      </c>
      <c r="I249" s="26"/>
      <c r="J249" s="26">
        <v>1.0</v>
      </c>
      <c r="K249" s="26" t="s">
        <v>1739</v>
      </c>
      <c r="L249" s="26" t="s">
        <v>15</v>
      </c>
      <c r="M249" s="26" t="s">
        <v>81</v>
      </c>
      <c r="N249" s="26" t="s">
        <v>307</v>
      </c>
      <c r="O249" s="26">
        <v>2.0</v>
      </c>
    </row>
    <row r="250" ht="15.75" customHeight="1">
      <c r="A250" s="26" t="s">
        <v>1815</v>
      </c>
      <c r="B250" s="26" t="s">
        <v>1816</v>
      </c>
      <c r="C250" s="26" t="s">
        <v>363</v>
      </c>
      <c r="D250" s="26" t="s">
        <v>62</v>
      </c>
      <c r="E250" s="26" t="s">
        <v>938</v>
      </c>
      <c r="F250" s="26" t="s">
        <v>1813</v>
      </c>
      <c r="G250" s="26" t="s">
        <v>107</v>
      </c>
      <c r="H250" s="26" t="s">
        <v>46</v>
      </c>
      <c r="I250" s="26"/>
      <c r="J250" s="26">
        <v>1.0</v>
      </c>
      <c r="K250" s="26" t="s">
        <v>433</v>
      </c>
      <c r="L250" s="26" t="s">
        <v>19</v>
      </c>
      <c r="M250" s="26" t="s">
        <v>66</v>
      </c>
      <c r="N250" s="26" t="s">
        <v>307</v>
      </c>
      <c r="O250" s="26">
        <v>3.0</v>
      </c>
    </row>
    <row r="251" ht="15.75" customHeight="1">
      <c r="A251" s="26" t="s">
        <v>1817</v>
      </c>
      <c r="B251" s="26" t="s">
        <v>1818</v>
      </c>
      <c r="C251" s="26" t="s">
        <v>363</v>
      </c>
      <c r="D251" s="26" t="s">
        <v>48</v>
      </c>
      <c r="E251" s="26" t="s">
        <v>569</v>
      </c>
      <c r="F251" s="26" t="s">
        <v>1819</v>
      </c>
      <c r="G251" s="26" t="s">
        <v>386</v>
      </c>
      <c r="H251" s="26" t="s">
        <v>46</v>
      </c>
      <c r="I251" s="26"/>
      <c r="J251" s="26">
        <v>1.0</v>
      </c>
      <c r="K251" s="26" t="s">
        <v>570</v>
      </c>
      <c r="L251" s="26" t="s">
        <v>15</v>
      </c>
      <c r="M251" s="26" t="s">
        <v>81</v>
      </c>
      <c r="N251" s="26" t="s">
        <v>307</v>
      </c>
      <c r="O251" s="26">
        <v>1.0</v>
      </c>
    </row>
    <row r="252" ht="15.75" customHeight="1">
      <c r="A252" s="26" t="s">
        <v>1820</v>
      </c>
      <c r="B252" s="26" t="s">
        <v>1821</v>
      </c>
      <c r="C252" s="26" t="s">
        <v>300</v>
      </c>
      <c r="D252" s="26" t="s">
        <v>48</v>
      </c>
      <c r="E252" s="26" t="s">
        <v>1822</v>
      </c>
      <c r="F252" s="26" t="s">
        <v>834</v>
      </c>
      <c r="G252" s="26" t="s">
        <v>267</v>
      </c>
      <c r="H252" s="26" t="s">
        <v>34</v>
      </c>
      <c r="I252" s="26" t="s">
        <v>386</v>
      </c>
      <c r="J252" s="26">
        <v>2.0</v>
      </c>
      <c r="K252" s="26" t="s">
        <v>1823</v>
      </c>
      <c r="L252" s="26" t="s">
        <v>15</v>
      </c>
      <c r="M252" s="26" t="s">
        <v>81</v>
      </c>
      <c r="N252" s="26" t="s">
        <v>307</v>
      </c>
      <c r="O252" s="26">
        <v>1.0</v>
      </c>
    </row>
    <row r="253" ht="15.75" customHeight="1">
      <c r="A253" s="26" t="s">
        <v>1824</v>
      </c>
      <c r="B253" s="26" t="s">
        <v>1825</v>
      </c>
      <c r="C253" s="26" t="s">
        <v>300</v>
      </c>
      <c r="D253" s="26" t="s">
        <v>93</v>
      </c>
      <c r="E253" s="26" t="s">
        <v>1408</v>
      </c>
      <c r="F253" s="26" t="s">
        <v>1826</v>
      </c>
      <c r="G253" s="26" t="s">
        <v>1404</v>
      </c>
      <c r="H253" s="26" t="s">
        <v>34</v>
      </c>
      <c r="I253" s="26"/>
      <c r="J253" s="26">
        <v>1.0</v>
      </c>
      <c r="K253" s="26" t="s">
        <v>1409</v>
      </c>
      <c r="L253" s="26" t="s">
        <v>19</v>
      </c>
      <c r="M253" s="26" t="s">
        <v>66</v>
      </c>
      <c r="N253" s="26" t="s">
        <v>307</v>
      </c>
      <c r="O253" s="26">
        <v>3.0</v>
      </c>
    </row>
    <row r="254" ht="15.75" customHeight="1">
      <c r="A254" s="26" t="s">
        <v>1827</v>
      </c>
      <c r="B254" s="26" t="s">
        <v>1828</v>
      </c>
      <c r="C254" s="26" t="s">
        <v>363</v>
      </c>
      <c r="D254" s="26" t="s">
        <v>93</v>
      </c>
      <c r="E254" s="26" t="s">
        <v>1829</v>
      </c>
      <c r="F254" s="26" t="s">
        <v>1826</v>
      </c>
      <c r="G254" s="26" t="s">
        <v>1404</v>
      </c>
      <c r="H254" s="26" t="s">
        <v>34</v>
      </c>
      <c r="I254" s="26"/>
      <c r="J254" s="26">
        <v>1.0</v>
      </c>
      <c r="K254" s="26" t="s">
        <v>1830</v>
      </c>
      <c r="L254" s="26" t="s">
        <v>19</v>
      </c>
      <c r="M254" s="26" t="s">
        <v>66</v>
      </c>
      <c r="N254" s="26" t="s">
        <v>307</v>
      </c>
      <c r="O254" s="26">
        <v>1.0</v>
      </c>
    </row>
    <row r="255" ht="15.75" customHeight="1">
      <c r="A255" s="26" t="s">
        <v>1831</v>
      </c>
      <c r="B255" s="26" t="s">
        <v>1832</v>
      </c>
      <c r="C255" s="26" t="s">
        <v>363</v>
      </c>
      <c r="D255" s="26" t="s">
        <v>54</v>
      </c>
      <c r="E255" s="26" t="s">
        <v>1833</v>
      </c>
      <c r="F255" s="26" t="s">
        <v>432</v>
      </c>
      <c r="G255" s="26" t="s">
        <v>182</v>
      </c>
      <c r="H255" s="26" t="s">
        <v>34</v>
      </c>
      <c r="I255" s="26" t="s">
        <v>217</v>
      </c>
      <c r="J255" s="26">
        <v>2.0</v>
      </c>
      <c r="K255" s="26" t="s">
        <v>1834</v>
      </c>
      <c r="L255" s="26" t="s">
        <v>15</v>
      </c>
      <c r="M255" s="26" t="s">
        <v>81</v>
      </c>
      <c r="N255" s="26" t="s">
        <v>307</v>
      </c>
      <c r="O255" s="26">
        <v>2.0</v>
      </c>
    </row>
    <row r="256" ht="15.75" customHeight="1">
      <c r="A256" s="26" t="s">
        <v>1835</v>
      </c>
      <c r="B256" s="26" t="s">
        <v>1821</v>
      </c>
      <c r="C256" s="26" t="s">
        <v>312</v>
      </c>
      <c r="D256" s="26" t="s">
        <v>45</v>
      </c>
      <c r="E256" s="26" t="s">
        <v>1836</v>
      </c>
      <c r="F256" s="26" t="s">
        <v>1237</v>
      </c>
      <c r="G256" s="26" t="s">
        <v>166</v>
      </c>
      <c r="H256" s="26" t="s">
        <v>46</v>
      </c>
      <c r="I256" s="26" t="s">
        <v>169</v>
      </c>
      <c r="J256" s="26">
        <v>2.0</v>
      </c>
      <c r="K256" s="26" t="s">
        <v>1837</v>
      </c>
      <c r="L256" s="26" t="s">
        <v>15</v>
      </c>
      <c r="M256" s="26" t="s">
        <v>81</v>
      </c>
      <c r="N256" s="26" t="s">
        <v>307</v>
      </c>
      <c r="O256" s="26">
        <v>2.0</v>
      </c>
    </row>
    <row r="257" ht="15.75" customHeight="1">
      <c r="A257" s="26" t="s">
        <v>1838</v>
      </c>
      <c r="B257" s="26" t="s">
        <v>1839</v>
      </c>
      <c r="C257" s="26" t="s">
        <v>300</v>
      </c>
      <c r="D257" s="26" t="s">
        <v>45</v>
      </c>
      <c r="E257" s="26" t="s">
        <v>1840</v>
      </c>
      <c r="F257" s="26" t="s">
        <v>744</v>
      </c>
      <c r="G257" s="26" t="s">
        <v>148</v>
      </c>
      <c r="H257" s="26" t="s">
        <v>34</v>
      </c>
      <c r="I257" s="26" t="s">
        <v>82</v>
      </c>
      <c r="J257" s="26">
        <v>2.0</v>
      </c>
      <c r="K257" s="26" t="s">
        <v>136</v>
      </c>
      <c r="L257" s="26" t="s">
        <v>29</v>
      </c>
      <c r="M257" s="26" t="s">
        <v>95</v>
      </c>
      <c r="N257" s="26" t="s">
        <v>307</v>
      </c>
      <c r="O257" s="26">
        <v>2.0</v>
      </c>
    </row>
    <row r="258" ht="15.75" customHeight="1">
      <c r="A258" s="26" t="s">
        <v>1841</v>
      </c>
      <c r="B258" s="26" t="s">
        <v>1842</v>
      </c>
      <c r="C258" s="26" t="s">
        <v>312</v>
      </c>
      <c r="D258" s="26" t="s">
        <v>50</v>
      </c>
      <c r="E258" s="26" t="s">
        <v>1843</v>
      </c>
      <c r="F258" s="26" t="s">
        <v>336</v>
      </c>
      <c r="G258" s="26" t="s">
        <v>75</v>
      </c>
      <c r="H258" s="26" t="s">
        <v>53</v>
      </c>
      <c r="I258" s="26" t="s">
        <v>328</v>
      </c>
      <c r="J258" s="26">
        <v>2.0</v>
      </c>
      <c r="K258" s="26" t="s">
        <v>1844</v>
      </c>
      <c r="L258" s="26" t="s">
        <v>15</v>
      </c>
      <c r="M258" s="26" t="s">
        <v>81</v>
      </c>
      <c r="N258" s="26" t="s">
        <v>307</v>
      </c>
      <c r="O258" s="26">
        <v>4.0</v>
      </c>
    </row>
    <row r="259" ht="15.75" customHeight="1">
      <c r="A259" s="26" t="s">
        <v>1845</v>
      </c>
      <c r="B259" s="26" t="s">
        <v>1846</v>
      </c>
      <c r="C259" s="26" t="s">
        <v>429</v>
      </c>
      <c r="D259" s="26" t="s">
        <v>45</v>
      </c>
      <c r="E259" s="26" t="s">
        <v>1847</v>
      </c>
      <c r="F259" s="26" t="s">
        <v>744</v>
      </c>
      <c r="G259" s="26" t="s">
        <v>148</v>
      </c>
      <c r="H259" s="26" t="s">
        <v>34</v>
      </c>
      <c r="I259" s="26" t="s">
        <v>140</v>
      </c>
      <c r="J259" s="26">
        <v>5.0</v>
      </c>
      <c r="K259" s="26" t="s">
        <v>1848</v>
      </c>
      <c r="L259" s="26" t="s">
        <v>15</v>
      </c>
      <c r="M259" s="26" t="s">
        <v>81</v>
      </c>
      <c r="N259" s="26" t="s">
        <v>307</v>
      </c>
      <c r="O259" s="26">
        <v>0.0</v>
      </c>
    </row>
    <row r="260" ht="15.75" customHeight="1">
      <c r="A260" s="26" t="s">
        <v>1849</v>
      </c>
      <c r="B260" s="26" t="s">
        <v>1850</v>
      </c>
      <c r="C260" s="26" t="s">
        <v>312</v>
      </c>
      <c r="D260" s="26" t="s">
        <v>48</v>
      </c>
      <c r="E260" s="26" t="s">
        <v>1851</v>
      </c>
      <c r="F260" s="26" t="s">
        <v>590</v>
      </c>
      <c r="G260" s="26" t="s">
        <v>329</v>
      </c>
      <c r="H260" s="26" t="s">
        <v>46</v>
      </c>
      <c r="I260" s="26"/>
      <c r="J260" s="26">
        <v>1.0</v>
      </c>
      <c r="K260" s="26" t="s">
        <v>1852</v>
      </c>
      <c r="L260" s="26" t="s">
        <v>15</v>
      </c>
      <c r="M260" s="26" t="s">
        <v>81</v>
      </c>
      <c r="N260" s="26" t="s">
        <v>307</v>
      </c>
      <c r="O260" s="26">
        <v>0.0</v>
      </c>
    </row>
    <row r="261" ht="15.75" customHeight="1">
      <c r="A261" s="26" t="s">
        <v>1853</v>
      </c>
      <c r="B261" s="26" t="s">
        <v>1854</v>
      </c>
      <c r="C261" s="26" t="s">
        <v>363</v>
      </c>
      <c r="D261" s="26" t="s">
        <v>36</v>
      </c>
      <c r="E261" s="26" t="s">
        <v>221</v>
      </c>
      <c r="F261" s="26" t="s">
        <v>1698</v>
      </c>
      <c r="G261" s="26" t="s">
        <v>106</v>
      </c>
      <c r="H261" s="26" t="s">
        <v>57</v>
      </c>
      <c r="I261" s="26" t="s">
        <v>92</v>
      </c>
      <c r="J261" s="26">
        <v>2.0</v>
      </c>
      <c r="K261" s="26" t="s">
        <v>223</v>
      </c>
      <c r="L261" s="26" t="s">
        <v>19</v>
      </c>
      <c r="M261" s="26" t="s">
        <v>87</v>
      </c>
      <c r="N261" s="26" t="s">
        <v>307</v>
      </c>
      <c r="O261" s="26">
        <v>0.0</v>
      </c>
    </row>
    <row r="262" ht="15.75" customHeight="1">
      <c r="A262" s="26" t="s">
        <v>1855</v>
      </c>
      <c r="B262" s="26" t="s">
        <v>1856</v>
      </c>
      <c r="C262" s="26" t="s">
        <v>429</v>
      </c>
      <c r="D262" s="26" t="s">
        <v>48</v>
      </c>
      <c r="E262" s="26" t="s">
        <v>444</v>
      </c>
      <c r="F262" s="26" t="s">
        <v>366</v>
      </c>
      <c r="G262" s="26" t="s">
        <v>258</v>
      </c>
      <c r="H262" s="26" t="s">
        <v>61</v>
      </c>
      <c r="I262" s="26"/>
      <c r="J262" s="26">
        <v>1.0</v>
      </c>
      <c r="K262" s="26" t="s">
        <v>445</v>
      </c>
      <c r="L262" s="26" t="s">
        <v>15</v>
      </c>
      <c r="M262" s="26" t="s">
        <v>81</v>
      </c>
      <c r="N262" s="26" t="s">
        <v>307</v>
      </c>
      <c r="O262" s="26">
        <v>4.0</v>
      </c>
    </row>
    <row r="263" ht="15.75" customHeight="1">
      <c r="A263" s="26" t="s">
        <v>1857</v>
      </c>
      <c r="B263" s="26" t="s">
        <v>1858</v>
      </c>
      <c r="C263" s="26" t="s">
        <v>429</v>
      </c>
      <c r="D263" s="26" t="s">
        <v>45</v>
      </c>
      <c r="E263" s="26" t="s">
        <v>1859</v>
      </c>
      <c r="F263" s="26" t="s">
        <v>799</v>
      </c>
      <c r="G263" s="26" t="s">
        <v>130</v>
      </c>
      <c r="H263" s="26" t="s">
        <v>34</v>
      </c>
      <c r="I263" s="26" t="s">
        <v>166</v>
      </c>
      <c r="J263" s="26">
        <v>2.0</v>
      </c>
      <c r="K263" s="26" t="s">
        <v>1837</v>
      </c>
      <c r="L263" s="26" t="s">
        <v>15</v>
      </c>
      <c r="M263" s="26" t="s">
        <v>81</v>
      </c>
      <c r="N263" s="26" t="s">
        <v>307</v>
      </c>
      <c r="O263" s="26">
        <v>4.0</v>
      </c>
    </row>
    <row r="264" ht="15.75" customHeight="1">
      <c r="A264" s="26" t="s">
        <v>1860</v>
      </c>
      <c r="B264" s="26" t="s">
        <v>1861</v>
      </c>
      <c r="C264" s="26" t="s">
        <v>300</v>
      </c>
      <c r="D264" s="26" t="s">
        <v>48</v>
      </c>
      <c r="E264" s="26" t="s">
        <v>1862</v>
      </c>
      <c r="F264" s="26" t="s">
        <v>1014</v>
      </c>
      <c r="G264" s="26" t="s">
        <v>248</v>
      </c>
      <c r="H264" s="26" t="s">
        <v>46</v>
      </c>
      <c r="I264" s="26" t="s">
        <v>339</v>
      </c>
      <c r="J264" s="26">
        <v>4.0</v>
      </c>
      <c r="K264" s="26" t="s">
        <v>1863</v>
      </c>
      <c r="L264" s="26" t="s">
        <v>15</v>
      </c>
      <c r="M264" s="26" t="s">
        <v>81</v>
      </c>
      <c r="N264" s="26" t="s">
        <v>307</v>
      </c>
      <c r="O264" s="26">
        <v>4.0</v>
      </c>
    </row>
    <row r="265" ht="15.75" customHeight="1">
      <c r="A265" s="26" t="s">
        <v>1864</v>
      </c>
      <c r="B265" s="26" t="s">
        <v>1865</v>
      </c>
      <c r="C265" s="26" t="s">
        <v>300</v>
      </c>
      <c r="D265" s="26" t="s">
        <v>48</v>
      </c>
      <c r="E265" s="26" t="s">
        <v>1866</v>
      </c>
      <c r="F265" s="26" t="s">
        <v>834</v>
      </c>
      <c r="G265" s="26" t="s">
        <v>267</v>
      </c>
      <c r="H265" s="26" t="s">
        <v>34</v>
      </c>
      <c r="I265" s="26"/>
      <c r="J265" s="26">
        <v>1.0</v>
      </c>
      <c r="K265" s="26" t="s">
        <v>1867</v>
      </c>
      <c r="L265" s="26" t="s">
        <v>15</v>
      </c>
      <c r="M265" s="26" t="s">
        <v>81</v>
      </c>
      <c r="N265" s="26" t="s">
        <v>307</v>
      </c>
      <c r="O265" s="26">
        <v>4.0</v>
      </c>
    </row>
    <row r="266" ht="15.75" customHeight="1">
      <c r="A266" s="26" t="s">
        <v>1868</v>
      </c>
      <c r="B266" s="26" t="s">
        <v>1869</v>
      </c>
      <c r="C266" s="26" t="s">
        <v>429</v>
      </c>
      <c r="D266" s="26" t="s">
        <v>48</v>
      </c>
      <c r="E266" s="26" t="s">
        <v>1870</v>
      </c>
      <c r="F266" s="26" t="s">
        <v>672</v>
      </c>
      <c r="G266" s="26" t="s">
        <v>339</v>
      </c>
      <c r="H266" s="26" t="s">
        <v>49</v>
      </c>
      <c r="I266" s="26"/>
      <c r="J266" s="26">
        <v>1.0</v>
      </c>
      <c r="K266" s="26" t="s">
        <v>1871</v>
      </c>
      <c r="L266" s="26" t="s">
        <v>15</v>
      </c>
      <c r="M266" s="26" t="s">
        <v>81</v>
      </c>
      <c r="N266" s="26" t="s">
        <v>307</v>
      </c>
      <c r="O266" s="26">
        <v>0.0</v>
      </c>
    </row>
    <row r="267" ht="15.75" customHeight="1">
      <c r="A267" s="26" t="s">
        <v>1872</v>
      </c>
      <c r="B267" s="26" t="s">
        <v>1873</v>
      </c>
      <c r="C267" s="26" t="s">
        <v>300</v>
      </c>
      <c r="D267" s="26" t="s">
        <v>45</v>
      </c>
      <c r="E267" s="26" t="s">
        <v>1874</v>
      </c>
      <c r="F267" s="26" t="s">
        <v>799</v>
      </c>
      <c r="G267" s="26" t="s">
        <v>130</v>
      </c>
      <c r="H267" s="26" t="s">
        <v>34</v>
      </c>
      <c r="I267" s="26"/>
      <c r="J267" s="26">
        <v>1.0</v>
      </c>
      <c r="K267" s="26" t="s">
        <v>1837</v>
      </c>
      <c r="L267" s="26" t="s">
        <v>15</v>
      </c>
      <c r="M267" s="26" t="s">
        <v>81</v>
      </c>
      <c r="N267" s="26" t="s">
        <v>307</v>
      </c>
      <c r="O267" s="26">
        <v>3.0</v>
      </c>
    </row>
    <row r="268" ht="15.75" customHeight="1">
      <c r="A268" s="26" t="s">
        <v>1875</v>
      </c>
      <c r="B268" s="26" t="s">
        <v>1876</v>
      </c>
      <c r="C268" s="26" t="s">
        <v>363</v>
      </c>
      <c r="D268" s="26" t="s">
        <v>50</v>
      </c>
      <c r="E268" s="26" t="s">
        <v>666</v>
      </c>
      <c r="F268" s="26" t="s">
        <v>1877</v>
      </c>
      <c r="G268" s="26" t="s">
        <v>311</v>
      </c>
      <c r="H268" s="26" t="s">
        <v>34</v>
      </c>
      <c r="I268" s="26" t="s">
        <v>328</v>
      </c>
      <c r="J268" s="26">
        <v>2.0</v>
      </c>
      <c r="K268" s="26" t="s">
        <v>667</v>
      </c>
      <c r="L268" s="26" t="s">
        <v>15</v>
      </c>
      <c r="M268" s="26" t="s">
        <v>81</v>
      </c>
      <c r="N268" s="26" t="s">
        <v>307</v>
      </c>
      <c r="O268" s="26">
        <v>4.0</v>
      </c>
    </row>
    <row r="269" ht="15.75" customHeight="1">
      <c r="A269" s="26" t="s">
        <v>1878</v>
      </c>
      <c r="B269" s="26" t="s">
        <v>1879</v>
      </c>
      <c r="C269" s="26" t="s">
        <v>429</v>
      </c>
      <c r="D269" s="26" t="s">
        <v>45</v>
      </c>
      <c r="E269" s="26" t="s">
        <v>1880</v>
      </c>
      <c r="F269" s="26" t="s">
        <v>799</v>
      </c>
      <c r="G269" s="26" t="s">
        <v>130</v>
      </c>
      <c r="H269" s="26" t="s">
        <v>34</v>
      </c>
      <c r="I269" s="26" t="s">
        <v>226</v>
      </c>
      <c r="J269" s="26">
        <v>2.0</v>
      </c>
      <c r="K269" s="26" t="s">
        <v>1848</v>
      </c>
      <c r="L269" s="26" t="s">
        <v>15</v>
      </c>
      <c r="M269" s="26" t="s">
        <v>81</v>
      </c>
      <c r="N269" s="26" t="s">
        <v>307</v>
      </c>
      <c r="O269" s="26">
        <v>3.0</v>
      </c>
    </row>
    <row r="270" ht="15.75" customHeight="1">
      <c r="A270" s="26" t="s">
        <v>1881</v>
      </c>
      <c r="B270" s="26" t="s">
        <v>1882</v>
      </c>
      <c r="C270" s="26" t="s">
        <v>363</v>
      </c>
      <c r="D270" s="26" t="s">
        <v>45</v>
      </c>
      <c r="E270" s="26" t="s">
        <v>1883</v>
      </c>
      <c r="F270" s="26" t="s">
        <v>799</v>
      </c>
      <c r="G270" s="26" t="s">
        <v>130</v>
      </c>
      <c r="H270" s="26" t="s">
        <v>34</v>
      </c>
      <c r="I270" s="26" t="s">
        <v>140</v>
      </c>
      <c r="J270" s="26">
        <v>5.0</v>
      </c>
      <c r="K270" s="26" t="s">
        <v>1837</v>
      </c>
      <c r="L270" s="26" t="s">
        <v>15</v>
      </c>
      <c r="M270" s="26" t="s">
        <v>81</v>
      </c>
      <c r="N270" s="26" t="s">
        <v>307</v>
      </c>
      <c r="O270" s="26">
        <v>3.0</v>
      </c>
    </row>
    <row r="271" ht="15.75" customHeight="1">
      <c r="A271" s="26" t="s">
        <v>1884</v>
      </c>
      <c r="B271" s="26" t="s">
        <v>1885</v>
      </c>
      <c r="C271" s="26" t="s">
        <v>300</v>
      </c>
      <c r="D271" s="26" t="s">
        <v>54</v>
      </c>
      <c r="E271" s="26" t="s">
        <v>1886</v>
      </c>
      <c r="F271" s="26" t="s">
        <v>432</v>
      </c>
      <c r="G271" s="26" t="s">
        <v>182</v>
      </c>
      <c r="H271" s="26" t="s">
        <v>34</v>
      </c>
      <c r="I271" s="26" t="s">
        <v>572</v>
      </c>
      <c r="J271" s="26">
        <v>3.0</v>
      </c>
      <c r="K271" s="26" t="s">
        <v>1887</v>
      </c>
      <c r="L271" s="26" t="s">
        <v>15</v>
      </c>
      <c r="M271" s="26" t="s">
        <v>87</v>
      </c>
      <c r="N271" s="26" t="s">
        <v>307</v>
      </c>
      <c r="O271" s="26">
        <v>4.0</v>
      </c>
    </row>
    <row r="272" ht="15.75" customHeight="1">
      <c r="A272" s="26" t="s">
        <v>1888</v>
      </c>
      <c r="B272" s="26" t="s">
        <v>1889</v>
      </c>
      <c r="C272" s="26" t="s">
        <v>300</v>
      </c>
      <c r="D272" s="26" t="s">
        <v>48</v>
      </c>
      <c r="E272" s="26" t="s">
        <v>1890</v>
      </c>
      <c r="F272" s="26" t="s">
        <v>834</v>
      </c>
      <c r="G272" s="26" t="s">
        <v>267</v>
      </c>
      <c r="H272" s="26" t="s">
        <v>34</v>
      </c>
      <c r="I272" s="26" t="s">
        <v>386</v>
      </c>
      <c r="J272" s="26">
        <v>2.0</v>
      </c>
      <c r="K272" s="26" t="s">
        <v>1891</v>
      </c>
      <c r="L272" s="26" t="s">
        <v>15</v>
      </c>
      <c r="M272" s="26" t="s">
        <v>81</v>
      </c>
      <c r="N272" s="26" t="s">
        <v>307</v>
      </c>
      <c r="O272" s="26">
        <v>3.0</v>
      </c>
    </row>
    <row r="273" ht="15.75" customHeight="1">
      <c r="A273" s="26" t="s">
        <v>1892</v>
      </c>
      <c r="B273" s="26" t="s">
        <v>1893</v>
      </c>
      <c r="C273" s="26" t="s">
        <v>363</v>
      </c>
      <c r="D273" s="26" t="s">
        <v>79</v>
      </c>
      <c r="E273" s="26" t="s">
        <v>1894</v>
      </c>
      <c r="F273" s="26" t="s">
        <v>1895</v>
      </c>
      <c r="G273" s="26" t="s">
        <v>255</v>
      </c>
      <c r="H273" s="26" t="s">
        <v>49</v>
      </c>
      <c r="I273" s="26" t="s">
        <v>1299</v>
      </c>
      <c r="J273" s="26">
        <v>2.0</v>
      </c>
      <c r="K273" s="26" t="s">
        <v>1284</v>
      </c>
      <c r="L273" s="26" t="s">
        <v>15</v>
      </c>
      <c r="M273" s="26" t="s">
        <v>81</v>
      </c>
      <c r="N273" s="26" t="s">
        <v>307</v>
      </c>
      <c r="O273" s="26">
        <v>4.0</v>
      </c>
    </row>
    <row r="274" ht="15.75" customHeight="1">
      <c r="A274" s="26" t="s">
        <v>1896</v>
      </c>
      <c r="B274" s="26" t="s">
        <v>1897</v>
      </c>
      <c r="C274" s="26" t="s">
        <v>300</v>
      </c>
      <c r="D274" s="26" t="s">
        <v>59</v>
      </c>
      <c r="E274" s="26" t="s">
        <v>1898</v>
      </c>
      <c r="F274" s="26" t="s">
        <v>1125</v>
      </c>
      <c r="G274" s="26" t="s">
        <v>113</v>
      </c>
      <c r="H274" s="26" t="s">
        <v>49</v>
      </c>
      <c r="I274" s="26" t="s">
        <v>373</v>
      </c>
      <c r="J274" s="26">
        <v>2.0</v>
      </c>
      <c r="K274" s="26" t="s">
        <v>1415</v>
      </c>
      <c r="L274" s="26" t="s">
        <v>15</v>
      </c>
      <c r="M274" s="26" t="s">
        <v>81</v>
      </c>
      <c r="N274" s="26" t="s">
        <v>307</v>
      </c>
      <c r="O274" s="26">
        <v>3.0</v>
      </c>
    </row>
    <row r="275" ht="15.75" customHeight="1">
      <c r="A275" s="26" t="s">
        <v>1899</v>
      </c>
      <c r="B275" s="26" t="s">
        <v>1900</v>
      </c>
      <c r="C275" s="26" t="s">
        <v>300</v>
      </c>
      <c r="D275" s="26" t="s">
        <v>48</v>
      </c>
      <c r="E275" s="26" t="s">
        <v>1901</v>
      </c>
      <c r="F275" s="26" t="s">
        <v>1014</v>
      </c>
      <c r="G275" s="26" t="s">
        <v>248</v>
      </c>
      <c r="H275" s="26" t="s">
        <v>46</v>
      </c>
      <c r="I275" s="26"/>
      <c r="J275" s="26">
        <v>1.0</v>
      </c>
      <c r="K275" s="26" t="s">
        <v>1902</v>
      </c>
      <c r="L275" s="26" t="s">
        <v>15</v>
      </c>
      <c r="M275" s="26" t="s">
        <v>81</v>
      </c>
      <c r="N275" s="26" t="s">
        <v>307</v>
      </c>
      <c r="O275" s="26">
        <v>3.0</v>
      </c>
    </row>
    <row r="276" ht="15.75" customHeight="1">
      <c r="A276" s="26" t="s">
        <v>1903</v>
      </c>
      <c r="B276" s="26" t="s">
        <v>1904</v>
      </c>
      <c r="C276" s="26" t="s">
        <v>363</v>
      </c>
      <c r="D276" s="26" t="s">
        <v>36</v>
      </c>
      <c r="E276" s="26" t="s">
        <v>1905</v>
      </c>
      <c r="F276" s="26" t="s">
        <v>681</v>
      </c>
      <c r="G276" s="26" t="s">
        <v>58</v>
      </c>
      <c r="H276" s="26" t="s">
        <v>49</v>
      </c>
      <c r="I276" s="26" t="s">
        <v>88</v>
      </c>
      <c r="J276" s="26">
        <v>4.0</v>
      </c>
      <c r="K276" s="26" t="s">
        <v>1906</v>
      </c>
      <c r="L276" s="26" t="s">
        <v>19</v>
      </c>
      <c r="M276" s="26" t="s">
        <v>87</v>
      </c>
      <c r="N276" s="26" t="s">
        <v>307</v>
      </c>
      <c r="O276" s="26">
        <v>3.0</v>
      </c>
    </row>
    <row r="277" ht="15.75" customHeight="1">
      <c r="A277" s="26" t="s">
        <v>1907</v>
      </c>
      <c r="B277" s="26" t="s">
        <v>1908</v>
      </c>
      <c r="C277" s="26" t="s">
        <v>429</v>
      </c>
      <c r="D277" s="26" t="s">
        <v>50</v>
      </c>
      <c r="E277" s="26" t="s">
        <v>1909</v>
      </c>
      <c r="F277" s="26" t="s">
        <v>1174</v>
      </c>
      <c r="G277" s="26" t="s">
        <v>539</v>
      </c>
      <c r="H277" s="26" t="s">
        <v>46</v>
      </c>
      <c r="I277" s="26"/>
      <c r="J277" s="26">
        <v>0.0</v>
      </c>
      <c r="K277" s="26" t="s">
        <v>1910</v>
      </c>
      <c r="L277" s="26" t="s">
        <v>23</v>
      </c>
      <c r="M277" s="26" t="s">
        <v>91</v>
      </c>
      <c r="N277" s="26" t="s">
        <v>307</v>
      </c>
      <c r="O277" s="26">
        <v>4.0</v>
      </c>
    </row>
    <row r="278" ht="15.75" customHeight="1">
      <c r="A278" s="26" t="s">
        <v>1911</v>
      </c>
      <c r="B278" s="26" t="s">
        <v>1912</v>
      </c>
      <c r="C278" s="26" t="s">
        <v>363</v>
      </c>
      <c r="D278" s="26" t="s">
        <v>54</v>
      </c>
      <c r="E278" s="26" t="s">
        <v>1913</v>
      </c>
      <c r="F278" s="26" t="s">
        <v>347</v>
      </c>
      <c r="G278" s="26" t="s">
        <v>99</v>
      </c>
      <c r="H278" s="26" t="s">
        <v>49</v>
      </c>
      <c r="I278" s="26"/>
      <c r="J278" s="26">
        <v>1.0</v>
      </c>
      <c r="K278" s="26" t="s">
        <v>1914</v>
      </c>
      <c r="L278" s="26" t="s">
        <v>19</v>
      </c>
      <c r="M278" s="26" t="s">
        <v>87</v>
      </c>
      <c r="N278" s="26" t="s">
        <v>307</v>
      </c>
      <c r="O278" s="26">
        <v>4.0</v>
      </c>
    </row>
    <row r="279" ht="15.75" customHeight="1">
      <c r="A279" s="26" t="s">
        <v>1915</v>
      </c>
      <c r="B279" s="26" t="s">
        <v>1916</v>
      </c>
      <c r="C279" s="26" t="s">
        <v>312</v>
      </c>
      <c r="D279" s="26" t="s">
        <v>69</v>
      </c>
      <c r="E279" s="26" t="s">
        <v>1917</v>
      </c>
      <c r="F279" s="26" t="s">
        <v>537</v>
      </c>
      <c r="G279" s="26" t="s">
        <v>197</v>
      </c>
      <c r="H279" s="26" t="s">
        <v>34</v>
      </c>
      <c r="I279" s="26"/>
      <c r="J279" s="26">
        <v>1.0</v>
      </c>
      <c r="K279" s="26" t="s">
        <v>136</v>
      </c>
      <c r="L279" s="26" t="s">
        <v>29</v>
      </c>
      <c r="M279" s="26" t="s">
        <v>95</v>
      </c>
      <c r="N279" s="26" t="s">
        <v>307</v>
      </c>
      <c r="O279" s="26">
        <v>4.0</v>
      </c>
    </row>
    <row r="280" ht="15.75" customHeight="1">
      <c r="A280" s="26" t="s">
        <v>1918</v>
      </c>
      <c r="B280" s="26" t="s">
        <v>1919</v>
      </c>
      <c r="C280" s="26" t="s">
        <v>312</v>
      </c>
      <c r="D280" s="26" t="s">
        <v>45</v>
      </c>
      <c r="E280" s="26" t="s">
        <v>1920</v>
      </c>
      <c r="F280" s="26" t="s">
        <v>1237</v>
      </c>
      <c r="G280" s="26" t="s">
        <v>166</v>
      </c>
      <c r="H280" s="26" t="s">
        <v>46</v>
      </c>
      <c r="I280" s="26" t="s">
        <v>82</v>
      </c>
      <c r="J280" s="26">
        <v>2.0</v>
      </c>
      <c r="K280" s="26" t="s">
        <v>1921</v>
      </c>
      <c r="L280" s="26" t="s">
        <v>19</v>
      </c>
      <c r="M280" s="26" t="s">
        <v>87</v>
      </c>
      <c r="N280" s="26" t="s">
        <v>307</v>
      </c>
      <c r="O280" s="26">
        <v>4.0</v>
      </c>
    </row>
    <row r="281" ht="15.75" customHeight="1">
      <c r="A281" s="26" t="s">
        <v>1922</v>
      </c>
      <c r="B281" s="26" t="s">
        <v>1923</v>
      </c>
      <c r="C281" s="26" t="s">
        <v>429</v>
      </c>
      <c r="D281" s="26" t="s">
        <v>50</v>
      </c>
      <c r="E281" s="26" t="s">
        <v>1924</v>
      </c>
      <c r="F281" s="26" t="s">
        <v>336</v>
      </c>
      <c r="G281" s="26" t="s">
        <v>75</v>
      </c>
      <c r="H281" s="26" t="s">
        <v>53</v>
      </c>
      <c r="I281" s="26"/>
      <c r="J281" s="26">
        <v>1.0</v>
      </c>
      <c r="K281" s="26" t="s">
        <v>136</v>
      </c>
      <c r="L281" s="26" t="s">
        <v>29</v>
      </c>
      <c r="M281" s="26" t="s">
        <v>95</v>
      </c>
      <c r="N281" s="26" t="s">
        <v>307</v>
      </c>
      <c r="O281" s="26">
        <v>5.0</v>
      </c>
    </row>
    <row r="282" ht="15.75" customHeight="1">
      <c r="A282" s="26" t="s">
        <v>1925</v>
      </c>
      <c r="B282" s="26" t="s">
        <v>1923</v>
      </c>
      <c r="C282" s="26" t="s">
        <v>300</v>
      </c>
      <c r="D282" s="26" t="s">
        <v>50</v>
      </c>
      <c r="E282" s="26" t="s">
        <v>1926</v>
      </c>
      <c r="F282" s="26" t="s">
        <v>1877</v>
      </c>
      <c r="G282" s="26" t="s">
        <v>311</v>
      </c>
      <c r="H282" s="26" t="s">
        <v>34</v>
      </c>
      <c r="I282" s="26"/>
      <c r="J282" s="26">
        <v>1.0</v>
      </c>
      <c r="K282" s="26" t="s">
        <v>136</v>
      </c>
      <c r="L282" s="26" t="s">
        <v>29</v>
      </c>
      <c r="M282" s="26" t="s">
        <v>95</v>
      </c>
      <c r="N282" s="26" t="s">
        <v>307</v>
      </c>
      <c r="O282" s="26">
        <v>5.0</v>
      </c>
    </row>
    <row r="283" ht="15.75" customHeight="1">
      <c r="A283" s="26" t="s">
        <v>1927</v>
      </c>
      <c r="B283" s="26" t="s">
        <v>1928</v>
      </c>
      <c r="C283" s="26" t="s">
        <v>429</v>
      </c>
      <c r="D283" s="26" t="s">
        <v>50</v>
      </c>
      <c r="E283" s="26" t="s">
        <v>1929</v>
      </c>
      <c r="F283" s="26" t="s">
        <v>336</v>
      </c>
      <c r="G283" s="26" t="s">
        <v>75</v>
      </c>
      <c r="H283" s="26" t="s">
        <v>53</v>
      </c>
      <c r="I283" s="26" t="s">
        <v>548</v>
      </c>
      <c r="J283" s="26">
        <v>2.0</v>
      </c>
      <c r="K283" s="26" t="s">
        <v>1930</v>
      </c>
      <c r="L283" s="26" t="s">
        <v>15</v>
      </c>
      <c r="M283" s="26" t="s">
        <v>81</v>
      </c>
      <c r="N283" s="26" t="s">
        <v>307</v>
      </c>
      <c r="O283" s="26">
        <v>5.0</v>
      </c>
    </row>
    <row r="284" ht="15.75" customHeight="1">
      <c r="A284" s="26" t="s">
        <v>1931</v>
      </c>
      <c r="B284" s="26" t="s">
        <v>1932</v>
      </c>
      <c r="C284" s="26" t="s">
        <v>312</v>
      </c>
      <c r="D284" s="26" t="s">
        <v>50</v>
      </c>
      <c r="E284" s="26" t="s">
        <v>1933</v>
      </c>
      <c r="F284" s="26" t="s">
        <v>1309</v>
      </c>
      <c r="G284" s="26" t="s">
        <v>245</v>
      </c>
      <c r="H284" s="26" t="s">
        <v>57</v>
      </c>
      <c r="I284" s="26" t="s">
        <v>581</v>
      </c>
      <c r="J284" s="26">
        <v>2.0</v>
      </c>
      <c r="K284" s="26" t="s">
        <v>1934</v>
      </c>
      <c r="L284" s="26" t="s">
        <v>19</v>
      </c>
      <c r="M284" s="26" t="s">
        <v>87</v>
      </c>
      <c r="N284" s="26" t="s">
        <v>307</v>
      </c>
      <c r="O284" s="26">
        <v>5.0</v>
      </c>
    </row>
    <row r="285" ht="15.75" customHeight="1">
      <c r="A285" s="26" t="s">
        <v>1935</v>
      </c>
      <c r="B285" s="26" t="s">
        <v>1936</v>
      </c>
      <c r="C285" s="26" t="s">
        <v>312</v>
      </c>
      <c r="D285" s="26" t="s">
        <v>69</v>
      </c>
      <c r="E285" s="26" t="s">
        <v>1061</v>
      </c>
      <c r="F285" s="26" t="s">
        <v>1448</v>
      </c>
      <c r="G285" s="26" t="s">
        <v>1060</v>
      </c>
      <c r="H285" s="26" t="s">
        <v>49</v>
      </c>
      <c r="I285" s="26" t="s">
        <v>197</v>
      </c>
      <c r="J285" s="26">
        <v>3.0</v>
      </c>
      <c r="K285" s="26" t="s">
        <v>1062</v>
      </c>
      <c r="L285" s="26" t="s">
        <v>15</v>
      </c>
      <c r="M285" s="26" t="s">
        <v>81</v>
      </c>
      <c r="N285" s="26" t="s">
        <v>307</v>
      </c>
      <c r="O285" s="26">
        <v>3.0</v>
      </c>
    </row>
    <row r="286" ht="15.75" customHeight="1">
      <c r="A286" s="26" t="s">
        <v>1937</v>
      </c>
      <c r="B286" s="26" t="s">
        <v>1938</v>
      </c>
      <c r="C286" s="26" t="s">
        <v>312</v>
      </c>
      <c r="D286" s="26" t="s">
        <v>36</v>
      </c>
      <c r="E286" s="26" t="s">
        <v>1939</v>
      </c>
      <c r="F286" s="26" t="s">
        <v>315</v>
      </c>
      <c r="G286" s="26" t="s">
        <v>47</v>
      </c>
      <c r="H286" s="26" t="s">
        <v>34</v>
      </c>
      <c r="I286" s="26" t="s">
        <v>65</v>
      </c>
      <c r="J286" s="26">
        <v>4.0</v>
      </c>
      <c r="K286" s="26" t="s">
        <v>1940</v>
      </c>
      <c r="L286" s="26" t="s">
        <v>19</v>
      </c>
      <c r="M286" s="26" t="s">
        <v>66</v>
      </c>
      <c r="N286" s="26" t="s">
        <v>307</v>
      </c>
      <c r="O286" s="26">
        <v>5.0</v>
      </c>
    </row>
    <row r="287" ht="15.75" customHeight="1">
      <c r="A287" s="26" t="s">
        <v>1941</v>
      </c>
      <c r="B287" s="26" t="s">
        <v>1942</v>
      </c>
      <c r="C287" s="26" t="s">
        <v>363</v>
      </c>
      <c r="D287" s="26" t="s">
        <v>48</v>
      </c>
      <c r="E287" s="26" t="s">
        <v>1943</v>
      </c>
      <c r="F287" s="26" t="s">
        <v>1014</v>
      </c>
      <c r="G287" s="26" t="s">
        <v>248</v>
      </c>
      <c r="H287" s="26" t="s">
        <v>46</v>
      </c>
      <c r="I287" s="26" t="s">
        <v>365</v>
      </c>
      <c r="J287" s="26">
        <v>3.0</v>
      </c>
      <c r="K287" s="26" t="s">
        <v>1944</v>
      </c>
      <c r="L287" s="26" t="s">
        <v>15</v>
      </c>
      <c r="M287" s="26" t="s">
        <v>81</v>
      </c>
      <c r="N287" s="26" t="s">
        <v>307</v>
      </c>
      <c r="O287" s="26">
        <v>3.0</v>
      </c>
    </row>
    <row r="288" ht="15.75" customHeight="1">
      <c r="A288" s="26" t="s">
        <v>1945</v>
      </c>
      <c r="B288" s="26" t="s">
        <v>1946</v>
      </c>
      <c r="C288" s="26" t="s">
        <v>363</v>
      </c>
      <c r="D288" s="26" t="s">
        <v>50</v>
      </c>
      <c r="E288" s="26" t="s">
        <v>1947</v>
      </c>
      <c r="F288" s="26" t="s">
        <v>1309</v>
      </c>
      <c r="G288" s="26" t="s">
        <v>245</v>
      </c>
      <c r="H288" s="26" t="s">
        <v>57</v>
      </c>
      <c r="I288" s="26" t="s">
        <v>328</v>
      </c>
      <c r="J288" s="26">
        <v>2.0</v>
      </c>
      <c r="K288" s="26" t="s">
        <v>1948</v>
      </c>
      <c r="L288" s="26" t="s">
        <v>15</v>
      </c>
      <c r="M288" s="26" t="s">
        <v>81</v>
      </c>
      <c r="N288" s="26" t="s">
        <v>307</v>
      </c>
      <c r="O288" s="26">
        <v>5.0</v>
      </c>
    </row>
    <row r="289" ht="15.75" customHeight="1">
      <c r="A289" s="26" t="s">
        <v>1949</v>
      </c>
      <c r="B289" s="26" t="s">
        <v>1950</v>
      </c>
      <c r="C289" s="26" t="s">
        <v>429</v>
      </c>
      <c r="D289" s="26" t="s">
        <v>45</v>
      </c>
      <c r="E289" s="26" t="s">
        <v>330</v>
      </c>
      <c r="F289" s="26" t="s">
        <v>768</v>
      </c>
      <c r="G289" s="26" t="s">
        <v>183</v>
      </c>
      <c r="H289" s="26" t="s">
        <v>46</v>
      </c>
      <c r="I289" s="26"/>
      <c r="J289" s="26">
        <v>0.0</v>
      </c>
      <c r="K289" s="26" t="s">
        <v>1848</v>
      </c>
      <c r="L289" s="26" t="s">
        <v>15</v>
      </c>
      <c r="M289" s="26" t="s">
        <v>81</v>
      </c>
      <c r="N289" s="26" t="s">
        <v>307</v>
      </c>
      <c r="O289" s="26">
        <v>5.0</v>
      </c>
    </row>
    <row r="290" ht="15.75" customHeight="1">
      <c r="A290" s="26" t="s">
        <v>1951</v>
      </c>
      <c r="B290" s="26" t="s">
        <v>1952</v>
      </c>
      <c r="C290" s="26" t="s">
        <v>312</v>
      </c>
      <c r="D290" s="26" t="s">
        <v>45</v>
      </c>
      <c r="E290" s="26" t="s">
        <v>1953</v>
      </c>
      <c r="F290" s="26" t="s">
        <v>303</v>
      </c>
      <c r="G290" s="26" t="s">
        <v>140</v>
      </c>
      <c r="H290" s="26" t="s">
        <v>34</v>
      </c>
      <c r="I290" s="26" t="s">
        <v>169</v>
      </c>
      <c r="J290" s="26">
        <v>2.0</v>
      </c>
      <c r="K290" s="26" t="s">
        <v>1848</v>
      </c>
      <c r="L290" s="26" t="s">
        <v>15</v>
      </c>
      <c r="M290" s="26" t="s">
        <v>81</v>
      </c>
      <c r="N290" s="26" t="s">
        <v>307</v>
      </c>
      <c r="O290" s="26">
        <v>3.0</v>
      </c>
    </row>
    <row r="291" ht="15.75" customHeight="1">
      <c r="A291" s="26" t="s">
        <v>1954</v>
      </c>
      <c r="B291" s="26" t="s">
        <v>1955</v>
      </c>
      <c r="C291" s="26" t="s">
        <v>312</v>
      </c>
      <c r="D291" s="26" t="s">
        <v>69</v>
      </c>
      <c r="E291" s="26" t="s">
        <v>1956</v>
      </c>
      <c r="F291" s="26" t="s">
        <v>1422</v>
      </c>
      <c r="G291" s="26" t="s">
        <v>86</v>
      </c>
      <c r="H291" s="26" t="s">
        <v>34</v>
      </c>
      <c r="I291" s="26"/>
      <c r="J291" s="26">
        <v>1.0</v>
      </c>
      <c r="K291" s="26" t="s">
        <v>136</v>
      </c>
      <c r="L291" s="26" t="s">
        <v>29</v>
      </c>
      <c r="M291" s="26" t="s">
        <v>95</v>
      </c>
      <c r="N291" s="26" t="s">
        <v>307</v>
      </c>
      <c r="O291" s="26">
        <v>3.0</v>
      </c>
    </row>
    <row r="292" ht="15.75" customHeight="1">
      <c r="A292" s="26" t="s">
        <v>1957</v>
      </c>
      <c r="B292" s="26" t="s">
        <v>1958</v>
      </c>
      <c r="C292" s="26" t="s">
        <v>363</v>
      </c>
      <c r="D292" s="26" t="s">
        <v>36</v>
      </c>
      <c r="E292" s="26" t="s">
        <v>1959</v>
      </c>
      <c r="F292" s="26" t="s">
        <v>663</v>
      </c>
      <c r="G292" s="26" t="s">
        <v>44</v>
      </c>
      <c r="H292" s="26" t="s">
        <v>34</v>
      </c>
      <c r="I292" s="26" t="s">
        <v>84</v>
      </c>
      <c r="J292" s="26">
        <v>4.0</v>
      </c>
      <c r="K292" s="26" t="s">
        <v>1960</v>
      </c>
      <c r="L292" s="26" t="s">
        <v>19</v>
      </c>
      <c r="M292" s="26" t="s">
        <v>81</v>
      </c>
      <c r="N292" s="26" t="s">
        <v>307</v>
      </c>
      <c r="O292" s="26">
        <v>4.0</v>
      </c>
    </row>
    <row r="293" ht="15.75" customHeight="1">
      <c r="A293" s="26" t="s">
        <v>1961</v>
      </c>
      <c r="B293" s="26" t="s">
        <v>1962</v>
      </c>
      <c r="C293" s="26" t="s">
        <v>363</v>
      </c>
      <c r="D293" s="26" t="s">
        <v>36</v>
      </c>
      <c r="E293" s="26" t="s">
        <v>1963</v>
      </c>
      <c r="F293" s="26" t="s">
        <v>663</v>
      </c>
      <c r="G293" s="26" t="s">
        <v>44</v>
      </c>
      <c r="H293" s="26" t="s">
        <v>34</v>
      </c>
      <c r="I293" s="26" t="s">
        <v>84</v>
      </c>
      <c r="J293" s="26">
        <v>3.0</v>
      </c>
      <c r="K293" s="26" t="s">
        <v>1960</v>
      </c>
      <c r="L293" s="26" t="s">
        <v>19</v>
      </c>
      <c r="M293" s="26" t="s">
        <v>81</v>
      </c>
      <c r="N293" s="26" t="s">
        <v>307</v>
      </c>
      <c r="O293" s="26">
        <v>4.0</v>
      </c>
    </row>
    <row r="294" ht="15.75" customHeight="1">
      <c r="A294" s="26" t="s">
        <v>1964</v>
      </c>
      <c r="B294" s="26" t="s">
        <v>1965</v>
      </c>
      <c r="C294" s="26" t="s">
        <v>300</v>
      </c>
      <c r="D294" s="26" t="s">
        <v>45</v>
      </c>
      <c r="E294" s="26" t="s">
        <v>1966</v>
      </c>
      <c r="F294" s="26" t="s">
        <v>744</v>
      </c>
      <c r="G294" s="26" t="s">
        <v>148</v>
      </c>
      <c r="H294" s="26" t="s">
        <v>34</v>
      </c>
      <c r="I294" s="26" t="s">
        <v>130</v>
      </c>
      <c r="J294" s="26">
        <v>5.0</v>
      </c>
      <c r="K294" s="26" t="s">
        <v>1848</v>
      </c>
      <c r="L294" s="26" t="s">
        <v>15</v>
      </c>
      <c r="M294" s="26" t="s">
        <v>81</v>
      </c>
      <c r="N294" s="26" t="s">
        <v>307</v>
      </c>
      <c r="O294" s="26">
        <v>2.0</v>
      </c>
    </row>
    <row r="295" ht="15.75" customHeight="1">
      <c r="A295" s="26" t="s">
        <v>1967</v>
      </c>
      <c r="B295" s="26" t="s">
        <v>1968</v>
      </c>
      <c r="C295" s="26" t="s">
        <v>429</v>
      </c>
      <c r="D295" s="26" t="s">
        <v>59</v>
      </c>
      <c r="E295" s="26" t="s">
        <v>1969</v>
      </c>
      <c r="F295" s="26" t="s">
        <v>1125</v>
      </c>
      <c r="G295" s="26" t="s">
        <v>113</v>
      </c>
      <c r="H295" s="26" t="s">
        <v>49</v>
      </c>
      <c r="I295" s="26" t="s">
        <v>373</v>
      </c>
      <c r="J295" s="26">
        <v>2.0</v>
      </c>
      <c r="K295" s="26" t="s">
        <v>1970</v>
      </c>
      <c r="L295" s="26" t="s">
        <v>15</v>
      </c>
      <c r="M295" s="26" t="s">
        <v>81</v>
      </c>
      <c r="N295" s="26" t="s">
        <v>307</v>
      </c>
      <c r="O295" s="26">
        <v>2.0</v>
      </c>
    </row>
    <row r="296" ht="15.75" customHeight="1">
      <c r="A296" s="26" t="s">
        <v>1967</v>
      </c>
      <c r="B296" s="26" t="s">
        <v>1968</v>
      </c>
      <c r="C296" s="26" t="s">
        <v>429</v>
      </c>
      <c r="D296" s="26" t="s">
        <v>59</v>
      </c>
      <c r="E296" s="26" t="s">
        <v>1969</v>
      </c>
      <c r="F296" s="26" t="s">
        <v>1125</v>
      </c>
      <c r="G296" s="26" t="s">
        <v>113</v>
      </c>
      <c r="H296" s="26" t="s">
        <v>49</v>
      </c>
      <c r="I296" s="26" t="s">
        <v>373</v>
      </c>
      <c r="J296" s="26">
        <v>2.0</v>
      </c>
      <c r="K296" s="26" t="s">
        <v>136</v>
      </c>
      <c r="L296" s="26" t="s">
        <v>29</v>
      </c>
      <c r="M296" s="26" t="s">
        <v>95</v>
      </c>
      <c r="N296" s="26" t="s">
        <v>307</v>
      </c>
      <c r="O296" s="26">
        <v>2.0</v>
      </c>
    </row>
    <row r="297" ht="15.75" customHeight="1">
      <c r="A297" s="26" t="s">
        <v>1971</v>
      </c>
      <c r="B297" s="26" t="s">
        <v>1972</v>
      </c>
      <c r="C297" s="26" t="s">
        <v>312</v>
      </c>
      <c r="D297" s="26" t="s">
        <v>72</v>
      </c>
      <c r="E297" s="26" t="s">
        <v>1148</v>
      </c>
      <c r="F297" s="26" t="s">
        <v>1973</v>
      </c>
      <c r="G297" s="26" t="s">
        <v>1143</v>
      </c>
      <c r="H297" s="26" t="s">
        <v>61</v>
      </c>
      <c r="I297" s="26"/>
      <c r="J297" s="26">
        <v>1.0</v>
      </c>
      <c r="K297" s="26" t="s">
        <v>1149</v>
      </c>
      <c r="L297" s="26" t="s">
        <v>15</v>
      </c>
      <c r="M297" s="26" t="s">
        <v>81</v>
      </c>
      <c r="N297" s="26" t="s">
        <v>307</v>
      </c>
      <c r="O297" s="26">
        <v>2.0</v>
      </c>
    </row>
    <row r="298" ht="15.75" customHeight="1">
      <c r="A298" s="26" t="s">
        <v>1974</v>
      </c>
      <c r="B298" s="26" t="s">
        <v>1975</v>
      </c>
      <c r="C298" s="26" t="s">
        <v>363</v>
      </c>
      <c r="D298" s="26" t="s">
        <v>76</v>
      </c>
      <c r="E298" s="26" t="s">
        <v>1239</v>
      </c>
      <c r="F298" s="26" t="s">
        <v>1212</v>
      </c>
      <c r="G298" s="26" t="s">
        <v>496</v>
      </c>
      <c r="H298" s="26" t="s">
        <v>46</v>
      </c>
      <c r="I298" s="26"/>
      <c r="J298" s="26">
        <v>1.0</v>
      </c>
      <c r="K298" s="26" t="s">
        <v>1240</v>
      </c>
      <c r="L298" s="26" t="s">
        <v>15</v>
      </c>
      <c r="M298" s="26" t="s">
        <v>81</v>
      </c>
      <c r="N298" s="26" t="s">
        <v>307</v>
      </c>
      <c r="O298" s="26">
        <v>3.0</v>
      </c>
    </row>
    <row r="299" ht="15.75" customHeight="1">
      <c r="A299" s="26" t="s">
        <v>1976</v>
      </c>
      <c r="B299" s="26" t="s">
        <v>1977</v>
      </c>
      <c r="C299" s="26" t="s">
        <v>312</v>
      </c>
      <c r="D299" s="26" t="s">
        <v>69</v>
      </c>
      <c r="E299" s="26" t="s">
        <v>1978</v>
      </c>
      <c r="F299" s="26" t="s">
        <v>537</v>
      </c>
      <c r="G299" s="26" t="s">
        <v>197</v>
      </c>
      <c r="H299" s="26" t="s">
        <v>34</v>
      </c>
      <c r="I299" s="26" t="s">
        <v>115</v>
      </c>
      <c r="J299" s="26">
        <v>3.0</v>
      </c>
      <c r="K299" s="26" t="s">
        <v>1979</v>
      </c>
      <c r="L299" s="26" t="s">
        <v>15</v>
      </c>
      <c r="M299" s="26" t="s">
        <v>81</v>
      </c>
      <c r="N299" s="26" t="s">
        <v>307</v>
      </c>
      <c r="O299" s="26">
        <v>5.0</v>
      </c>
    </row>
    <row r="300" ht="15.75" customHeight="1">
      <c r="A300" s="26" t="s">
        <v>1980</v>
      </c>
      <c r="B300" s="26" t="s">
        <v>1981</v>
      </c>
      <c r="C300" s="26" t="s">
        <v>363</v>
      </c>
      <c r="D300" s="26" t="s">
        <v>45</v>
      </c>
      <c r="E300" s="26" t="s">
        <v>1982</v>
      </c>
      <c r="F300" s="26" t="s">
        <v>1403</v>
      </c>
      <c r="G300" s="26" t="s">
        <v>143</v>
      </c>
      <c r="H300" s="26" t="s">
        <v>46</v>
      </c>
      <c r="I300" s="26"/>
      <c r="J300" s="26">
        <v>1.0</v>
      </c>
      <c r="K300" s="26" t="s">
        <v>136</v>
      </c>
      <c r="L300" s="26" t="s">
        <v>29</v>
      </c>
      <c r="M300" s="26" t="s">
        <v>95</v>
      </c>
      <c r="N300" s="26" t="s">
        <v>307</v>
      </c>
      <c r="O300" s="26">
        <v>3.0</v>
      </c>
    </row>
    <row r="301" ht="15.75" customHeight="1">
      <c r="A301" s="26" t="s">
        <v>1983</v>
      </c>
      <c r="B301" s="26" t="s">
        <v>1984</v>
      </c>
      <c r="C301" s="26" t="s">
        <v>363</v>
      </c>
      <c r="D301" s="26" t="s">
        <v>45</v>
      </c>
      <c r="E301" s="26" t="s">
        <v>1985</v>
      </c>
      <c r="F301" s="26" t="s">
        <v>1403</v>
      </c>
      <c r="G301" s="26" t="s">
        <v>143</v>
      </c>
      <c r="H301" s="26" t="s">
        <v>46</v>
      </c>
      <c r="I301" s="26" t="s">
        <v>169</v>
      </c>
      <c r="J301" s="26">
        <v>3.0</v>
      </c>
      <c r="K301" s="26" t="s">
        <v>1986</v>
      </c>
      <c r="L301" s="26" t="s">
        <v>15</v>
      </c>
      <c r="M301" s="26" t="s">
        <v>81</v>
      </c>
      <c r="N301" s="26" t="s">
        <v>307</v>
      </c>
      <c r="O301" s="26">
        <v>3.0</v>
      </c>
    </row>
    <row r="302" ht="15.75" customHeight="1">
      <c r="A302" s="26" t="s">
        <v>1987</v>
      </c>
      <c r="B302" s="26" t="s">
        <v>1988</v>
      </c>
      <c r="C302" s="26" t="s">
        <v>300</v>
      </c>
      <c r="D302" s="26" t="s">
        <v>85</v>
      </c>
      <c r="E302" s="26" t="s">
        <v>1989</v>
      </c>
      <c r="F302" s="26" t="s">
        <v>698</v>
      </c>
      <c r="G302" s="26" t="s">
        <v>102</v>
      </c>
      <c r="H302" s="26" t="s">
        <v>53</v>
      </c>
      <c r="I302" s="26" t="s">
        <v>1990</v>
      </c>
      <c r="J302" s="26">
        <v>2.0</v>
      </c>
      <c r="K302" s="26" t="s">
        <v>1991</v>
      </c>
      <c r="L302" s="26" t="s">
        <v>19</v>
      </c>
      <c r="M302" s="26" t="s">
        <v>66</v>
      </c>
      <c r="N302" s="26" t="s">
        <v>307</v>
      </c>
      <c r="O302" s="26">
        <v>2.0</v>
      </c>
    </row>
    <row r="303" ht="15.75" customHeight="1">
      <c r="A303" s="26" t="s">
        <v>1987</v>
      </c>
      <c r="B303" s="26" t="s">
        <v>1988</v>
      </c>
      <c r="C303" s="26" t="s">
        <v>300</v>
      </c>
      <c r="D303" s="26" t="s">
        <v>85</v>
      </c>
      <c r="E303" s="26" t="s">
        <v>1989</v>
      </c>
      <c r="F303" s="26" t="s">
        <v>698</v>
      </c>
      <c r="G303" s="26" t="s">
        <v>102</v>
      </c>
      <c r="H303" s="26" t="s">
        <v>53</v>
      </c>
      <c r="I303" s="26" t="s">
        <v>1990</v>
      </c>
      <c r="J303" s="26">
        <v>2.0</v>
      </c>
      <c r="K303" s="26" t="s">
        <v>136</v>
      </c>
      <c r="L303" s="26" t="s">
        <v>29</v>
      </c>
      <c r="M303" s="26" t="s">
        <v>95</v>
      </c>
      <c r="N303" s="26" t="s">
        <v>307</v>
      </c>
      <c r="O303" s="26">
        <v>2.0</v>
      </c>
    </row>
    <row r="304" ht="15.75" customHeight="1">
      <c r="A304" s="26" t="s">
        <v>1992</v>
      </c>
      <c r="B304" s="26" t="s">
        <v>1993</v>
      </c>
      <c r="C304" s="26" t="s">
        <v>300</v>
      </c>
      <c r="D304" s="26" t="s">
        <v>54</v>
      </c>
      <c r="E304" s="26" t="s">
        <v>1994</v>
      </c>
      <c r="F304" s="26" t="s">
        <v>519</v>
      </c>
      <c r="G304" s="26" t="s">
        <v>520</v>
      </c>
      <c r="H304" s="26" t="s">
        <v>53</v>
      </c>
      <c r="I304" s="26"/>
      <c r="J304" s="26">
        <v>1.0</v>
      </c>
      <c r="K304" s="26" t="s">
        <v>136</v>
      </c>
      <c r="L304" s="26" t="s">
        <v>29</v>
      </c>
      <c r="M304" s="26" t="s">
        <v>95</v>
      </c>
      <c r="N304" s="26" t="s">
        <v>307</v>
      </c>
      <c r="O304" s="26">
        <v>3.0</v>
      </c>
    </row>
    <row r="305" ht="15.75" customHeight="1">
      <c r="A305" s="26" t="s">
        <v>1995</v>
      </c>
      <c r="B305" s="26" t="s">
        <v>1996</v>
      </c>
      <c r="C305" s="26" t="s">
        <v>312</v>
      </c>
      <c r="D305" s="26" t="s">
        <v>50</v>
      </c>
      <c r="E305" s="26" t="s">
        <v>1997</v>
      </c>
      <c r="F305" s="26" t="s">
        <v>1877</v>
      </c>
      <c r="G305" s="26" t="s">
        <v>311</v>
      </c>
      <c r="H305" s="26" t="s">
        <v>34</v>
      </c>
      <c r="I305" s="26"/>
      <c r="J305" s="26">
        <v>1.0</v>
      </c>
      <c r="K305" s="26" t="s">
        <v>1998</v>
      </c>
      <c r="L305" s="26" t="s">
        <v>15</v>
      </c>
      <c r="M305" s="26" t="s">
        <v>81</v>
      </c>
      <c r="N305" s="26" t="s">
        <v>307</v>
      </c>
      <c r="O305" s="26">
        <v>3.0</v>
      </c>
    </row>
    <row r="306" ht="15.75" customHeight="1">
      <c r="A306" s="26" t="s">
        <v>1999</v>
      </c>
      <c r="B306" s="26" t="s">
        <v>2000</v>
      </c>
      <c r="C306" s="26" t="s">
        <v>300</v>
      </c>
      <c r="D306" s="26" t="s">
        <v>54</v>
      </c>
      <c r="E306" s="26" t="s">
        <v>2001</v>
      </c>
      <c r="F306" s="26" t="s">
        <v>432</v>
      </c>
      <c r="G306" s="26" t="s">
        <v>182</v>
      </c>
      <c r="H306" s="26" t="s">
        <v>34</v>
      </c>
      <c r="I306" s="26" t="s">
        <v>520</v>
      </c>
      <c r="J306" s="26">
        <v>3.0</v>
      </c>
      <c r="K306" s="26" t="s">
        <v>2002</v>
      </c>
      <c r="L306" s="26" t="s">
        <v>15</v>
      </c>
      <c r="M306" s="26" t="s">
        <v>87</v>
      </c>
      <c r="N306" s="26" t="s">
        <v>307</v>
      </c>
      <c r="O306" s="26">
        <v>3.0</v>
      </c>
    </row>
    <row r="307" ht="15.75" customHeight="1">
      <c r="A307" s="26" t="s">
        <v>2003</v>
      </c>
      <c r="B307" s="26" t="s">
        <v>2004</v>
      </c>
      <c r="C307" s="26" t="s">
        <v>363</v>
      </c>
      <c r="D307" s="26" t="s">
        <v>69</v>
      </c>
      <c r="E307" s="26" t="s">
        <v>2005</v>
      </c>
      <c r="F307" s="26" t="s">
        <v>1324</v>
      </c>
      <c r="G307" s="26" t="s">
        <v>1070</v>
      </c>
      <c r="H307" s="26" t="s">
        <v>34</v>
      </c>
      <c r="I307" s="26"/>
      <c r="J307" s="26">
        <v>1.0</v>
      </c>
      <c r="K307" s="26" t="s">
        <v>2006</v>
      </c>
      <c r="L307" s="26" t="s">
        <v>15</v>
      </c>
      <c r="M307" s="26" t="s">
        <v>81</v>
      </c>
      <c r="N307" s="26" t="s">
        <v>307</v>
      </c>
      <c r="O307" s="26">
        <v>4.0</v>
      </c>
    </row>
    <row r="308" ht="15.75" customHeight="1">
      <c r="A308" s="26" t="s">
        <v>2007</v>
      </c>
      <c r="B308" s="26" t="s">
        <v>2008</v>
      </c>
      <c r="C308" s="26" t="s">
        <v>363</v>
      </c>
      <c r="D308" s="26" t="s">
        <v>69</v>
      </c>
      <c r="E308" s="26" t="s">
        <v>1058</v>
      </c>
      <c r="F308" s="26" t="s">
        <v>887</v>
      </c>
      <c r="G308" s="26" t="s">
        <v>888</v>
      </c>
      <c r="H308" s="26" t="s">
        <v>46</v>
      </c>
      <c r="I308" s="26"/>
      <c r="J308" s="26">
        <v>0.0</v>
      </c>
      <c r="K308" s="26" t="s">
        <v>1555</v>
      </c>
      <c r="L308" s="26" t="s">
        <v>15</v>
      </c>
      <c r="M308" s="26" t="s">
        <v>81</v>
      </c>
      <c r="N308" s="26" t="s">
        <v>307</v>
      </c>
      <c r="O308" s="26">
        <v>3.0</v>
      </c>
    </row>
    <row r="309" ht="15.75" customHeight="1">
      <c r="A309" s="26" t="s">
        <v>2009</v>
      </c>
      <c r="B309" s="26" t="s">
        <v>2010</v>
      </c>
      <c r="C309" s="26" t="s">
        <v>363</v>
      </c>
      <c r="D309" s="26" t="s">
        <v>48</v>
      </c>
      <c r="E309" s="26" t="s">
        <v>2011</v>
      </c>
      <c r="F309" s="26" t="s">
        <v>590</v>
      </c>
      <c r="G309" s="26" t="s">
        <v>329</v>
      </c>
      <c r="H309" s="26" t="s">
        <v>46</v>
      </c>
      <c r="I309" s="26"/>
      <c r="J309" s="26">
        <v>1.0</v>
      </c>
      <c r="K309" s="26" t="s">
        <v>2012</v>
      </c>
      <c r="L309" s="26" t="s">
        <v>15</v>
      </c>
      <c r="M309" s="26" t="s">
        <v>81</v>
      </c>
      <c r="N309" s="26" t="s">
        <v>307</v>
      </c>
      <c r="O309" s="26">
        <v>2.0</v>
      </c>
    </row>
    <row r="310" ht="15.75" customHeight="1">
      <c r="A310" s="26" t="s">
        <v>2013</v>
      </c>
      <c r="B310" s="26" t="s">
        <v>2014</v>
      </c>
      <c r="C310" s="26" t="s">
        <v>363</v>
      </c>
      <c r="D310" s="26" t="s">
        <v>59</v>
      </c>
      <c r="E310" s="26" t="s">
        <v>2015</v>
      </c>
      <c r="F310" s="26" t="s">
        <v>423</v>
      </c>
      <c r="G310" s="26" t="s">
        <v>117</v>
      </c>
      <c r="H310" s="26" t="s">
        <v>34</v>
      </c>
      <c r="I310" s="26" t="s">
        <v>113</v>
      </c>
      <c r="J310" s="26">
        <v>3.0</v>
      </c>
      <c r="K310" s="26" t="s">
        <v>2016</v>
      </c>
      <c r="L310" s="26" t="s">
        <v>15</v>
      </c>
      <c r="M310" s="26" t="s">
        <v>81</v>
      </c>
      <c r="N310" s="26" t="s">
        <v>307</v>
      </c>
      <c r="O310" s="26">
        <v>2.0</v>
      </c>
    </row>
    <row r="311" ht="15.75" customHeight="1">
      <c r="A311" s="26" t="s">
        <v>2017</v>
      </c>
      <c r="B311" s="26" t="s">
        <v>2018</v>
      </c>
      <c r="C311" s="26" t="s">
        <v>300</v>
      </c>
      <c r="D311" s="26" t="s">
        <v>48</v>
      </c>
      <c r="E311" s="26" t="s">
        <v>2019</v>
      </c>
      <c r="F311" s="26" t="s">
        <v>973</v>
      </c>
      <c r="G311" s="26" t="s">
        <v>299</v>
      </c>
      <c r="H311" s="26" t="s">
        <v>34</v>
      </c>
      <c r="I311" s="26"/>
      <c r="J311" s="26">
        <v>1.0</v>
      </c>
      <c r="K311" s="26" t="s">
        <v>2020</v>
      </c>
      <c r="L311" s="26" t="s">
        <v>15</v>
      </c>
      <c r="M311" s="26" t="s">
        <v>81</v>
      </c>
      <c r="N311" s="26" t="s">
        <v>307</v>
      </c>
      <c r="O311" s="26">
        <v>1.0</v>
      </c>
    </row>
    <row r="312" ht="15.75" customHeight="1">
      <c r="A312" s="26" t="s">
        <v>2021</v>
      </c>
      <c r="B312" s="26" t="s">
        <v>2022</v>
      </c>
      <c r="C312" s="26" t="s">
        <v>429</v>
      </c>
      <c r="D312" s="26" t="s">
        <v>48</v>
      </c>
      <c r="E312" s="26" t="s">
        <v>504</v>
      </c>
      <c r="F312" s="26" t="s">
        <v>625</v>
      </c>
      <c r="G312" s="26" t="s">
        <v>313</v>
      </c>
      <c r="H312" s="26" t="s">
        <v>34</v>
      </c>
      <c r="I312" s="26" t="s">
        <v>339</v>
      </c>
      <c r="J312" s="26">
        <v>2.0</v>
      </c>
      <c r="K312" s="26" t="s">
        <v>505</v>
      </c>
      <c r="L312" s="26" t="s">
        <v>15</v>
      </c>
      <c r="M312" s="26" t="s">
        <v>81</v>
      </c>
      <c r="N312" s="26" t="s">
        <v>307</v>
      </c>
      <c r="O312" s="26">
        <v>1.0</v>
      </c>
    </row>
    <row r="313" ht="15.75" customHeight="1">
      <c r="A313" s="26" t="s">
        <v>2023</v>
      </c>
      <c r="B313" s="26" t="s">
        <v>2024</v>
      </c>
      <c r="C313" s="26" t="s">
        <v>363</v>
      </c>
      <c r="D313" s="26" t="s">
        <v>36</v>
      </c>
      <c r="E313" s="26" t="s">
        <v>177</v>
      </c>
      <c r="F313" s="26" t="s">
        <v>2025</v>
      </c>
      <c r="G313" s="26" t="s">
        <v>82</v>
      </c>
      <c r="H313" s="26" t="s">
        <v>34</v>
      </c>
      <c r="I313" s="26"/>
      <c r="J313" s="26">
        <v>1.0</v>
      </c>
      <c r="K313" s="26" t="s">
        <v>178</v>
      </c>
      <c r="L313" s="26" t="s">
        <v>15</v>
      </c>
      <c r="M313" s="26" t="s">
        <v>87</v>
      </c>
      <c r="N313" s="26" t="s">
        <v>307</v>
      </c>
      <c r="O313" s="26">
        <v>2.0</v>
      </c>
    </row>
    <row r="314" ht="15.75" customHeight="1">
      <c r="A314" s="26" t="s">
        <v>2026</v>
      </c>
      <c r="B314" s="26" t="s">
        <v>2027</v>
      </c>
      <c r="C314" s="26" t="s">
        <v>363</v>
      </c>
      <c r="D314" s="26" t="s">
        <v>59</v>
      </c>
      <c r="E314" s="26" t="s">
        <v>896</v>
      </c>
      <c r="F314" s="26" t="s">
        <v>1620</v>
      </c>
      <c r="G314" s="26" t="s">
        <v>438</v>
      </c>
      <c r="H314" s="26" t="s">
        <v>34</v>
      </c>
      <c r="I314" s="26"/>
      <c r="J314" s="26">
        <v>0.0</v>
      </c>
      <c r="K314" s="26" t="s">
        <v>897</v>
      </c>
      <c r="L314" s="26" t="s">
        <v>23</v>
      </c>
      <c r="M314" s="26" t="s">
        <v>91</v>
      </c>
      <c r="N314" s="26" t="s">
        <v>307</v>
      </c>
      <c r="O314" s="26">
        <v>4.0</v>
      </c>
    </row>
    <row r="315" ht="15.75" customHeight="1">
      <c r="A315" s="26" t="s">
        <v>2028</v>
      </c>
      <c r="B315" s="26" t="s">
        <v>2029</v>
      </c>
      <c r="C315" s="26" t="s">
        <v>429</v>
      </c>
      <c r="D315" s="26" t="s">
        <v>50</v>
      </c>
      <c r="E315" s="26" t="s">
        <v>2030</v>
      </c>
      <c r="F315" s="26" t="s">
        <v>336</v>
      </c>
      <c r="G315" s="26" t="s">
        <v>75</v>
      </c>
      <c r="H315" s="26" t="s">
        <v>53</v>
      </c>
      <c r="I315" s="26" t="s">
        <v>245</v>
      </c>
      <c r="J315" s="26">
        <v>4.0</v>
      </c>
      <c r="K315" s="26" t="s">
        <v>2031</v>
      </c>
      <c r="L315" s="26" t="s">
        <v>15</v>
      </c>
      <c r="M315" s="26" t="s">
        <v>81</v>
      </c>
      <c r="N315" s="26" t="s">
        <v>307</v>
      </c>
      <c r="O315" s="26">
        <v>2.0</v>
      </c>
    </row>
    <row r="316" ht="15.75" customHeight="1">
      <c r="A316" s="26" t="s">
        <v>2032</v>
      </c>
      <c r="B316" s="26" t="s">
        <v>2033</v>
      </c>
      <c r="C316" s="26" t="s">
        <v>300</v>
      </c>
      <c r="D316" s="26" t="s">
        <v>45</v>
      </c>
      <c r="E316" s="26" t="s">
        <v>2034</v>
      </c>
      <c r="F316" s="26" t="s">
        <v>303</v>
      </c>
      <c r="G316" s="26" t="s">
        <v>140</v>
      </c>
      <c r="H316" s="26" t="s">
        <v>34</v>
      </c>
      <c r="I316" s="26"/>
      <c r="J316" s="26">
        <v>1.0</v>
      </c>
      <c r="K316" s="26" t="s">
        <v>2035</v>
      </c>
      <c r="L316" s="26" t="s">
        <v>15</v>
      </c>
      <c r="M316" s="26" t="s">
        <v>81</v>
      </c>
      <c r="N316" s="26" t="s">
        <v>307</v>
      </c>
      <c r="O316" s="26">
        <v>3.0</v>
      </c>
    </row>
    <row r="317" ht="15.75" customHeight="1">
      <c r="A317" s="26" t="s">
        <v>2036</v>
      </c>
      <c r="B317" s="26" t="s">
        <v>2037</v>
      </c>
      <c r="C317" s="26" t="s">
        <v>363</v>
      </c>
      <c r="D317" s="26" t="s">
        <v>79</v>
      </c>
      <c r="E317" s="26" t="s">
        <v>2038</v>
      </c>
      <c r="F317" s="26" t="s">
        <v>1895</v>
      </c>
      <c r="G317" s="26" t="s">
        <v>255</v>
      </c>
      <c r="H317" s="26" t="s">
        <v>49</v>
      </c>
      <c r="I317" s="26" t="s">
        <v>1291</v>
      </c>
      <c r="J317" s="26">
        <v>2.0</v>
      </c>
      <c r="K317" s="26" t="s">
        <v>2039</v>
      </c>
      <c r="L317" s="26" t="s">
        <v>19</v>
      </c>
      <c r="M317" s="26" t="s">
        <v>87</v>
      </c>
      <c r="N317" s="26" t="s">
        <v>307</v>
      </c>
      <c r="O317" s="26">
        <v>4.0</v>
      </c>
    </row>
    <row r="318" ht="15.75" customHeight="1">
      <c r="A318" s="26" t="s">
        <v>2040</v>
      </c>
      <c r="B318" s="26" t="s">
        <v>2041</v>
      </c>
      <c r="C318" s="26" t="s">
        <v>363</v>
      </c>
      <c r="D318" s="26" t="s">
        <v>48</v>
      </c>
      <c r="E318" s="26" t="s">
        <v>2042</v>
      </c>
      <c r="F318" s="26" t="s">
        <v>1727</v>
      </c>
      <c r="G318" s="26" t="s">
        <v>284</v>
      </c>
      <c r="H318" s="26" t="s">
        <v>46</v>
      </c>
      <c r="I318" s="26"/>
      <c r="J318" s="26">
        <v>0.0</v>
      </c>
      <c r="K318" s="26" t="s">
        <v>2043</v>
      </c>
      <c r="L318" s="26" t="s">
        <v>15</v>
      </c>
      <c r="M318" s="26" t="s">
        <v>81</v>
      </c>
      <c r="N318" s="26" t="s">
        <v>307</v>
      </c>
      <c r="O318" s="26">
        <v>1.0</v>
      </c>
    </row>
    <row r="319" ht="15.75" customHeight="1">
      <c r="A319" s="26" t="s">
        <v>2044</v>
      </c>
      <c r="B319" s="26" t="s">
        <v>2045</v>
      </c>
      <c r="C319" s="26" t="s">
        <v>300</v>
      </c>
      <c r="D319" s="26" t="s">
        <v>85</v>
      </c>
      <c r="E319" s="26" t="s">
        <v>2046</v>
      </c>
      <c r="F319" s="26" t="s">
        <v>698</v>
      </c>
      <c r="G319" s="26" t="s">
        <v>102</v>
      </c>
      <c r="H319" s="26" t="s">
        <v>53</v>
      </c>
      <c r="I319" s="26"/>
      <c r="J319" s="26">
        <v>1.0</v>
      </c>
      <c r="K319" s="26" t="s">
        <v>1354</v>
      </c>
      <c r="L319" s="26" t="s">
        <v>19</v>
      </c>
      <c r="M319" s="26" t="s">
        <v>66</v>
      </c>
      <c r="N319" s="26" t="s">
        <v>307</v>
      </c>
      <c r="O319" s="26">
        <v>1.0</v>
      </c>
    </row>
    <row r="320" ht="15.75" customHeight="1">
      <c r="A320" s="26" t="s">
        <v>2047</v>
      </c>
      <c r="B320" s="26" t="s">
        <v>2048</v>
      </c>
      <c r="C320" s="26" t="s">
        <v>300</v>
      </c>
      <c r="D320" s="26" t="s">
        <v>48</v>
      </c>
      <c r="E320" s="26" t="s">
        <v>452</v>
      </c>
      <c r="F320" s="26" t="s">
        <v>984</v>
      </c>
      <c r="G320" s="26" t="s">
        <v>265</v>
      </c>
      <c r="H320" s="26" t="s">
        <v>34</v>
      </c>
      <c r="I320" s="26"/>
      <c r="J320" s="26">
        <v>1.0</v>
      </c>
      <c r="K320" s="26" t="s">
        <v>136</v>
      </c>
      <c r="L320" s="26" t="s">
        <v>29</v>
      </c>
      <c r="M320" s="26" t="s">
        <v>95</v>
      </c>
      <c r="N320" s="26" t="s">
        <v>307</v>
      </c>
      <c r="O320" s="26">
        <v>1.0</v>
      </c>
    </row>
    <row r="321" ht="15.75" customHeight="1">
      <c r="A321" s="26" t="s">
        <v>2049</v>
      </c>
      <c r="B321" s="26" t="s">
        <v>2050</v>
      </c>
      <c r="C321" s="26" t="s">
        <v>300</v>
      </c>
      <c r="D321" s="26" t="s">
        <v>54</v>
      </c>
      <c r="E321" s="26" t="s">
        <v>2051</v>
      </c>
      <c r="F321" s="26" t="s">
        <v>432</v>
      </c>
      <c r="G321" s="26" t="s">
        <v>182</v>
      </c>
      <c r="H321" s="26" t="s">
        <v>34</v>
      </c>
      <c r="I321" s="26" t="s">
        <v>99</v>
      </c>
      <c r="J321" s="26">
        <v>3.0</v>
      </c>
      <c r="K321" s="26" t="s">
        <v>2052</v>
      </c>
      <c r="L321" s="26" t="s">
        <v>15</v>
      </c>
      <c r="M321" s="26" t="s">
        <v>81</v>
      </c>
      <c r="N321" s="26" t="s">
        <v>307</v>
      </c>
      <c r="O321" s="26">
        <v>3.0</v>
      </c>
    </row>
    <row r="322" ht="15.75" customHeight="1">
      <c r="A322" s="26" t="s">
        <v>2053</v>
      </c>
      <c r="B322" s="26" t="s">
        <v>2054</v>
      </c>
      <c r="C322" s="26" t="s">
        <v>363</v>
      </c>
      <c r="D322" s="26" t="s">
        <v>45</v>
      </c>
      <c r="E322" s="26" t="s">
        <v>2055</v>
      </c>
      <c r="F322" s="26" t="s">
        <v>744</v>
      </c>
      <c r="G322" s="26" t="s">
        <v>148</v>
      </c>
      <c r="H322" s="26" t="s">
        <v>34</v>
      </c>
      <c r="I322" s="26" t="s">
        <v>130</v>
      </c>
      <c r="J322" s="26">
        <v>3.0</v>
      </c>
      <c r="K322" s="26" t="s">
        <v>2056</v>
      </c>
      <c r="L322" s="26" t="s">
        <v>15</v>
      </c>
      <c r="M322" s="26" t="s">
        <v>81</v>
      </c>
      <c r="N322" s="26" t="s">
        <v>307</v>
      </c>
      <c r="O322" s="26">
        <v>3.0</v>
      </c>
    </row>
    <row r="323" ht="15.75" customHeight="1">
      <c r="A323" s="26" t="s">
        <v>2057</v>
      </c>
      <c r="B323" s="26" t="s">
        <v>2058</v>
      </c>
      <c r="C323" s="26" t="s">
        <v>300</v>
      </c>
      <c r="D323" s="26" t="s">
        <v>48</v>
      </c>
      <c r="E323" s="26" t="s">
        <v>2059</v>
      </c>
      <c r="F323" s="26" t="s">
        <v>984</v>
      </c>
      <c r="G323" s="26" t="s">
        <v>265</v>
      </c>
      <c r="H323" s="26" t="s">
        <v>34</v>
      </c>
      <c r="I323" s="26" t="s">
        <v>386</v>
      </c>
      <c r="J323" s="26">
        <v>2.0</v>
      </c>
      <c r="K323" s="26" t="s">
        <v>2060</v>
      </c>
      <c r="L323" s="26" t="s">
        <v>15</v>
      </c>
      <c r="M323" s="26" t="s">
        <v>81</v>
      </c>
      <c r="N323" s="26" t="s">
        <v>307</v>
      </c>
      <c r="O323" s="26">
        <v>1.0</v>
      </c>
    </row>
    <row r="324" ht="15.75" customHeight="1">
      <c r="A324" s="26" t="s">
        <v>2061</v>
      </c>
      <c r="B324" s="26" t="s">
        <v>2062</v>
      </c>
      <c r="C324" s="26" t="s">
        <v>363</v>
      </c>
      <c r="D324" s="26" t="s">
        <v>96</v>
      </c>
      <c r="E324" s="26" t="s">
        <v>1425</v>
      </c>
      <c r="F324" s="26" t="s">
        <v>2063</v>
      </c>
      <c r="G324" s="26" t="s">
        <v>1424</v>
      </c>
      <c r="H324" s="26" t="s">
        <v>46</v>
      </c>
      <c r="I324" s="26"/>
      <c r="J324" s="26">
        <v>1.0</v>
      </c>
      <c r="K324" s="26" t="s">
        <v>1428</v>
      </c>
      <c r="L324" s="26" t="s">
        <v>15</v>
      </c>
      <c r="M324" s="26" t="s">
        <v>81</v>
      </c>
      <c r="N324" s="26" t="s">
        <v>307</v>
      </c>
      <c r="O324" s="26">
        <v>3.0</v>
      </c>
    </row>
    <row r="325" ht="15.75" customHeight="1">
      <c r="A325" s="26" t="s">
        <v>2064</v>
      </c>
      <c r="B325" s="26" t="s">
        <v>2065</v>
      </c>
      <c r="C325" s="26" t="s">
        <v>363</v>
      </c>
      <c r="D325" s="26" t="s">
        <v>45</v>
      </c>
      <c r="E325" s="26" t="s">
        <v>377</v>
      </c>
      <c r="F325" s="26" t="s">
        <v>937</v>
      </c>
      <c r="G325" s="26" t="s">
        <v>204</v>
      </c>
      <c r="H325" s="26" t="s">
        <v>49</v>
      </c>
      <c r="I325" s="26"/>
      <c r="J325" s="26">
        <v>1.0</v>
      </c>
      <c r="K325" s="26" t="s">
        <v>136</v>
      </c>
      <c r="L325" s="26" t="s">
        <v>29</v>
      </c>
      <c r="M325" s="26" t="s">
        <v>95</v>
      </c>
      <c r="N325" s="26" t="s">
        <v>307</v>
      </c>
      <c r="O325" s="26">
        <v>3.0</v>
      </c>
    </row>
    <row r="326" ht="15.75" customHeight="1">
      <c r="A326" s="26" t="s">
        <v>2066</v>
      </c>
      <c r="B326" s="26" t="s">
        <v>2067</v>
      </c>
      <c r="C326" s="26" t="s">
        <v>363</v>
      </c>
      <c r="D326" s="26" t="s">
        <v>69</v>
      </c>
      <c r="E326" s="26" t="s">
        <v>2068</v>
      </c>
      <c r="F326" s="26" t="s">
        <v>537</v>
      </c>
      <c r="G326" s="26" t="s">
        <v>197</v>
      </c>
      <c r="H326" s="26" t="s">
        <v>34</v>
      </c>
      <c r="I326" s="26"/>
      <c r="J326" s="26">
        <v>1.0</v>
      </c>
      <c r="K326" s="26" t="s">
        <v>2069</v>
      </c>
      <c r="L326" s="26" t="s">
        <v>15</v>
      </c>
      <c r="M326" s="26" t="s">
        <v>81</v>
      </c>
      <c r="N326" s="26" t="s">
        <v>307</v>
      </c>
      <c r="O326" s="26">
        <v>4.0</v>
      </c>
    </row>
    <row r="327" ht="15.75" customHeight="1">
      <c r="A327" s="26" t="s">
        <v>2070</v>
      </c>
      <c r="B327" s="26" t="s">
        <v>2071</v>
      </c>
      <c r="C327" s="26" t="s">
        <v>363</v>
      </c>
      <c r="D327" s="26" t="s">
        <v>48</v>
      </c>
      <c r="E327" s="26" t="s">
        <v>2072</v>
      </c>
      <c r="F327" s="26" t="s">
        <v>625</v>
      </c>
      <c r="G327" s="26" t="s">
        <v>313</v>
      </c>
      <c r="H327" s="26" t="s">
        <v>34</v>
      </c>
      <c r="I327" s="26" t="s">
        <v>386</v>
      </c>
      <c r="J327" s="26">
        <v>2.0</v>
      </c>
      <c r="K327" s="26" t="s">
        <v>2073</v>
      </c>
      <c r="L327" s="26" t="s">
        <v>15</v>
      </c>
      <c r="M327" s="26" t="s">
        <v>81</v>
      </c>
      <c r="N327" s="26" t="s">
        <v>307</v>
      </c>
      <c r="O327" s="26">
        <v>0.0</v>
      </c>
    </row>
    <row r="328" ht="15.75" customHeight="1">
      <c r="A328" s="26" t="s">
        <v>2074</v>
      </c>
      <c r="B328" s="26" t="s">
        <v>2075</v>
      </c>
      <c r="C328" s="26" t="s">
        <v>363</v>
      </c>
      <c r="D328" s="26" t="s">
        <v>45</v>
      </c>
      <c r="E328" s="26" t="s">
        <v>2076</v>
      </c>
      <c r="F328" s="26" t="s">
        <v>303</v>
      </c>
      <c r="G328" s="26" t="s">
        <v>140</v>
      </c>
      <c r="H328" s="26" t="s">
        <v>34</v>
      </c>
      <c r="I328" s="26" t="s">
        <v>169</v>
      </c>
      <c r="J328" s="26">
        <v>2.0</v>
      </c>
      <c r="K328" s="26" t="s">
        <v>2077</v>
      </c>
      <c r="L328" s="26" t="s">
        <v>15</v>
      </c>
      <c r="M328" s="26" t="s">
        <v>81</v>
      </c>
      <c r="N328" s="26" t="s">
        <v>307</v>
      </c>
      <c r="O328" s="26">
        <v>3.0</v>
      </c>
    </row>
    <row r="329" ht="15.75" customHeight="1">
      <c r="A329" s="26" t="s">
        <v>2078</v>
      </c>
      <c r="B329" s="26" t="s">
        <v>2079</v>
      </c>
      <c r="C329" s="26" t="s">
        <v>429</v>
      </c>
      <c r="D329" s="26" t="s">
        <v>48</v>
      </c>
      <c r="E329" s="26" t="s">
        <v>2080</v>
      </c>
      <c r="F329" s="26" t="s">
        <v>366</v>
      </c>
      <c r="G329" s="26" t="s">
        <v>258</v>
      </c>
      <c r="H329" s="26" t="s">
        <v>61</v>
      </c>
      <c r="I329" s="26" t="s">
        <v>378</v>
      </c>
      <c r="J329" s="26">
        <v>2.0</v>
      </c>
      <c r="K329" s="26" t="s">
        <v>136</v>
      </c>
      <c r="L329" s="26" t="s">
        <v>29</v>
      </c>
      <c r="M329" s="26" t="s">
        <v>95</v>
      </c>
      <c r="N329" s="26" t="s">
        <v>307</v>
      </c>
      <c r="O329" s="26">
        <v>0.0</v>
      </c>
    </row>
    <row r="330" ht="15.75" customHeight="1">
      <c r="A330" s="26" t="s">
        <v>2078</v>
      </c>
      <c r="B330" s="26" t="s">
        <v>2079</v>
      </c>
      <c r="C330" s="26" t="s">
        <v>429</v>
      </c>
      <c r="D330" s="26" t="s">
        <v>48</v>
      </c>
      <c r="E330" s="26" t="s">
        <v>2080</v>
      </c>
      <c r="F330" s="26" t="s">
        <v>366</v>
      </c>
      <c r="G330" s="26" t="s">
        <v>258</v>
      </c>
      <c r="H330" s="26" t="s">
        <v>61</v>
      </c>
      <c r="I330" s="26" t="s">
        <v>378</v>
      </c>
      <c r="J330" s="26">
        <v>2.0</v>
      </c>
      <c r="K330" s="26" t="s">
        <v>2081</v>
      </c>
      <c r="L330" s="26" t="s">
        <v>15</v>
      </c>
      <c r="M330" s="26" t="s">
        <v>81</v>
      </c>
      <c r="N330" s="26" t="s">
        <v>307</v>
      </c>
      <c r="O330" s="26">
        <v>0.0</v>
      </c>
    </row>
    <row r="331" ht="15.75" customHeight="1">
      <c r="A331" s="26" t="s">
        <v>2082</v>
      </c>
      <c r="B331" s="26" t="s">
        <v>2083</v>
      </c>
      <c r="C331" s="26" t="s">
        <v>312</v>
      </c>
      <c r="D331" s="26" t="s">
        <v>50</v>
      </c>
      <c r="E331" s="26" t="s">
        <v>2084</v>
      </c>
      <c r="F331" s="26" t="s">
        <v>847</v>
      </c>
      <c r="G331" s="26" t="s">
        <v>328</v>
      </c>
      <c r="H331" s="26" t="s">
        <v>49</v>
      </c>
      <c r="I331" s="26"/>
      <c r="J331" s="26">
        <v>1.0</v>
      </c>
      <c r="K331" s="26" t="s">
        <v>2085</v>
      </c>
      <c r="L331" s="26" t="s">
        <v>15</v>
      </c>
      <c r="M331" s="26" t="s">
        <v>81</v>
      </c>
      <c r="N331" s="26" t="s">
        <v>307</v>
      </c>
      <c r="O331" s="26">
        <v>3.0</v>
      </c>
    </row>
    <row r="332" ht="15.75" customHeight="1">
      <c r="A332" s="26" t="s">
        <v>2086</v>
      </c>
      <c r="B332" s="26" t="s">
        <v>2087</v>
      </c>
      <c r="C332" s="26" t="s">
        <v>429</v>
      </c>
      <c r="D332" s="26" t="s">
        <v>48</v>
      </c>
      <c r="E332" s="26" t="s">
        <v>2088</v>
      </c>
      <c r="F332" s="26" t="s">
        <v>2089</v>
      </c>
      <c r="G332" s="26" t="s">
        <v>378</v>
      </c>
      <c r="H332" s="26" t="s">
        <v>34</v>
      </c>
      <c r="I332" s="26"/>
      <c r="J332" s="26">
        <v>1.0</v>
      </c>
      <c r="K332" s="26" t="s">
        <v>136</v>
      </c>
      <c r="L332" s="26" t="s">
        <v>29</v>
      </c>
      <c r="M332" s="26" t="s">
        <v>95</v>
      </c>
      <c r="N332" s="26" t="s">
        <v>307</v>
      </c>
      <c r="O332" s="26">
        <v>3.0</v>
      </c>
    </row>
    <row r="333" ht="15.75" customHeight="1">
      <c r="A333" s="26" t="s">
        <v>2090</v>
      </c>
      <c r="B333" s="26" t="s">
        <v>2091</v>
      </c>
      <c r="C333" s="26" t="s">
        <v>429</v>
      </c>
      <c r="D333" s="26" t="s">
        <v>45</v>
      </c>
      <c r="E333" s="26" t="s">
        <v>2092</v>
      </c>
      <c r="F333" s="26" t="s">
        <v>1237</v>
      </c>
      <c r="G333" s="26" t="s">
        <v>166</v>
      </c>
      <c r="H333" s="26" t="s">
        <v>46</v>
      </c>
      <c r="I333" s="26" t="s">
        <v>143</v>
      </c>
      <c r="J333" s="26">
        <v>3.0</v>
      </c>
      <c r="K333" s="26" t="s">
        <v>2093</v>
      </c>
      <c r="L333" s="26" t="s">
        <v>15</v>
      </c>
      <c r="M333" s="26" t="s">
        <v>81</v>
      </c>
      <c r="N333" s="26" t="s">
        <v>307</v>
      </c>
      <c r="O333" s="26">
        <v>3.0</v>
      </c>
    </row>
    <row r="334" ht="15.75" customHeight="1">
      <c r="A334" s="26" t="s">
        <v>2094</v>
      </c>
      <c r="B334" s="26" t="s">
        <v>2095</v>
      </c>
      <c r="C334" s="26" t="s">
        <v>363</v>
      </c>
      <c r="D334" s="26" t="s">
        <v>59</v>
      </c>
      <c r="E334" s="26" t="s">
        <v>2096</v>
      </c>
      <c r="F334" s="26" t="s">
        <v>2097</v>
      </c>
      <c r="G334" s="26" t="s">
        <v>127</v>
      </c>
      <c r="H334" s="26" t="s">
        <v>53</v>
      </c>
      <c r="I334" s="26" t="s">
        <v>113</v>
      </c>
      <c r="J334" s="26">
        <v>3.0</v>
      </c>
      <c r="K334" s="26" t="s">
        <v>2098</v>
      </c>
      <c r="L334" s="26" t="s">
        <v>19</v>
      </c>
      <c r="M334" s="26" t="s">
        <v>81</v>
      </c>
      <c r="N334" s="26" t="s">
        <v>307</v>
      </c>
      <c r="O334" s="26">
        <v>2.0</v>
      </c>
    </row>
    <row r="335" ht="15.75" customHeight="1">
      <c r="A335" s="26" t="s">
        <v>2099</v>
      </c>
      <c r="B335" s="26" t="s">
        <v>2100</v>
      </c>
      <c r="C335" s="26"/>
      <c r="D335" s="26" t="s">
        <v>54</v>
      </c>
      <c r="E335" s="26" t="s">
        <v>2101</v>
      </c>
      <c r="F335" s="26" t="s">
        <v>432</v>
      </c>
      <c r="G335" s="26" t="s">
        <v>182</v>
      </c>
      <c r="H335" s="26" t="s">
        <v>34</v>
      </c>
      <c r="I335" s="26" t="s">
        <v>217</v>
      </c>
      <c r="J335" s="26">
        <v>2.0</v>
      </c>
      <c r="K335" s="26" t="s">
        <v>793</v>
      </c>
      <c r="L335" s="26" t="s">
        <v>15</v>
      </c>
      <c r="M335" s="26" t="s">
        <v>81</v>
      </c>
      <c r="N335" s="26" t="s">
        <v>307</v>
      </c>
      <c r="O335" s="26">
        <v>1.0</v>
      </c>
    </row>
    <row r="336" ht="15.75" customHeight="1">
      <c r="A336" s="26" t="s">
        <v>2102</v>
      </c>
      <c r="B336" s="26" t="s">
        <v>2103</v>
      </c>
      <c r="C336" s="26" t="s">
        <v>300</v>
      </c>
      <c r="D336" s="26" t="s">
        <v>36</v>
      </c>
      <c r="E336" s="26" t="s">
        <v>2104</v>
      </c>
      <c r="F336" s="26" t="s">
        <v>1583</v>
      </c>
      <c r="G336" s="26" t="s">
        <v>73</v>
      </c>
      <c r="H336" s="26" t="s">
        <v>46</v>
      </c>
      <c r="I336" s="26"/>
      <c r="J336" s="26">
        <v>1.0</v>
      </c>
      <c r="K336" s="26" t="s">
        <v>2105</v>
      </c>
      <c r="L336" s="26" t="s">
        <v>19</v>
      </c>
      <c r="M336" s="26" t="s">
        <v>87</v>
      </c>
      <c r="N336" s="26" t="s">
        <v>307</v>
      </c>
      <c r="O336" s="26">
        <v>3.0</v>
      </c>
    </row>
    <row r="337" ht="15.75" customHeight="1">
      <c r="A337" s="26" t="s">
        <v>2106</v>
      </c>
      <c r="B337" s="26" t="s">
        <v>2107</v>
      </c>
      <c r="C337" s="26" t="s">
        <v>363</v>
      </c>
      <c r="D337" s="26" t="s">
        <v>59</v>
      </c>
      <c r="E337" s="26" t="s">
        <v>2108</v>
      </c>
      <c r="F337" s="26" t="s">
        <v>423</v>
      </c>
      <c r="G337" s="26" t="s">
        <v>117</v>
      </c>
      <c r="H337" s="26" t="s">
        <v>34</v>
      </c>
      <c r="I337" s="26" t="s">
        <v>843</v>
      </c>
      <c r="J337" s="26">
        <v>3.0</v>
      </c>
      <c r="K337" s="26" t="s">
        <v>136</v>
      </c>
      <c r="L337" s="26" t="s">
        <v>29</v>
      </c>
      <c r="M337" s="26" t="s">
        <v>95</v>
      </c>
      <c r="N337" s="26" t="s">
        <v>307</v>
      </c>
      <c r="O337" s="26">
        <v>2.0</v>
      </c>
    </row>
    <row r="338" ht="15.75" customHeight="1">
      <c r="A338" s="26" t="s">
        <v>2109</v>
      </c>
      <c r="B338" s="26" t="s">
        <v>2110</v>
      </c>
      <c r="C338" s="26" t="s">
        <v>363</v>
      </c>
      <c r="D338" s="26" t="s">
        <v>36</v>
      </c>
      <c r="E338" s="26" t="s">
        <v>2111</v>
      </c>
      <c r="F338" s="26" t="s">
        <v>681</v>
      </c>
      <c r="G338" s="26" t="s">
        <v>58</v>
      </c>
      <c r="H338" s="26" t="s">
        <v>49</v>
      </c>
      <c r="I338" s="26" t="s">
        <v>104</v>
      </c>
      <c r="J338" s="26">
        <v>2.0</v>
      </c>
      <c r="K338" s="26" t="s">
        <v>2112</v>
      </c>
      <c r="L338" s="26" t="s">
        <v>15</v>
      </c>
      <c r="M338" s="26" t="s">
        <v>81</v>
      </c>
      <c r="N338" s="26" t="s">
        <v>307</v>
      </c>
      <c r="O338" s="26">
        <v>2.0</v>
      </c>
    </row>
    <row r="339" ht="15.75" customHeight="1">
      <c r="A339" s="26" t="s">
        <v>2113</v>
      </c>
      <c r="B339" s="26" t="s">
        <v>2114</v>
      </c>
      <c r="C339" s="26" t="s">
        <v>312</v>
      </c>
      <c r="D339" s="26" t="s">
        <v>36</v>
      </c>
      <c r="E339" s="26" t="s">
        <v>2115</v>
      </c>
      <c r="F339" s="26" t="s">
        <v>2116</v>
      </c>
      <c r="G339" s="26" t="s">
        <v>84</v>
      </c>
      <c r="H339" s="26" t="s">
        <v>34</v>
      </c>
      <c r="I339" s="26" t="s">
        <v>98</v>
      </c>
      <c r="J339" s="26">
        <v>3.0</v>
      </c>
      <c r="K339" s="26" t="s">
        <v>2117</v>
      </c>
      <c r="L339" s="26" t="s">
        <v>23</v>
      </c>
      <c r="M339" s="26" t="s">
        <v>91</v>
      </c>
      <c r="N339" s="26" t="s">
        <v>307</v>
      </c>
      <c r="O339" s="26">
        <v>3.0</v>
      </c>
    </row>
    <row r="340" ht="15.75" customHeight="1">
      <c r="A340" s="26" t="s">
        <v>2118</v>
      </c>
      <c r="B340" s="26" t="s">
        <v>2119</v>
      </c>
      <c r="C340" s="26" t="s">
        <v>363</v>
      </c>
      <c r="D340" s="26" t="s">
        <v>36</v>
      </c>
      <c r="E340" s="26" t="s">
        <v>2120</v>
      </c>
      <c r="F340" s="26" t="s">
        <v>681</v>
      </c>
      <c r="G340" s="26" t="s">
        <v>58</v>
      </c>
      <c r="H340" s="26" t="s">
        <v>49</v>
      </c>
      <c r="I340" s="26"/>
      <c r="J340" s="26">
        <v>1.0</v>
      </c>
      <c r="K340" s="26" t="s">
        <v>2121</v>
      </c>
      <c r="L340" s="26" t="s">
        <v>19</v>
      </c>
      <c r="M340" s="26" t="s">
        <v>87</v>
      </c>
      <c r="N340" s="26" t="s">
        <v>307</v>
      </c>
      <c r="O340" s="26">
        <v>3.0</v>
      </c>
    </row>
    <row r="341" ht="15.75" customHeight="1">
      <c r="A341" s="26" t="s">
        <v>2122</v>
      </c>
      <c r="B341" s="26" t="s">
        <v>2123</v>
      </c>
      <c r="C341" s="26" t="s">
        <v>312</v>
      </c>
      <c r="D341" s="26" t="s">
        <v>48</v>
      </c>
      <c r="E341" s="26" t="s">
        <v>2124</v>
      </c>
      <c r="F341" s="26" t="s">
        <v>2089</v>
      </c>
      <c r="G341" s="26" t="s">
        <v>378</v>
      </c>
      <c r="H341" s="26" t="s">
        <v>34</v>
      </c>
      <c r="I341" s="26"/>
      <c r="J341" s="26">
        <v>1.0</v>
      </c>
      <c r="K341" s="26" t="s">
        <v>2125</v>
      </c>
      <c r="L341" s="26" t="s">
        <v>15</v>
      </c>
      <c r="M341" s="26" t="s">
        <v>87</v>
      </c>
      <c r="N341" s="26" t="s">
        <v>307</v>
      </c>
      <c r="O341" s="26">
        <v>4.0</v>
      </c>
    </row>
    <row r="342" ht="15.75" customHeight="1">
      <c r="A342" s="26" t="s">
        <v>2126</v>
      </c>
      <c r="B342" s="26" t="s">
        <v>2127</v>
      </c>
      <c r="C342" s="26" t="s">
        <v>312</v>
      </c>
      <c r="D342" s="26" t="s">
        <v>69</v>
      </c>
      <c r="E342" s="26" t="s">
        <v>1114</v>
      </c>
      <c r="F342" s="26" t="s">
        <v>2128</v>
      </c>
      <c r="G342" s="26" t="s">
        <v>1112</v>
      </c>
      <c r="H342" s="26" t="s">
        <v>53</v>
      </c>
      <c r="I342" s="26"/>
      <c r="J342" s="26">
        <v>1.0</v>
      </c>
      <c r="K342" s="26" t="s">
        <v>1115</v>
      </c>
      <c r="L342" s="26" t="s">
        <v>15</v>
      </c>
      <c r="M342" s="26" t="s">
        <v>81</v>
      </c>
      <c r="N342" s="26" t="s">
        <v>307</v>
      </c>
      <c r="O342" s="26">
        <v>12.0</v>
      </c>
    </row>
    <row r="343" ht="15.75" customHeight="1">
      <c r="A343" s="26" t="s">
        <v>2129</v>
      </c>
      <c r="B343" s="26" t="s">
        <v>2130</v>
      </c>
      <c r="C343" s="26" t="s">
        <v>363</v>
      </c>
      <c r="D343" s="26" t="s">
        <v>59</v>
      </c>
      <c r="E343" s="26" t="s">
        <v>2131</v>
      </c>
      <c r="F343" s="26" t="s">
        <v>423</v>
      </c>
      <c r="G343" s="26" t="s">
        <v>117</v>
      </c>
      <c r="H343" s="26" t="s">
        <v>34</v>
      </c>
      <c r="I343" s="26" t="s">
        <v>843</v>
      </c>
      <c r="J343" s="26">
        <v>3.0</v>
      </c>
      <c r="K343" s="26" t="s">
        <v>136</v>
      </c>
      <c r="L343" s="26" t="s">
        <v>29</v>
      </c>
      <c r="M343" s="26" t="s">
        <v>95</v>
      </c>
      <c r="N343" s="26" t="s">
        <v>307</v>
      </c>
      <c r="O343" s="26">
        <v>3.0</v>
      </c>
    </row>
    <row r="344" ht="15.75" customHeight="1">
      <c r="A344" s="26" t="s">
        <v>2132</v>
      </c>
      <c r="B344" s="26" t="s">
        <v>2133</v>
      </c>
      <c r="C344" s="26" t="s">
        <v>429</v>
      </c>
      <c r="D344" s="26" t="s">
        <v>48</v>
      </c>
      <c r="E344" s="26" t="s">
        <v>626</v>
      </c>
      <c r="F344" s="26" t="s">
        <v>1285</v>
      </c>
      <c r="G344" s="26" t="s">
        <v>118</v>
      </c>
      <c r="H344" s="26" t="s">
        <v>46</v>
      </c>
      <c r="I344" s="26"/>
      <c r="J344" s="26">
        <v>0.0</v>
      </c>
      <c r="K344" s="26" t="s">
        <v>136</v>
      </c>
      <c r="L344" s="26" t="s">
        <v>29</v>
      </c>
      <c r="M344" s="26" t="s">
        <v>95</v>
      </c>
      <c r="N344" s="26" t="s">
        <v>307</v>
      </c>
      <c r="O344" s="26">
        <v>3.0</v>
      </c>
    </row>
    <row r="345" ht="15.75" customHeight="1">
      <c r="A345" s="26" t="s">
        <v>2134</v>
      </c>
      <c r="B345" s="26" t="s">
        <v>2135</v>
      </c>
      <c r="C345" s="26" t="s">
        <v>429</v>
      </c>
      <c r="D345" s="26" t="s">
        <v>36</v>
      </c>
      <c r="E345" s="26" t="s">
        <v>2136</v>
      </c>
      <c r="F345" s="26" t="s">
        <v>1292</v>
      </c>
      <c r="G345" s="26" t="s">
        <v>65</v>
      </c>
      <c r="H345" s="26" t="s">
        <v>34</v>
      </c>
      <c r="I345" s="26" t="s">
        <v>82</v>
      </c>
      <c r="J345" s="26">
        <v>3.0</v>
      </c>
      <c r="K345" s="26" t="s">
        <v>2137</v>
      </c>
      <c r="L345" s="26" t="s">
        <v>15</v>
      </c>
      <c r="M345" s="26" t="s">
        <v>81</v>
      </c>
      <c r="N345" s="26" t="s">
        <v>307</v>
      </c>
      <c r="O345" s="26">
        <v>124.0</v>
      </c>
    </row>
    <row r="346" ht="15.75" customHeight="1">
      <c r="A346" s="26" t="s">
        <v>2138</v>
      </c>
      <c r="B346" s="26" t="s">
        <v>2139</v>
      </c>
      <c r="C346" s="26"/>
      <c r="D346" s="26" t="s">
        <v>45</v>
      </c>
      <c r="E346" s="26" t="s">
        <v>2140</v>
      </c>
      <c r="F346" s="26" t="s">
        <v>744</v>
      </c>
      <c r="G346" s="26" t="s">
        <v>148</v>
      </c>
      <c r="H346" s="26" t="s">
        <v>34</v>
      </c>
      <c r="I346" s="26" t="s">
        <v>166</v>
      </c>
      <c r="J346" s="26">
        <v>3.0</v>
      </c>
      <c r="K346" s="26" t="s">
        <v>2141</v>
      </c>
      <c r="L346" s="26" t="s">
        <v>19</v>
      </c>
      <c r="M346" s="26" t="s">
        <v>81</v>
      </c>
      <c r="N346" s="26" t="s">
        <v>307</v>
      </c>
      <c r="O346" s="26">
        <v>3.0</v>
      </c>
    </row>
    <row r="347" ht="15.75" customHeight="1">
      <c r="A347" s="26" t="s">
        <v>2142</v>
      </c>
      <c r="B347" s="26" t="s">
        <v>2143</v>
      </c>
      <c r="C347" s="26" t="s">
        <v>429</v>
      </c>
      <c r="D347" s="26" t="s">
        <v>85</v>
      </c>
      <c r="E347" s="26" t="s">
        <v>1357</v>
      </c>
      <c r="F347" s="26" t="s">
        <v>698</v>
      </c>
      <c r="G347" s="26" t="s">
        <v>102</v>
      </c>
      <c r="H347" s="26" t="s">
        <v>53</v>
      </c>
      <c r="I347" s="26" t="s">
        <v>1369</v>
      </c>
      <c r="J347" s="26">
        <v>4.0</v>
      </c>
      <c r="K347" s="26" t="s">
        <v>1358</v>
      </c>
      <c r="L347" s="26" t="s">
        <v>15</v>
      </c>
      <c r="M347" s="26" t="s">
        <v>81</v>
      </c>
      <c r="N347" s="26" t="s">
        <v>307</v>
      </c>
      <c r="O347" s="26">
        <v>4.0</v>
      </c>
    </row>
    <row r="348" ht="15.75" customHeight="1">
      <c r="A348" s="26" t="s">
        <v>2144</v>
      </c>
      <c r="B348" s="26" t="s">
        <v>2145</v>
      </c>
      <c r="C348" s="26"/>
      <c r="D348" s="26" t="s">
        <v>45</v>
      </c>
      <c r="E348" s="26" t="s">
        <v>2146</v>
      </c>
      <c r="F348" s="26" t="s">
        <v>806</v>
      </c>
      <c r="G348" s="26" t="s">
        <v>169</v>
      </c>
      <c r="H348" s="26" t="s">
        <v>52</v>
      </c>
      <c r="I348" s="26" t="s">
        <v>220</v>
      </c>
      <c r="J348" s="26">
        <v>2.0</v>
      </c>
      <c r="K348" s="26" t="s">
        <v>2147</v>
      </c>
      <c r="L348" s="26" t="s">
        <v>15</v>
      </c>
      <c r="M348" s="26" t="s">
        <v>81</v>
      </c>
      <c r="N348" s="26" t="s">
        <v>307</v>
      </c>
      <c r="O348" s="26">
        <v>2.0</v>
      </c>
    </row>
    <row r="349" ht="15.75" customHeight="1">
      <c r="A349" s="26" t="s">
        <v>2148</v>
      </c>
      <c r="B349" s="26" t="s">
        <v>2149</v>
      </c>
      <c r="C349" s="26" t="s">
        <v>363</v>
      </c>
      <c r="D349" s="26" t="s">
        <v>36</v>
      </c>
      <c r="E349" s="26" t="s">
        <v>215</v>
      </c>
      <c r="F349" s="26" t="s">
        <v>2150</v>
      </c>
      <c r="G349" s="26" t="s">
        <v>104</v>
      </c>
      <c r="H349" s="26" t="s">
        <v>49</v>
      </c>
      <c r="I349" s="26"/>
      <c r="J349" s="26">
        <v>1.0</v>
      </c>
      <c r="K349" s="26" t="s">
        <v>136</v>
      </c>
      <c r="L349" s="26" t="s">
        <v>29</v>
      </c>
      <c r="M349" s="26" t="s">
        <v>95</v>
      </c>
      <c r="N349" s="26" t="s">
        <v>307</v>
      </c>
      <c r="O349" s="26">
        <v>2.0</v>
      </c>
    </row>
    <row r="350" ht="15.75" customHeight="1">
      <c r="A350" s="26" t="s">
        <v>2151</v>
      </c>
      <c r="B350" s="26" t="s">
        <v>2152</v>
      </c>
      <c r="C350" s="26"/>
      <c r="D350" s="26" t="s">
        <v>62</v>
      </c>
      <c r="E350" s="26" t="s">
        <v>2153</v>
      </c>
      <c r="F350" s="26" t="s">
        <v>383</v>
      </c>
      <c r="G350" s="26" t="s">
        <v>111</v>
      </c>
      <c r="H350" s="26" t="s">
        <v>49</v>
      </c>
      <c r="I350" s="26" t="s">
        <v>261</v>
      </c>
      <c r="J350" s="26">
        <v>2.0</v>
      </c>
      <c r="K350" s="26" t="s">
        <v>2154</v>
      </c>
      <c r="L350" s="26" t="s">
        <v>15</v>
      </c>
      <c r="M350" s="26" t="s">
        <v>81</v>
      </c>
      <c r="N350" s="26" t="s">
        <v>307</v>
      </c>
      <c r="O350" s="26">
        <v>2.0</v>
      </c>
    </row>
    <row r="351" ht="15.75" customHeight="1">
      <c r="A351" s="26" t="s">
        <v>2155</v>
      </c>
      <c r="B351" s="26" t="s">
        <v>2156</v>
      </c>
      <c r="C351" s="26"/>
      <c r="D351" s="26" t="s">
        <v>45</v>
      </c>
      <c r="E351" s="26" t="s">
        <v>2157</v>
      </c>
      <c r="F351" s="26" t="s">
        <v>303</v>
      </c>
      <c r="G351" s="26" t="s">
        <v>140</v>
      </c>
      <c r="H351" s="26" t="s">
        <v>34</v>
      </c>
      <c r="I351" s="26" t="s">
        <v>169</v>
      </c>
      <c r="J351" s="26">
        <v>2.0</v>
      </c>
      <c r="K351" s="26" t="s">
        <v>2158</v>
      </c>
      <c r="L351" s="26" t="s">
        <v>15</v>
      </c>
      <c r="M351" s="26" t="s">
        <v>87</v>
      </c>
      <c r="N351" s="26" t="s">
        <v>307</v>
      </c>
      <c r="O351" s="26">
        <v>2.0</v>
      </c>
    </row>
    <row r="352" ht="15.75" customHeight="1">
      <c r="A352" s="26" t="s">
        <v>2159</v>
      </c>
      <c r="B352" s="26" t="s">
        <v>2160</v>
      </c>
      <c r="C352" s="26"/>
      <c r="D352" s="26" t="s">
        <v>48</v>
      </c>
      <c r="E352" s="26" t="s">
        <v>2161</v>
      </c>
      <c r="F352" s="26" t="s">
        <v>984</v>
      </c>
      <c r="G352" s="26" t="s">
        <v>265</v>
      </c>
      <c r="H352" s="26" t="s">
        <v>34</v>
      </c>
      <c r="I352" s="26"/>
      <c r="J352" s="26">
        <v>1.0</v>
      </c>
      <c r="K352" s="26" t="s">
        <v>2162</v>
      </c>
      <c r="L352" s="26" t="s">
        <v>15</v>
      </c>
      <c r="M352" s="26" t="s">
        <v>81</v>
      </c>
      <c r="N352" s="26" t="s">
        <v>307</v>
      </c>
      <c r="O352" s="26">
        <v>4.0</v>
      </c>
    </row>
    <row r="353" ht="15.75" customHeight="1">
      <c r="A353" s="26" t="s">
        <v>2163</v>
      </c>
      <c r="B353" s="26" t="s">
        <v>2164</v>
      </c>
      <c r="C353" s="26"/>
      <c r="D353" s="26" t="s">
        <v>48</v>
      </c>
      <c r="E353" s="26" t="s">
        <v>2165</v>
      </c>
      <c r="F353" s="26" t="s">
        <v>1014</v>
      </c>
      <c r="G353" s="26" t="s">
        <v>248</v>
      </c>
      <c r="H353" s="26" t="s">
        <v>46</v>
      </c>
      <c r="I353" s="26"/>
      <c r="J353" s="26">
        <v>1.0</v>
      </c>
      <c r="K353" s="26" t="s">
        <v>2166</v>
      </c>
      <c r="L353" s="26" t="s">
        <v>15</v>
      </c>
      <c r="M353" s="26" t="s">
        <v>81</v>
      </c>
      <c r="N353" s="26" t="s">
        <v>307</v>
      </c>
      <c r="O353" s="26">
        <v>2.0</v>
      </c>
    </row>
    <row r="354" ht="15.75" customHeight="1">
      <c r="A354" s="26" t="s">
        <v>2167</v>
      </c>
      <c r="B354" s="26" t="s">
        <v>2168</v>
      </c>
      <c r="C354" s="26"/>
      <c r="D354" s="26" t="s">
        <v>76</v>
      </c>
      <c r="E354" s="26" t="s">
        <v>1194</v>
      </c>
      <c r="F354" s="26" t="s">
        <v>493</v>
      </c>
      <c r="G354" s="26" t="s">
        <v>494</v>
      </c>
      <c r="H354" s="26" t="s">
        <v>34</v>
      </c>
      <c r="I354" s="26"/>
      <c r="J354" s="26">
        <v>1.0</v>
      </c>
      <c r="K354" s="26" t="s">
        <v>136</v>
      </c>
      <c r="L354" s="26" t="s">
        <v>29</v>
      </c>
      <c r="M354" s="26" t="s">
        <v>95</v>
      </c>
      <c r="N354" s="26" t="s">
        <v>307</v>
      </c>
      <c r="O354" s="26">
        <v>0.0</v>
      </c>
    </row>
    <row r="355" ht="15.75" customHeight="1">
      <c r="A355" s="26" t="s">
        <v>2169</v>
      </c>
      <c r="B355" s="26" t="s">
        <v>2170</v>
      </c>
      <c r="C355" s="26"/>
      <c r="D355" s="26" t="s">
        <v>76</v>
      </c>
      <c r="E355" s="26" t="s">
        <v>2171</v>
      </c>
      <c r="F355" s="26" t="s">
        <v>493</v>
      </c>
      <c r="G355" s="26" t="s">
        <v>494</v>
      </c>
      <c r="H355" s="26" t="s">
        <v>34</v>
      </c>
      <c r="I355" s="26" t="s">
        <v>1243</v>
      </c>
      <c r="J355" s="26">
        <v>2.0</v>
      </c>
      <c r="K355" s="26" t="s">
        <v>136</v>
      </c>
      <c r="L355" s="26" t="s">
        <v>29</v>
      </c>
      <c r="M355" s="26" t="s">
        <v>95</v>
      </c>
      <c r="N355" s="26" t="s">
        <v>307</v>
      </c>
      <c r="O355" s="26">
        <v>1.0</v>
      </c>
    </row>
    <row r="356" ht="15.75" customHeight="1">
      <c r="A356" s="26" t="s">
        <v>2172</v>
      </c>
      <c r="B356" s="26" t="s">
        <v>2173</v>
      </c>
      <c r="C356" s="26"/>
      <c r="D356" s="26" t="s">
        <v>54</v>
      </c>
      <c r="E356" s="26" t="s">
        <v>825</v>
      </c>
      <c r="F356" s="26" t="s">
        <v>2174</v>
      </c>
      <c r="G356" s="26" t="s">
        <v>110</v>
      </c>
      <c r="H356" s="26" t="s">
        <v>71</v>
      </c>
      <c r="I356" s="26"/>
      <c r="J356" s="26">
        <v>1.0</v>
      </c>
      <c r="K356" s="26" t="s">
        <v>136</v>
      </c>
      <c r="L356" s="26" t="s">
        <v>29</v>
      </c>
      <c r="M356" s="26" t="s">
        <v>95</v>
      </c>
      <c r="N356" s="26" t="s">
        <v>307</v>
      </c>
      <c r="O356" s="26">
        <v>1.0</v>
      </c>
    </row>
    <row r="357" ht="15.75" customHeight="1">
      <c r="A357" s="26" t="s">
        <v>2175</v>
      </c>
      <c r="B357" s="26" t="s">
        <v>2176</v>
      </c>
      <c r="C357" s="26"/>
      <c r="D357" s="26" t="s">
        <v>45</v>
      </c>
      <c r="E357" s="26" t="s">
        <v>2177</v>
      </c>
      <c r="F357" s="26" t="s">
        <v>2178</v>
      </c>
      <c r="G357" s="26" t="s">
        <v>161</v>
      </c>
      <c r="H357" s="26" t="s">
        <v>57</v>
      </c>
      <c r="I357" s="26" t="s">
        <v>143</v>
      </c>
      <c r="J357" s="26">
        <v>2.0</v>
      </c>
      <c r="K357" s="26" t="s">
        <v>2179</v>
      </c>
      <c r="L357" s="26" t="s">
        <v>15</v>
      </c>
      <c r="M357" s="26" t="s">
        <v>81</v>
      </c>
      <c r="N357" s="26" t="s">
        <v>307</v>
      </c>
      <c r="O357" s="26">
        <v>1.0</v>
      </c>
    </row>
    <row r="358" ht="15.75" customHeight="1">
      <c r="A358" s="26" t="s">
        <v>2180</v>
      </c>
      <c r="B358" s="26" t="s">
        <v>2181</v>
      </c>
      <c r="C358" s="26"/>
      <c r="D358" s="26" t="s">
        <v>45</v>
      </c>
      <c r="E358" s="26" t="s">
        <v>2182</v>
      </c>
      <c r="F358" s="26" t="s">
        <v>799</v>
      </c>
      <c r="G358" s="26" t="s">
        <v>130</v>
      </c>
      <c r="H358" s="26" t="s">
        <v>34</v>
      </c>
      <c r="I358" s="26" t="s">
        <v>140</v>
      </c>
      <c r="J358" s="26">
        <v>5.0</v>
      </c>
      <c r="K358" s="26" t="s">
        <v>2183</v>
      </c>
      <c r="L358" s="26" t="s">
        <v>15</v>
      </c>
      <c r="M358" s="26" t="s">
        <v>81</v>
      </c>
      <c r="N358" s="26" t="s">
        <v>307</v>
      </c>
      <c r="O358" s="26">
        <v>2.0</v>
      </c>
    </row>
    <row r="359" ht="15.75" customHeight="1">
      <c r="A359" s="26" t="s">
        <v>2184</v>
      </c>
      <c r="B359" s="26" t="s">
        <v>2185</v>
      </c>
      <c r="C359" s="26"/>
      <c r="D359" s="26" t="s">
        <v>48</v>
      </c>
      <c r="E359" s="26" t="s">
        <v>2186</v>
      </c>
      <c r="F359" s="26" t="s">
        <v>1014</v>
      </c>
      <c r="G359" s="26" t="s">
        <v>248</v>
      </c>
      <c r="H359" s="26" t="s">
        <v>46</v>
      </c>
      <c r="I359" s="26" t="s">
        <v>386</v>
      </c>
      <c r="J359" s="26">
        <v>2.0</v>
      </c>
      <c r="K359" s="26" t="s">
        <v>2187</v>
      </c>
      <c r="L359" s="26" t="s">
        <v>15</v>
      </c>
      <c r="M359" s="26" t="s">
        <v>81</v>
      </c>
      <c r="N359" s="26" t="s">
        <v>307</v>
      </c>
      <c r="O359" s="26">
        <v>1.0</v>
      </c>
    </row>
    <row r="360" ht="15.75" customHeight="1">
      <c r="A360" s="26" t="s">
        <v>2188</v>
      </c>
      <c r="B360" s="26" t="s">
        <v>2189</v>
      </c>
      <c r="C360" s="26"/>
      <c r="D360" s="26" t="s">
        <v>79</v>
      </c>
      <c r="E360" s="26" t="s">
        <v>1293</v>
      </c>
      <c r="F360" s="26" t="s">
        <v>2190</v>
      </c>
      <c r="G360" s="26" t="s">
        <v>1291</v>
      </c>
      <c r="H360" s="26" t="s">
        <v>57</v>
      </c>
      <c r="I360" s="26"/>
      <c r="J360" s="26">
        <v>1.0</v>
      </c>
      <c r="K360" s="26" t="s">
        <v>1294</v>
      </c>
      <c r="L360" s="26" t="s">
        <v>19</v>
      </c>
      <c r="M360" s="26" t="s">
        <v>87</v>
      </c>
      <c r="N360" s="26" t="s">
        <v>307</v>
      </c>
      <c r="O360" s="26">
        <v>1.0</v>
      </c>
    </row>
    <row r="361" ht="15.75" customHeight="1">
      <c r="A361" s="26" t="s">
        <v>2191</v>
      </c>
      <c r="B361" s="26" t="s">
        <v>2192</v>
      </c>
      <c r="C361" s="26"/>
      <c r="D361" s="26" t="s">
        <v>85</v>
      </c>
      <c r="E361" s="26" t="s">
        <v>2193</v>
      </c>
      <c r="F361" s="26" t="s">
        <v>2194</v>
      </c>
      <c r="G361" s="26" t="s">
        <v>1369</v>
      </c>
      <c r="H361" s="26" t="s">
        <v>61</v>
      </c>
      <c r="I361" s="26" t="s">
        <v>601</v>
      </c>
      <c r="J361" s="26">
        <v>2.0</v>
      </c>
      <c r="K361" s="26" t="s">
        <v>1374</v>
      </c>
      <c r="L361" s="26" t="s">
        <v>19</v>
      </c>
      <c r="M361" s="26" t="s">
        <v>66</v>
      </c>
      <c r="N361" s="26" t="s">
        <v>307</v>
      </c>
      <c r="O361" s="26">
        <v>1.0</v>
      </c>
    </row>
    <row r="362" ht="15.75" customHeight="1">
      <c r="A362" s="26" t="s">
        <v>2195</v>
      </c>
      <c r="B362" s="26" t="s">
        <v>2196</v>
      </c>
      <c r="C362" s="26"/>
      <c r="D362" s="26" t="s">
        <v>54</v>
      </c>
      <c r="E362" s="26" t="s">
        <v>2197</v>
      </c>
      <c r="F362" s="26" t="s">
        <v>347</v>
      </c>
      <c r="G362" s="26" t="s">
        <v>99</v>
      </c>
      <c r="H362" s="26" t="s">
        <v>49</v>
      </c>
      <c r="I362" s="26"/>
      <c r="J362" s="26">
        <v>1.0</v>
      </c>
      <c r="K362" s="26" t="s">
        <v>136</v>
      </c>
      <c r="L362" s="26" t="s">
        <v>29</v>
      </c>
      <c r="M362" s="26" t="s">
        <v>95</v>
      </c>
      <c r="N362" s="26" t="s">
        <v>307</v>
      </c>
      <c r="O362" s="26">
        <v>1.0</v>
      </c>
    </row>
    <row r="363" ht="15.75" customHeight="1">
      <c r="A363" s="26" t="s">
        <v>2198</v>
      </c>
      <c r="B363" s="26" t="s">
        <v>2199</v>
      </c>
      <c r="C363" s="26"/>
      <c r="D363" s="26" t="s">
        <v>48</v>
      </c>
      <c r="E363" s="26" t="s">
        <v>2200</v>
      </c>
      <c r="F363" s="26" t="s">
        <v>1014</v>
      </c>
      <c r="G363" s="26" t="s">
        <v>248</v>
      </c>
      <c r="H363" s="26" t="s">
        <v>46</v>
      </c>
      <c r="I363" s="26"/>
      <c r="J363" s="26">
        <v>1.0</v>
      </c>
      <c r="K363" s="26" t="s">
        <v>2201</v>
      </c>
      <c r="L363" s="26" t="s">
        <v>19</v>
      </c>
      <c r="M363" s="26" t="s">
        <v>66</v>
      </c>
      <c r="N363" s="26" t="s">
        <v>307</v>
      </c>
      <c r="O363" s="26">
        <v>1.0</v>
      </c>
    </row>
    <row r="364" ht="15.75" customHeight="1">
      <c r="A364" s="26" t="s">
        <v>2202</v>
      </c>
      <c r="B364" s="26" t="s">
        <v>2203</v>
      </c>
      <c r="C364" s="26"/>
      <c r="D364" s="26" t="s">
        <v>48</v>
      </c>
      <c r="E364" s="26" t="s">
        <v>2204</v>
      </c>
      <c r="F364" s="26" t="s">
        <v>984</v>
      </c>
      <c r="G364" s="26" t="s">
        <v>265</v>
      </c>
      <c r="H364" s="26" t="s">
        <v>34</v>
      </c>
      <c r="I364" s="26" t="s">
        <v>313</v>
      </c>
      <c r="J364" s="26">
        <v>2.0</v>
      </c>
      <c r="K364" s="26" t="s">
        <v>2205</v>
      </c>
      <c r="L364" s="26" t="s">
        <v>15</v>
      </c>
      <c r="M364" s="26" t="s">
        <v>81</v>
      </c>
      <c r="N364" s="26" t="s">
        <v>307</v>
      </c>
      <c r="O364" s="26">
        <v>1.0</v>
      </c>
    </row>
    <row r="365" ht="15.75" customHeight="1">
      <c r="A365" s="26" t="s">
        <v>2206</v>
      </c>
      <c r="B365" s="26" t="s">
        <v>2207</v>
      </c>
      <c r="C365" s="26"/>
      <c r="D365" s="26" t="s">
        <v>45</v>
      </c>
      <c r="E365" s="26" t="s">
        <v>2208</v>
      </c>
      <c r="F365" s="26" t="s">
        <v>1237</v>
      </c>
      <c r="G365" s="26" t="s">
        <v>166</v>
      </c>
      <c r="H365" s="26" t="s">
        <v>46</v>
      </c>
      <c r="I365" s="26"/>
      <c r="J365" s="26">
        <v>1.0</v>
      </c>
      <c r="K365" s="26" t="s">
        <v>2209</v>
      </c>
      <c r="L365" s="26" t="s">
        <v>15</v>
      </c>
      <c r="M365" s="26" t="s">
        <v>81</v>
      </c>
      <c r="N365" s="26" t="s">
        <v>307</v>
      </c>
      <c r="O365" s="26">
        <v>1.0</v>
      </c>
    </row>
    <row r="366" ht="15.75" customHeight="1">
      <c r="A366" s="26" t="s">
        <v>2210</v>
      </c>
      <c r="B366" s="26" t="s">
        <v>2211</v>
      </c>
      <c r="C366" s="26"/>
      <c r="D366" s="26" t="s">
        <v>48</v>
      </c>
      <c r="E366" s="26" t="s">
        <v>2212</v>
      </c>
      <c r="F366" s="26" t="s">
        <v>1014</v>
      </c>
      <c r="G366" s="26" t="s">
        <v>248</v>
      </c>
      <c r="H366" s="26" t="s">
        <v>46</v>
      </c>
      <c r="I366" s="26"/>
      <c r="J366" s="26">
        <v>1.0</v>
      </c>
      <c r="K366" s="26" t="s">
        <v>2213</v>
      </c>
      <c r="L366" s="26" t="s">
        <v>15</v>
      </c>
      <c r="M366" s="26" t="s">
        <v>81</v>
      </c>
      <c r="N366" s="26" t="s">
        <v>307</v>
      </c>
      <c r="O366" s="26">
        <v>2.0</v>
      </c>
    </row>
    <row r="367" ht="15.75" customHeight="1">
      <c r="A367" s="26" t="s">
        <v>2214</v>
      </c>
      <c r="B367" s="26" t="s">
        <v>2215</v>
      </c>
      <c r="C367" s="26"/>
      <c r="D367" s="26" t="s">
        <v>36</v>
      </c>
      <c r="E367" s="26" t="s">
        <v>2216</v>
      </c>
      <c r="F367" s="26" t="s">
        <v>1657</v>
      </c>
      <c r="G367" s="26" t="s">
        <v>101</v>
      </c>
      <c r="H367" s="26" t="s">
        <v>46</v>
      </c>
      <c r="I367" s="26"/>
      <c r="J367" s="26">
        <v>1.0</v>
      </c>
      <c r="K367" s="26" t="s">
        <v>2217</v>
      </c>
      <c r="L367" s="26" t="s">
        <v>19</v>
      </c>
      <c r="M367" s="26" t="s">
        <v>87</v>
      </c>
      <c r="N367" s="26" t="s">
        <v>307</v>
      </c>
      <c r="O367" s="26">
        <v>3.0</v>
      </c>
    </row>
    <row r="368" ht="15.75" customHeight="1">
      <c r="A368" s="26" t="s">
        <v>2218</v>
      </c>
      <c r="B368" s="26" t="s">
        <v>2219</v>
      </c>
      <c r="C368" s="26"/>
      <c r="D368" s="26" t="s">
        <v>36</v>
      </c>
      <c r="E368" s="26" t="s">
        <v>2220</v>
      </c>
      <c r="F368" s="26" t="s">
        <v>315</v>
      </c>
      <c r="G368" s="26" t="s">
        <v>47</v>
      </c>
      <c r="H368" s="26" t="s">
        <v>34</v>
      </c>
      <c r="I368" s="26" t="s">
        <v>58</v>
      </c>
      <c r="J368" s="26">
        <v>2.0</v>
      </c>
      <c r="K368" s="26" t="s">
        <v>136</v>
      </c>
      <c r="L368" s="26" t="s">
        <v>29</v>
      </c>
      <c r="M368" s="26" t="s">
        <v>95</v>
      </c>
      <c r="N368" s="26" t="s">
        <v>307</v>
      </c>
      <c r="O368" s="26">
        <v>1.0</v>
      </c>
    </row>
    <row r="369" ht="15.75" customHeight="1">
      <c r="A369" s="26" t="s">
        <v>2221</v>
      </c>
      <c r="B369" s="26" t="s">
        <v>2222</v>
      </c>
      <c r="C369" s="26"/>
      <c r="D369" s="26" t="s">
        <v>54</v>
      </c>
      <c r="E369" s="26" t="s">
        <v>734</v>
      </c>
      <c r="F369" s="26" t="s">
        <v>347</v>
      </c>
      <c r="G369" s="26" t="s">
        <v>99</v>
      </c>
      <c r="H369" s="26" t="s">
        <v>49</v>
      </c>
      <c r="I369" s="26" t="s">
        <v>572</v>
      </c>
      <c r="J369" s="26">
        <v>3.0</v>
      </c>
      <c r="K369" s="26" t="s">
        <v>735</v>
      </c>
      <c r="L369" s="26" t="s">
        <v>19</v>
      </c>
      <c r="M369" s="26" t="s">
        <v>87</v>
      </c>
      <c r="N369" s="26" t="s">
        <v>307</v>
      </c>
      <c r="O369" s="26">
        <v>1.0</v>
      </c>
    </row>
    <row r="370" ht="15.75" customHeight="1">
      <c r="A370" s="26" t="s">
        <v>2223</v>
      </c>
      <c r="B370" s="26" t="s">
        <v>2224</v>
      </c>
      <c r="C370" s="26"/>
      <c r="D370" s="26" t="s">
        <v>45</v>
      </c>
      <c r="E370" s="26" t="s">
        <v>2225</v>
      </c>
      <c r="F370" s="26" t="s">
        <v>303</v>
      </c>
      <c r="G370" s="26" t="s">
        <v>140</v>
      </c>
      <c r="H370" s="26" t="s">
        <v>34</v>
      </c>
      <c r="I370" s="26" t="s">
        <v>169</v>
      </c>
      <c r="J370" s="26">
        <v>3.0</v>
      </c>
      <c r="K370" s="26" t="s">
        <v>2226</v>
      </c>
      <c r="L370" s="26" t="s">
        <v>15</v>
      </c>
      <c r="M370" s="26" t="s">
        <v>81</v>
      </c>
      <c r="N370" s="26" t="s">
        <v>307</v>
      </c>
      <c r="O370" s="26">
        <v>1.0</v>
      </c>
    </row>
    <row r="371" ht="15.75" customHeight="1">
      <c r="A371" s="26" t="s">
        <v>2227</v>
      </c>
      <c r="B371" s="26" t="s">
        <v>2228</v>
      </c>
      <c r="C371" s="26"/>
      <c r="D371" s="26" t="s">
        <v>45</v>
      </c>
      <c r="E371" s="26" t="s">
        <v>2229</v>
      </c>
      <c r="F371" s="26" t="s">
        <v>2178</v>
      </c>
      <c r="G371" s="26" t="s">
        <v>161</v>
      </c>
      <c r="H371" s="26" t="s">
        <v>57</v>
      </c>
      <c r="I371" s="26"/>
      <c r="J371" s="26">
        <v>1.0</v>
      </c>
      <c r="K371" s="26" t="s">
        <v>136</v>
      </c>
      <c r="L371" s="26" t="s">
        <v>29</v>
      </c>
      <c r="M371" s="26" t="s">
        <v>95</v>
      </c>
      <c r="N371" s="26" t="s">
        <v>307</v>
      </c>
      <c r="O371" s="26">
        <v>2.0</v>
      </c>
    </row>
    <row r="372" ht="15.75" customHeight="1">
      <c r="A372" s="26" t="s">
        <v>2230</v>
      </c>
      <c r="B372" s="26" t="s">
        <v>2231</v>
      </c>
      <c r="C372" s="26"/>
      <c r="D372" s="26" t="s">
        <v>54</v>
      </c>
      <c r="E372" s="26" t="s">
        <v>753</v>
      </c>
      <c r="F372" s="26" t="s">
        <v>644</v>
      </c>
      <c r="G372" s="26" t="s">
        <v>217</v>
      </c>
      <c r="H372" s="26" t="s">
        <v>52</v>
      </c>
      <c r="I372" s="26"/>
      <c r="J372" s="26">
        <v>1.0</v>
      </c>
      <c r="K372" s="26" t="s">
        <v>136</v>
      </c>
      <c r="L372" s="26" t="s">
        <v>29</v>
      </c>
      <c r="M372" s="26" t="s">
        <v>95</v>
      </c>
      <c r="N372" s="26" t="s">
        <v>307</v>
      </c>
      <c r="O372" s="26">
        <v>1.0</v>
      </c>
    </row>
    <row r="373" ht="15.75" customHeight="1">
      <c r="A373" s="26" t="s">
        <v>2232</v>
      </c>
      <c r="B373" s="26" t="s">
        <v>2233</v>
      </c>
      <c r="C373" s="26"/>
      <c r="D373" s="26" t="s">
        <v>54</v>
      </c>
      <c r="E373" s="26" t="s">
        <v>2234</v>
      </c>
      <c r="F373" s="26" t="s">
        <v>644</v>
      </c>
      <c r="G373" s="26" t="s">
        <v>217</v>
      </c>
      <c r="H373" s="26" t="s">
        <v>52</v>
      </c>
      <c r="I373" s="26"/>
      <c r="J373" s="26">
        <v>1.0</v>
      </c>
      <c r="K373" s="26" t="s">
        <v>136</v>
      </c>
      <c r="L373" s="26" t="s">
        <v>29</v>
      </c>
      <c r="M373" s="26" t="s">
        <v>95</v>
      </c>
      <c r="N373" s="26" t="s">
        <v>307</v>
      </c>
      <c r="O373" s="26">
        <v>1.0</v>
      </c>
    </row>
    <row r="374" ht="15.75" customHeight="1">
      <c r="A374" s="26" t="s">
        <v>2235</v>
      </c>
      <c r="B374" s="26" t="s">
        <v>2236</v>
      </c>
      <c r="C374" s="26"/>
      <c r="D374" s="26" t="s">
        <v>48</v>
      </c>
      <c r="E374" s="26" t="s">
        <v>2237</v>
      </c>
      <c r="F374" s="26" t="s">
        <v>984</v>
      </c>
      <c r="G374" s="26" t="s">
        <v>265</v>
      </c>
      <c r="H374" s="26" t="s">
        <v>34</v>
      </c>
      <c r="I374" s="26" t="s">
        <v>258</v>
      </c>
      <c r="J374" s="26">
        <v>5.0</v>
      </c>
      <c r="K374" s="26" t="s">
        <v>2238</v>
      </c>
      <c r="L374" s="26" t="s">
        <v>15</v>
      </c>
      <c r="M374" s="26" t="s">
        <v>81</v>
      </c>
      <c r="N374" s="26" t="s">
        <v>307</v>
      </c>
      <c r="O374" s="26">
        <v>1.0</v>
      </c>
    </row>
    <row r="375" ht="15.75" customHeight="1">
      <c r="A375" s="26" t="s">
        <v>2239</v>
      </c>
      <c r="B375" s="26" t="s">
        <v>2240</v>
      </c>
      <c r="C375" s="26"/>
      <c r="D375" s="26" t="s">
        <v>50</v>
      </c>
      <c r="E375" s="26" t="s">
        <v>2241</v>
      </c>
      <c r="F375" s="26" t="s">
        <v>1309</v>
      </c>
      <c r="G375" s="26" t="s">
        <v>245</v>
      </c>
      <c r="H375" s="26" t="s">
        <v>57</v>
      </c>
      <c r="I375" s="26" t="s">
        <v>328</v>
      </c>
      <c r="J375" s="26">
        <v>3.0</v>
      </c>
      <c r="K375" s="26" t="s">
        <v>2242</v>
      </c>
      <c r="L375" s="26" t="s">
        <v>15</v>
      </c>
      <c r="M375" s="26" t="s">
        <v>81</v>
      </c>
      <c r="N375" s="26" t="s">
        <v>307</v>
      </c>
      <c r="O375" s="26">
        <v>1.0</v>
      </c>
    </row>
    <row r="376" ht="15.75" customHeight="1">
      <c r="A376" s="26" t="s">
        <v>2243</v>
      </c>
      <c r="B376" s="26" t="s">
        <v>2244</v>
      </c>
      <c r="C376" s="26"/>
      <c r="D376" s="26" t="s">
        <v>48</v>
      </c>
      <c r="E376" s="26" t="s">
        <v>2245</v>
      </c>
      <c r="F376" s="26" t="s">
        <v>984</v>
      </c>
      <c r="G376" s="26" t="s">
        <v>265</v>
      </c>
      <c r="H376" s="26" t="s">
        <v>34</v>
      </c>
      <c r="I376" s="26" t="s">
        <v>299</v>
      </c>
      <c r="J376" s="26">
        <v>4.0</v>
      </c>
      <c r="K376" s="26" t="s">
        <v>2246</v>
      </c>
      <c r="L376" s="26" t="s">
        <v>15</v>
      </c>
      <c r="M376" s="26" t="s">
        <v>81</v>
      </c>
      <c r="N376" s="26" t="s">
        <v>307</v>
      </c>
      <c r="O376" s="26">
        <v>1.0</v>
      </c>
    </row>
    <row r="377" ht="15.75" customHeight="1">
      <c r="A377" s="26" t="s">
        <v>2247</v>
      </c>
      <c r="B377" s="26" t="s">
        <v>2248</v>
      </c>
      <c r="C377" s="26"/>
      <c r="D377" s="26" t="s">
        <v>48</v>
      </c>
      <c r="E377" s="26" t="s">
        <v>2249</v>
      </c>
      <c r="F377" s="26" t="s">
        <v>672</v>
      </c>
      <c r="G377" s="26" t="s">
        <v>339</v>
      </c>
      <c r="H377" s="26" t="s">
        <v>49</v>
      </c>
      <c r="I377" s="26"/>
      <c r="J377" s="26">
        <v>1.0</v>
      </c>
      <c r="K377" s="26" t="s">
        <v>2250</v>
      </c>
      <c r="L377" s="26" t="s">
        <v>15</v>
      </c>
      <c r="M377" s="26" t="s">
        <v>81</v>
      </c>
      <c r="N377" s="26" t="s">
        <v>307</v>
      </c>
      <c r="O377" s="26">
        <v>1.0</v>
      </c>
    </row>
    <row r="378" ht="15.75" customHeight="1">
      <c r="A378" s="26" t="s">
        <v>2251</v>
      </c>
      <c r="B378" s="26" t="s">
        <v>2252</v>
      </c>
      <c r="C378" s="26"/>
      <c r="D378" s="26" t="s">
        <v>50</v>
      </c>
      <c r="E378" s="26" t="s">
        <v>2253</v>
      </c>
      <c r="F378" s="26" t="s">
        <v>847</v>
      </c>
      <c r="G378" s="26" t="s">
        <v>328</v>
      </c>
      <c r="H378" s="26" t="s">
        <v>49</v>
      </c>
      <c r="I378" s="26"/>
      <c r="J378" s="26">
        <v>1.0</v>
      </c>
      <c r="K378" s="26" t="s">
        <v>136</v>
      </c>
      <c r="L378" s="26" t="s">
        <v>29</v>
      </c>
      <c r="M378" s="26" t="s">
        <v>95</v>
      </c>
      <c r="N378" s="26" t="s">
        <v>307</v>
      </c>
      <c r="O378" s="26">
        <v>4.0</v>
      </c>
    </row>
    <row r="379" ht="15.75" customHeight="1">
      <c r="A379" s="26" t="s">
        <v>2254</v>
      </c>
      <c r="B379" s="26" t="s">
        <v>2255</v>
      </c>
      <c r="C379" s="26"/>
      <c r="D379" s="26" t="s">
        <v>50</v>
      </c>
      <c r="E379" s="26" t="s">
        <v>2256</v>
      </c>
      <c r="F379" s="26" t="s">
        <v>1309</v>
      </c>
      <c r="G379" s="26" t="s">
        <v>245</v>
      </c>
      <c r="H379" s="26" t="s">
        <v>57</v>
      </c>
      <c r="I379" s="26"/>
      <c r="J379" s="26">
        <v>1.0</v>
      </c>
      <c r="K379" s="26" t="s">
        <v>2257</v>
      </c>
      <c r="L379" s="26" t="s">
        <v>15</v>
      </c>
      <c r="M379" s="26" t="s">
        <v>81</v>
      </c>
      <c r="N379" s="26" t="s">
        <v>307</v>
      </c>
      <c r="O379" s="26">
        <v>118.0</v>
      </c>
    </row>
    <row r="380" ht="15.75" customHeight="1">
      <c r="A380" s="26" t="s">
        <v>2258</v>
      </c>
      <c r="B380" s="26" t="s">
        <v>2259</v>
      </c>
      <c r="C380" s="26"/>
      <c r="D380" s="26" t="s">
        <v>72</v>
      </c>
      <c r="E380" s="26" t="s">
        <v>2260</v>
      </c>
      <c r="F380" s="26" t="s">
        <v>2261</v>
      </c>
      <c r="G380" s="26" t="s">
        <v>1133</v>
      </c>
      <c r="H380" s="26" t="s">
        <v>46</v>
      </c>
      <c r="I380" s="26"/>
      <c r="J380" s="26">
        <v>1.0</v>
      </c>
      <c r="K380" s="26" t="s">
        <v>2262</v>
      </c>
      <c r="L380" s="26" t="s">
        <v>15</v>
      </c>
      <c r="M380" s="26" t="s">
        <v>81</v>
      </c>
      <c r="N380" s="26" t="s">
        <v>307</v>
      </c>
      <c r="O380" s="26">
        <v>1.0</v>
      </c>
    </row>
    <row r="381" ht="15.75" customHeight="1">
      <c r="A381" s="26" t="s">
        <v>2263</v>
      </c>
      <c r="B381" s="26" t="s">
        <v>2264</v>
      </c>
      <c r="C381" s="26"/>
      <c r="D381" s="26" t="s">
        <v>45</v>
      </c>
      <c r="E381" s="26" t="s">
        <v>2265</v>
      </c>
      <c r="F381" s="26" t="s">
        <v>303</v>
      </c>
      <c r="G381" s="26" t="s">
        <v>140</v>
      </c>
      <c r="H381" s="26" t="s">
        <v>34</v>
      </c>
      <c r="I381" s="26"/>
      <c r="J381" s="26">
        <v>1.0</v>
      </c>
      <c r="K381" s="26" t="s">
        <v>2266</v>
      </c>
      <c r="L381" s="26" t="s">
        <v>15</v>
      </c>
      <c r="M381" s="26" t="s">
        <v>81</v>
      </c>
      <c r="N381" s="26" t="s">
        <v>307</v>
      </c>
      <c r="O381" s="26">
        <v>1.0</v>
      </c>
    </row>
    <row r="382" ht="15.75" customHeight="1">
      <c r="A382" s="26" t="s">
        <v>2267</v>
      </c>
      <c r="B382" s="26" t="s">
        <v>2268</v>
      </c>
      <c r="C382" s="26"/>
      <c r="D382" s="26" t="s">
        <v>48</v>
      </c>
      <c r="E382" s="26" t="s">
        <v>2269</v>
      </c>
      <c r="F382" s="26" t="s">
        <v>1727</v>
      </c>
      <c r="G382" s="26" t="s">
        <v>284</v>
      </c>
      <c r="H382" s="26" t="s">
        <v>46</v>
      </c>
      <c r="I382" s="26"/>
      <c r="J382" s="26">
        <v>0.0</v>
      </c>
      <c r="K382" s="26" t="s">
        <v>2270</v>
      </c>
      <c r="L382" s="26" t="s">
        <v>23</v>
      </c>
      <c r="M382" s="26" t="s">
        <v>91</v>
      </c>
      <c r="N382" s="26" t="s">
        <v>307</v>
      </c>
      <c r="O382" s="26">
        <v>1.0</v>
      </c>
    </row>
    <row r="383" ht="15.75" customHeight="1">
      <c r="A383" s="26" t="s">
        <v>2271</v>
      </c>
      <c r="B383" s="26" t="s">
        <v>2272</v>
      </c>
      <c r="C383" s="26"/>
      <c r="D383" s="26" t="s">
        <v>62</v>
      </c>
      <c r="E383" s="26" t="s">
        <v>926</v>
      </c>
      <c r="F383" s="26" t="s">
        <v>2273</v>
      </c>
      <c r="G383" s="26" t="s">
        <v>261</v>
      </c>
      <c r="H383" s="26" t="s">
        <v>46</v>
      </c>
      <c r="I383" s="26"/>
      <c r="J383" s="26">
        <v>1.0</v>
      </c>
      <c r="K383" s="26" t="s">
        <v>928</v>
      </c>
      <c r="L383" s="26" t="s">
        <v>15</v>
      </c>
      <c r="M383" s="26" t="s">
        <v>81</v>
      </c>
      <c r="N383" s="26" t="s">
        <v>307</v>
      </c>
      <c r="O383" s="26">
        <v>1.0</v>
      </c>
    </row>
    <row r="384" ht="15.75" customHeight="1">
      <c r="A384" s="26" t="s">
        <v>2274</v>
      </c>
      <c r="B384" s="26" t="s">
        <v>2275</v>
      </c>
      <c r="C384" s="26"/>
      <c r="D384" s="26" t="s">
        <v>62</v>
      </c>
      <c r="E384" s="26" t="s">
        <v>946</v>
      </c>
      <c r="F384" s="26" t="s">
        <v>1539</v>
      </c>
      <c r="G384" s="26" t="s">
        <v>212</v>
      </c>
      <c r="H384" s="26" t="s">
        <v>34</v>
      </c>
      <c r="I384" s="26" t="s">
        <v>119</v>
      </c>
      <c r="J384" s="26">
        <v>2.0</v>
      </c>
      <c r="K384" s="26" t="s">
        <v>947</v>
      </c>
      <c r="L384" s="26" t="s">
        <v>15</v>
      </c>
      <c r="M384" s="26" t="s">
        <v>81</v>
      </c>
      <c r="N384" s="26" t="s">
        <v>307</v>
      </c>
      <c r="O384" s="26">
        <v>4.0</v>
      </c>
    </row>
    <row r="385" ht="15.75" customHeight="1">
      <c r="A385" s="26" t="s">
        <v>2276</v>
      </c>
      <c r="B385" s="26" t="s">
        <v>2277</v>
      </c>
      <c r="C385" s="26"/>
      <c r="D385" s="26" t="s">
        <v>62</v>
      </c>
      <c r="E385" s="26" t="s">
        <v>2278</v>
      </c>
      <c r="F385" s="26" t="s">
        <v>2273</v>
      </c>
      <c r="G385" s="26" t="s">
        <v>261</v>
      </c>
      <c r="H385" s="26" t="s">
        <v>46</v>
      </c>
      <c r="I385" s="26"/>
      <c r="J385" s="26">
        <v>1.0</v>
      </c>
      <c r="K385" s="26" t="s">
        <v>136</v>
      </c>
      <c r="L385" s="26" t="s">
        <v>29</v>
      </c>
      <c r="M385" s="26" t="s">
        <v>95</v>
      </c>
      <c r="N385" s="26" t="s">
        <v>307</v>
      </c>
      <c r="O385" s="26">
        <v>3.0</v>
      </c>
    </row>
    <row r="386" ht="15.75" customHeight="1">
      <c r="A386" s="26" t="s">
        <v>2279</v>
      </c>
      <c r="B386" s="26" t="s">
        <v>2280</v>
      </c>
      <c r="C386" s="26"/>
      <c r="D386" s="26" t="s">
        <v>45</v>
      </c>
      <c r="E386" s="26" t="s">
        <v>2281</v>
      </c>
      <c r="F386" s="26" t="s">
        <v>799</v>
      </c>
      <c r="G386" s="26" t="s">
        <v>130</v>
      </c>
      <c r="H386" s="26" t="s">
        <v>34</v>
      </c>
      <c r="I386" s="26"/>
      <c r="J386" s="26">
        <v>1.0</v>
      </c>
      <c r="K386" s="26" t="s">
        <v>2226</v>
      </c>
      <c r="L386" s="26" t="s">
        <v>15</v>
      </c>
      <c r="M386" s="26" t="s">
        <v>81</v>
      </c>
      <c r="N386" s="26" t="s">
        <v>307</v>
      </c>
      <c r="O386" s="26">
        <v>2.0</v>
      </c>
    </row>
    <row r="387" ht="15.75" customHeight="1">
      <c r="A387" s="26" t="s">
        <v>2282</v>
      </c>
      <c r="B387" s="26" t="s">
        <v>2283</v>
      </c>
      <c r="C387" s="26"/>
      <c r="D387" s="26" t="s">
        <v>36</v>
      </c>
      <c r="E387" s="26" t="s">
        <v>2284</v>
      </c>
      <c r="F387" s="26" t="s">
        <v>1292</v>
      </c>
      <c r="G387" s="26" t="s">
        <v>65</v>
      </c>
      <c r="H387" s="26" t="s">
        <v>34</v>
      </c>
      <c r="I387" s="26" t="s">
        <v>92</v>
      </c>
      <c r="J387" s="26">
        <v>2.0</v>
      </c>
      <c r="K387" s="26" t="s">
        <v>2285</v>
      </c>
      <c r="L387" s="26" t="s">
        <v>15</v>
      </c>
      <c r="M387" s="26" t="s">
        <v>81</v>
      </c>
      <c r="N387" s="26" t="s">
        <v>307</v>
      </c>
      <c r="O387" s="26">
        <v>3.0</v>
      </c>
    </row>
    <row r="388" ht="15.75" customHeight="1">
      <c r="A388" s="26" t="s">
        <v>2286</v>
      </c>
      <c r="B388" s="26" t="s">
        <v>2287</v>
      </c>
      <c r="C388" s="26"/>
      <c r="D388" s="26" t="s">
        <v>69</v>
      </c>
      <c r="E388" s="26" t="s">
        <v>2288</v>
      </c>
      <c r="F388" s="26" t="s">
        <v>440</v>
      </c>
      <c r="G388" s="26" t="s">
        <v>83</v>
      </c>
      <c r="H388" s="26" t="s">
        <v>46</v>
      </c>
      <c r="I388" s="26"/>
      <c r="J388" s="26">
        <v>1.0</v>
      </c>
      <c r="K388" s="26" t="s">
        <v>136</v>
      </c>
      <c r="L388" s="26" t="s">
        <v>29</v>
      </c>
      <c r="M388" s="26" t="s">
        <v>95</v>
      </c>
      <c r="N388" s="26" t="s">
        <v>307</v>
      </c>
      <c r="O388" s="26">
        <v>2.0</v>
      </c>
    </row>
    <row r="389" ht="15.75" customHeight="1">
      <c r="A389" s="26" t="s">
        <v>2289</v>
      </c>
      <c r="B389" s="26" t="s">
        <v>2290</v>
      </c>
      <c r="C389" s="26"/>
      <c r="D389" s="26" t="s">
        <v>69</v>
      </c>
      <c r="E389" s="26" t="s">
        <v>1084</v>
      </c>
      <c r="F389" s="26" t="s">
        <v>2291</v>
      </c>
      <c r="G389" s="26" t="s">
        <v>1081</v>
      </c>
      <c r="H389" s="26" t="s">
        <v>34</v>
      </c>
      <c r="I389" s="26"/>
      <c r="J389" s="26">
        <v>1.0</v>
      </c>
      <c r="K389" s="26" t="s">
        <v>2292</v>
      </c>
      <c r="L389" s="26" t="s">
        <v>15</v>
      </c>
      <c r="M389" s="26" t="s">
        <v>81</v>
      </c>
      <c r="N389" s="26" t="s">
        <v>307</v>
      </c>
      <c r="O389" s="26">
        <v>2.0</v>
      </c>
    </row>
    <row r="390" ht="15.75" customHeight="1">
      <c r="A390" s="26" t="s">
        <v>2293</v>
      </c>
      <c r="B390" s="26" t="s">
        <v>2294</v>
      </c>
      <c r="C390" s="26"/>
      <c r="D390" s="26" t="s">
        <v>45</v>
      </c>
      <c r="E390" s="26" t="s">
        <v>2295</v>
      </c>
      <c r="F390" s="26" t="s">
        <v>303</v>
      </c>
      <c r="G390" s="26" t="s">
        <v>140</v>
      </c>
      <c r="H390" s="26" t="s">
        <v>34</v>
      </c>
      <c r="I390" s="26" t="s">
        <v>143</v>
      </c>
      <c r="J390" s="26">
        <v>4.0</v>
      </c>
      <c r="K390" s="26" t="s">
        <v>2296</v>
      </c>
      <c r="L390" s="26" t="s">
        <v>15</v>
      </c>
      <c r="M390" s="26" t="s">
        <v>87</v>
      </c>
      <c r="N390" s="26" t="s">
        <v>307</v>
      </c>
      <c r="O390" s="26">
        <v>1.0</v>
      </c>
    </row>
    <row r="391" ht="15.75" customHeight="1">
      <c r="A391" s="26" t="s">
        <v>2297</v>
      </c>
      <c r="B391" s="26" t="s">
        <v>2298</v>
      </c>
      <c r="C391" s="26"/>
      <c r="D391" s="26" t="s">
        <v>45</v>
      </c>
      <c r="E391" s="26" t="s">
        <v>2299</v>
      </c>
      <c r="F391" s="26" t="s">
        <v>1403</v>
      </c>
      <c r="G391" s="26" t="s">
        <v>143</v>
      </c>
      <c r="H391" s="26" t="s">
        <v>46</v>
      </c>
      <c r="I391" s="26" t="s">
        <v>169</v>
      </c>
      <c r="J391" s="26">
        <v>2.0</v>
      </c>
      <c r="K391" s="26" t="s">
        <v>2300</v>
      </c>
      <c r="L391" s="26" t="s">
        <v>19</v>
      </c>
      <c r="M391" s="26" t="s">
        <v>87</v>
      </c>
      <c r="N391" s="26" t="s">
        <v>307</v>
      </c>
      <c r="O391" s="26">
        <v>2.0</v>
      </c>
    </row>
    <row r="392" ht="15.75" customHeight="1">
      <c r="A392" s="26" t="s">
        <v>2301</v>
      </c>
      <c r="B392" s="26" t="s">
        <v>2302</v>
      </c>
      <c r="C392" s="26"/>
      <c r="D392" s="26" t="s">
        <v>45</v>
      </c>
      <c r="E392" s="26" t="s">
        <v>2303</v>
      </c>
      <c r="F392" s="26" t="s">
        <v>744</v>
      </c>
      <c r="G392" s="26" t="s">
        <v>148</v>
      </c>
      <c r="H392" s="26" t="s">
        <v>34</v>
      </c>
      <c r="I392" s="26" t="s">
        <v>143</v>
      </c>
      <c r="J392" s="26">
        <v>2.0</v>
      </c>
      <c r="K392" s="26" t="s">
        <v>136</v>
      </c>
      <c r="L392" s="26" t="s">
        <v>29</v>
      </c>
      <c r="M392" s="26" t="s">
        <v>95</v>
      </c>
      <c r="N392" s="26" t="s">
        <v>307</v>
      </c>
      <c r="O392" s="26">
        <v>2.0</v>
      </c>
    </row>
    <row r="393" ht="15.75" customHeight="1">
      <c r="A393" s="26" t="s">
        <v>2304</v>
      </c>
      <c r="B393" s="26" t="s">
        <v>2305</v>
      </c>
      <c r="C393" s="26"/>
      <c r="D393" s="26" t="s">
        <v>76</v>
      </c>
      <c r="E393" s="26" t="s">
        <v>1220</v>
      </c>
      <c r="F393" s="26" t="s">
        <v>2306</v>
      </c>
      <c r="G393" s="26" t="s">
        <v>1218</v>
      </c>
      <c r="H393" s="26" t="s">
        <v>34</v>
      </c>
      <c r="I393" s="26"/>
      <c r="J393" s="26">
        <v>1.0</v>
      </c>
      <c r="K393" s="26" t="s">
        <v>1221</v>
      </c>
      <c r="L393" s="26" t="s">
        <v>15</v>
      </c>
      <c r="M393" s="26" t="s">
        <v>87</v>
      </c>
      <c r="N393" s="26" t="s">
        <v>307</v>
      </c>
      <c r="O393" s="26">
        <v>3.0</v>
      </c>
    </row>
    <row r="394" ht="15.75" customHeight="1">
      <c r="A394" s="26" t="s">
        <v>2307</v>
      </c>
      <c r="B394" s="26" t="s">
        <v>2308</v>
      </c>
      <c r="C394" s="26"/>
      <c r="D394" s="26" t="s">
        <v>48</v>
      </c>
      <c r="E394" s="26" t="s">
        <v>2309</v>
      </c>
      <c r="F394" s="26" t="s">
        <v>1014</v>
      </c>
      <c r="G394" s="26" t="s">
        <v>248</v>
      </c>
      <c r="H394" s="26" t="s">
        <v>46</v>
      </c>
      <c r="I394" s="26" t="s">
        <v>267</v>
      </c>
      <c r="J394" s="26">
        <v>4.0</v>
      </c>
      <c r="K394" s="26" t="s">
        <v>2310</v>
      </c>
      <c r="L394" s="26" t="s">
        <v>15</v>
      </c>
      <c r="M394" s="26" t="s">
        <v>81</v>
      </c>
      <c r="N394" s="26" t="s">
        <v>307</v>
      </c>
      <c r="O394" s="26">
        <v>2.0</v>
      </c>
    </row>
    <row r="395" ht="15.75" customHeight="1">
      <c r="A395" s="26" t="s">
        <v>2311</v>
      </c>
      <c r="B395" s="26" t="s">
        <v>2312</v>
      </c>
      <c r="C395" s="26"/>
      <c r="D395" s="26" t="s">
        <v>69</v>
      </c>
      <c r="E395" s="26" t="s">
        <v>2313</v>
      </c>
      <c r="F395" s="26" t="s">
        <v>537</v>
      </c>
      <c r="G395" s="26" t="s">
        <v>197</v>
      </c>
      <c r="H395" s="26" t="s">
        <v>34</v>
      </c>
      <c r="I395" s="26"/>
      <c r="J395" s="26">
        <v>1.0</v>
      </c>
      <c r="K395" s="26" t="s">
        <v>2314</v>
      </c>
      <c r="L395" s="26" t="s">
        <v>15</v>
      </c>
      <c r="M395" s="26" t="s">
        <v>87</v>
      </c>
      <c r="N395" s="26" t="s">
        <v>307</v>
      </c>
      <c r="O395" s="26">
        <v>2.0</v>
      </c>
    </row>
    <row r="396" ht="15.75" customHeight="1">
      <c r="A396" s="26" t="s">
        <v>2315</v>
      </c>
      <c r="B396" s="26" t="s">
        <v>2316</v>
      </c>
      <c r="C396" s="26"/>
      <c r="D396" s="26" t="s">
        <v>89</v>
      </c>
      <c r="E396" s="26" t="s">
        <v>1390</v>
      </c>
      <c r="F396" s="26" t="s">
        <v>614</v>
      </c>
      <c r="G396" s="26" t="s">
        <v>616</v>
      </c>
      <c r="H396" s="26" t="s">
        <v>49</v>
      </c>
      <c r="I396" s="26" t="s">
        <v>618</v>
      </c>
      <c r="J396" s="26">
        <v>2.0</v>
      </c>
      <c r="K396" s="26" t="s">
        <v>136</v>
      </c>
      <c r="L396" s="26" t="s">
        <v>29</v>
      </c>
      <c r="M396" s="26" t="s">
        <v>95</v>
      </c>
      <c r="N396" s="26" t="s">
        <v>307</v>
      </c>
      <c r="O396" s="26">
        <v>2.0</v>
      </c>
    </row>
    <row r="397" ht="15.75" customHeight="1">
      <c r="A397" s="26" t="s">
        <v>2317</v>
      </c>
      <c r="B397" s="26" t="s">
        <v>2318</v>
      </c>
      <c r="C397" s="26"/>
      <c r="D397" s="26" t="s">
        <v>50</v>
      </c>
      <c r="E397" s="26" t="s">
        <v>2319</v>
      </c>
      <c r="F397" s="26" t="s">
        <v>336</v>
      </c>
      <c r="G397" s="26" t="s">
        <v>75</v>
      </c>
      <c r="H397" s="26" t="s">
        <v>53</v>
      </c>
      <c r="I397" s="26" t="s">
        <v>328</v>
      </c>
      <c r="J397" s="26">
        <v>3.0</v>
      </c>
      <c r="K397" s="26" t="s">
        <v>2320</v>
      </c>
      <c r="L397" s="26" t="s">
        <v>19</v>
      </c>
      <c r="M397" s="26" t="s">
        <v>66</v>
      </c>
      <c r="N397" s="26" t="s">
        <v>307</v>
      </c>
      <c r="O397" s="26">
        <v>3.0</v>
      </c>
    </row>
    <row r="398" ht="15.75" customHeight="1">
      <c r="A398" s="26" t="s">
        <v>2321</v>
      </c>
      <c r="B398" s="26" t="s">
        <v>2322</v>
      </c>
      <c r="C398" s="26"/>
      <c r="D398" s="26" t="s">
        <v>48</v>
      </c>
      <c r="E398" s="26" t="s">
        <v>2323</v>
      </c>
      <c r="F398" s="26" t="s">
        <v>1014</v>
      </c>
      <c r="G398" s="26" t="s">
        <v>248</v>
      </c>
      <c r="H398" s="26" t="s">
        <v>46</v>
      </c>
      <c r="I398" s="26"/>
      <c r="J398" s="26">
        <v>1.0</v>
      </c>
      <c r="K398" s="26" t="s">
        <v>2324</v>
      </c>
      <c r="L398" s="26" t="s">
        <v>15</v>
      </c>
      <c r="M398" s="26" t="s">
        <v>81</v>
      </c>
      <c r="N398" s="26" t="s">
        <v>307</v>
      </c>
      <c r="O398" s="26">
        <v>3.0</v>
      </c>
    </row>
    <row r="399" ht="15.75" customHeight="1">
      <c r="A399" s="26" t="s">
        <v>2325</v>
      </c>
      <c r="B399" s="26" t="s">
        <v>2326</v>
      </c>
      <c r="C399" s="26"/>
      <c r="D399" s="26" t="s">
        <v>50</v>
      </c>
      <c r="E399" s="26" t="s">
        <v>2327</v>
      </c>
      <c r="F399" s="26" t="s">
        <v>847</v>
      </c>
      <c r="G399" s="26" t="s">
        <v>328</v>
      </c>
      <c r="H399" s="26" t="s">
        <v>49</v>
      </c>
      <c r="I399" s="26" t="s">
        <v>566</v>
      </c>
      <c r="J399" s="26">
        <v>3.0</v>
      </c>
      <c r="K399" s="26" t="s">
        <v>2328</v>
      </c>
      <c r="L399" s="26" t="s">
        <v>15</v>
      </c>
      <c r="M399" s="26" t="s">
        <v>81</v>
      </c>
      <c r="N399" s="26" t="s">
        <v>307</v>
      </c>
      <c r="O399" s="26">
        <v>1.0</v>
      </c>
    </row>
    <row r="400" ht="15.75" customHeight="1">
      <c r="A400" s="26" t="s">
        <v>2329</v>
      </c>
      <c r="B400" s="26" t="s">
        <v>2330</v>
      </c>
      <c r="C400" s="26"/>
      <c r="D400" s="26" t="s">
        <v>45</v>
      </c>
      <c r="E400" s="26" t="s">
        <v>2331</v>
      </c>
      <c r="F400" s="26" t="s">
        <v>799</v>
      </c>
      <c r="G400" s="26" t="s">
        <v>130</v>
      </c>
      <c r="H400" s="26" t="s">
        <v>34</v>
      </c>
      <c r="I400" s="26" t="s">
        <v>140</v>
      </c>
      <c r="J400" s="26">
        <v>4.0</v>
      </c>
      <c r="K400" s="26" t="s">
        <v>2332</v>
      </c>
      <c r="L400" s="26" t="s">
        <v>15</v>
      </c>
      <c r="M400" s="26" t="s">
        <v>81</v>
      </c>
      <c r="N400" s="26" t="s">
        <v>307</v>
      </c>
      <c r="O400" s="26">
        <v>3.0</v>
      </c>
    </row>
    <row r="401" ht="15.75" customHeight="1">
      <c r="A401" s="26" t="s">
        <v>2333</v>
      </c>
      <c r="B401" s="26" t="s">
        <v>2334</v>
      </c>
      <c r="C401" s="26"/>
      <c r="D401" s="26" t="s">
        <v>59</v>
      </c>
      <c r="E401" s="26" t="s">
        <v>2335</v>
      </c>
      <c r="F401" s="26" t="s">
        <v>372</v>
      </c>
      <c r="G401" s="26" t="s">
        <v>373</v>
      </c>
      <c r="H401" s="26" t="s">
        <v>34</v>
      </c>
      <c r="I401" s="26" t="s">
        <v>843</v>
      </c>
      <c r="J401" s="26">
        <v>2.0</v>
      </c>
      <c r="K401" s="26" t="s">
        <v>1555</v>
      </c>
      <c r="L401" s="26" t="s">
        <v>15</v>
      </c>
      <c r="M401" s="26" t="s">
        <v>81</v>
      </c>
      <c r="N401" s="26" t="s">
        <v>307</v>
      </c>
      <c r="O401" s="26">
        <v>1.0</v>
      </c>
    </row>
    <row r="402" ht="15.75" customHeight="1">
      <c r="A402" s="26" t="s">
        <v>2336</v>
      </c>
      <c r="B402" s="26" t="s">
        <v>2337</v>
      </c>
      <c r="C402" s="26"/>
      <c r="D402" s="26" t="s">
        <v>45</v>
      </c>
      <c r="E402" s="26" t="s">
        <v>2338</v>
      </c>
      <c r="F402" s="26" t="s">
        <v>303</v>
      </c>
      <c r="G402" s="26" t="s">
        <v>140</v>
      </c>
      <c r="H402" s="26" t="s">
        <v>34</v>
      </c>
      <c r="I402" s="26" t="s">
        <v>169</v>
      </c>
      <c r="J402" s="26">
        <v>3.0</v>
      </c>
      <c r="K402" s="26" t="s">
        <v>136</v>
      </c>
      <c r="L402" s="26" t="s">
        <v>29</v>
      </c>
      <c r="M402" s="26" t="s">
        <v>95</v>
      </c>
      <c r="N402" s="26" t="s">
        <v>307</v>
      </c>
      <c r="O402" s="26">
        <v>2.0</v>
      </c>
    </row>
    <row r="403" ht="15.75" customHeight="1">
      <c r="A403" s="26" t="s">
        <v>2339</v>
      </c>
      <c r="B403" s="26" t="s">
        <v>2340</v>
      </c>
      <c r="C403" s="26"/>
      <c r="D403" s="26" t="s">
        <v>48</v>
      </c>
      <c r="E403" s="26" t="s">
        <v>2341</v>
      </c>
      <c r="F403" s="26" t="s">
        <v>366</v>
      </c>
      <c r="G403" s="26" t="s">
        <v>258</v>
      </c>
      <c r="H403" s="26" t="s">
        <v>61</v>
      </c>
      <c r="I403" s="26" t="s">
        <v>401</v>
      </c>
      <c r="J403" s="26">
        <v>4.0</v>
      </c>
      <c r="K403" s="26" t="s">
        <v>1354</v>
      </c>
      <c r="L403" s="26" t="s">
        <v>19</v>
      </c>
      <c r="M403" s="26" t="s">
        <v>66</v>
      </c>
      <c r="N403" s="26" t="s">
        <v>307</v>
      </c>
      <c r="O403" s="26">
        <v>2.0</v>
      </c>
    </row>
    <row r="404" ht="15.75" customHeight="1">
      <c r="A404" s="26" t="s">
        <v>2342</v>
      </c>
      <c r="B404" s="26" t="s">
        <v>2343</v>
      </c>
      <c r="C404" s="26"/>
      <c r="D404" s="26" t="s">
        <v>45</v>
      </c>
      <c r="E404" s="26" t="s">
        <v>2344</v>
      </c>
      <c r="F404" s="26" t="s">
        <v>1403</v>
      </c>
      <c r="G404" s="26" t="s">
        <v>143</v>
      </c>
      <c r="H404" s="26" t="s">
        <v>46</v>
      </c>
      <c r="I404" s="26" t="s">
        <v>169</v>
      </c>
      <c r="J404" s="26">
        <v>2.0</v>
      </c>
      <c r="K404" s="26" t="s">
        <v>136</v>
      </c>
      <c r="L404" s="26" t="s">
        <v>29</v>
      </c>
      <c r="M404" s="26" t="s">
        <v>95</v>
      </c>
      <c r="N404" s="26" t="s">
        <v>307</v>
      </c>
      <c r="O404" s="26">
        <v>2.0</v>
      </c>
    </row>
    <row r="405" ht="15.75" customHeight="1">
      <c r="A405" s="26" t="s">
        <v>2345</v>
      </c>
      <c r="B405" s="26" t="s">
        <v>2346</v>
      </c>
      <c r="C405" s="26"/>
      <c r="D405" s="26" t="s">
        <v>50</v>
      </c>
      <c r="E405" s="26" t="s">
        <v>2347</v>
      </c>
      <c r="F405" s="26" t="s">
        <v>1877</v>
      </c>
      <c r="G405" s="26" t="s">
        <v>311</v>
      </c>
      <c r="H405" s="26" t="s">
        <v>34</v>
      </c>
      <c r="I405" s="26" t="s">
        <v>245</v>
      </c>
      <c r="J405" s="26">
        <v>3.0</v>
      </c>
      <c r="K405" s="26" t="s">
        <v>136</v>
      </c>
      <c r="L405" s="26" t="s">
        <v>29</v>
      </c>
      <c r="M405" s="26" t="s">
        <v>95</v>
      </c>
      <c r="N405" s="26" t="s">
        <v>307</v>
      </c>
      <c r="O405" s="26">
        <v>2.0</v>
      </c>
    </row>
    <row r="406" ht="15.75" customHeight="1">
      <c r="A406" s="26" t="s">
        <v>2348</v>
      </c>
      <c r="B406" s="26" t="s">
        <v>2349</v>
      </c>
      <c r="C406" s="26"/>
      <c r="D406" s="26" t="s">
        <v>45</v>
      </c>
      <c r="E406" s="26" t="s">
        <v>260</v>
      </c>
      <c r="F406" s="26" t="s">
        <v>799</v>
      </c>
      <c r="G406" s="26" t="s">
        <v>130</v>
      </c>
      <c r="H406" s="26" t="s">
        <v>34</v>
      </c>
      <c r="I406" s="26"/>
      <c r="J406" s="26">
        <v>1.0</v>
      </c>
      <c r="K406" s="26" t="s">
        <v>136</v>
      </c>
      <c r="L406" s="26" t="s">
        <v>29</v>
      </c>
      <c r="M406" s="26" t="s">
        <v>95</v>
      </c>
      <c r="N406" s="26" t="s">
        <v>307</v>
      </c>
      <c r="O406" s="26">
        <v>2.0</v>
      </c>
    </row>
    <row r="407" ht="15.75" customHeight="1">
      <c r="A407" s="26" t="s">
        <v>2350</v>
      </c>
      <c r="B407" s="26" t="s">
        <v>2351</v>
      </c>
      <c r="C407" s="26"/>
      <c r="D407" s="26" t="s">
        <v>85</v>
      </c>
      <c r="E407" s="26" t="s">
        <v>1352</v>
      </c>
      <c r="F407" s="26" t="s">
        <v>698</v>
      </c>
      <c r="G407" s="26" t="s">
        <v>102</v>
      </c>
      <c r="H407" s="26" t="s">
        <v>53</v>
      </c>
      <c r="I407" s="26"/>
      <c r="J407" s="26">
        <v>1.0</v>
      </c>
      <c r="K407" s="26" t="s">
        <v>1354</v>
      </c>
      <c r="L407" s="26" t="s">
        <v>19</v>
      </c>
      <c r="M407" s="26" t="s">
        <v>66</v>
      </c>
      <c r="N407" s="26" t="s">
        <v>307</v>
      </c>
      <c r="O407" s="26">
        <v>2.0</v>
      </c>
    </row>
    <row r="408" ht="15.75" customHeight="1">
      <c r="A408" s="26" t="s">
        <v>2352</v>
      </c>
      <c r="B408" s="26" t="s">
        <v>2353</v>
      </c>
      <c r="C408" s="26"/>
      <c r="D408" s="26" t="s">
        <v>85</v>
      </c>
      <c r="E408" s="26" t="s">
        <v>1356</v>
      </c>
      <c r="F408" s="26" t="s">
        <v>698</v>
      </c>
      <c r="G408" s="26" t="s">
        <v>102</v>
      </c>
      <c r="H408" s="26" t="s">
        <v>53</v>
      </c>
      <c r="I408" s="26"/>
      <c r="J408" s="26">
        <v>1.0</v>
      </c>
      <c r="K408" s="26" t="s">
        <v>136</v>
      </c>
      <c r="L408" s="26" t="s">
        <v>29</v>
      </c>
      <c r="M408" s="26" t="s">
        <v>95</v>
      </c>
      <c r="N408" s="26" t="s">
        <v>307</v>
      </c>
      <c r="O408" s="26">
        <v>3.0</v>
      </c>
    </row>
    <row r="409" ht="15.75" customHeight="1">
      <c r="A409" s="26" t="s">
        <v>2354</v>
      </c>
      <c r="B409" s="26" t="s">
        <v>2349</v>
      </c>
      <c r="C409" s="26"/>
      <c r="D409" s="26" t="s">
        <v>45</v>
      </c>
      <c r="E409" s="26" t="s">
        <v>2355</v>
      </c>
      <c r="F409" s="26" t="s">
        <v>799</v>
      </c>
      <c r="G409" s="26" t="s">
        <v>130</v>
      </c>
      <c r="H409" s="26" t="s">
        <v>34</v>
      </c>
      <c r="I409" s="26" t="s">
        <v>166</v>
      </c>
      <c r="J409" s="26">
        <v>4.0</v>
      </c>
      <c r="K409" s="26" t="s">
        <v>136</v>
      </c>
      <c r="L409" s="26" t="s">
        <v>29</v>
      </c>
      <c r="M409" s="26" t="s">
        <v>95</v>
      </c>
      <c r="N409" s="26" t="s">
        <v>307</v>
      </c>
      <c r="O409" s="26">
        <v>2.0</v>
      </c>
    </row>
    <row r="410" ht="15.75" customHeight="1">
      <c r="A410" s="26" t="s">
        <v>2356</v>
      </c>
      <c r="B410" s="26" t="s">
        <v>2357</v>
      </c>
      <c r="C410" s="26"/>
      <c r="D410" s="26" t="s">
        <v>45</v>
      </c>
      <c r="E410" s="26" t="s">
        <v>2358</v>
      </c>
      <c r="F410" s="26" t="s">
        <v>799</v>
      </c>
      <c r="G410" s="26" t="s">
        <v>130</v>
      </c>
      <c r="H410" s="26" t="s">
        <v>34</v>
      </c>
      <c r="I410" s="26" t="s">
        <v>143</v>
      </c>
      <c r="J410" s="26">
        <v>3.0</v>
      </c>
      <c r="K410" s="26" t="s">
        <v>2266</v>
      </c>
      <c r="L410" s="26" t="s">
        <v>15</v>
      </c>
      <c r="M410" s="26" t="s">
        <v>81</v>
      </c>
      <c r="N410" s="26" t="s">
        <v>307</v>
      </c>
      <c r="O410" s="26">
        <v>1.0</v>
      </c>
    </row>
    <row r="411" ht="15.75" customHeight="1">
      <c r="A411" s="26" t="s">
        <v>2359</v>
      </c>
      <c r="B411" s="26" t="s">
        <v>2360</v>
      </c>
      <c r="C411" s="26"/>
      <c r="D411" s="26" t="s">
        <v>45</v>
      </c>
      <c r="E411" s="26" t="s">
        <v>2361</v>
      </c>
      <c r="F411" s="26" t="s">
        <v>799</v>
      </c>
      <c r="G411" s="26" t="s">
        <v>130</v>
      </c>
      <c r="H411" s="26" t="s">
        <v>34</v>
      </c>
      <c r="I411" s="26"/>
      <c r="J411" s="26">
        <v>1.0</v>
      </c>
      <c r="K411" s="26" t="s">
        <v>136</v>
      </c>
      <c r="L411" s="26" t="s">
        <v>29</v>
      </c>
      <c r="M411" s="26" t="s">
        <v>95</v>
      </c>
      <c r="N411" s="26" t="s">
        <v>307</v>
      </c>
      <c r="O411" s="26">
        <v>0.0</v>
      </c>
    </row>
    <row r="412" ht="15.75" customHeight="1">
      <c r="A412" s="26" t="s">
        <v>2362</v>
      </c>
      <c r="B412" s="26" t="s">
        <v>2363</v>
      </c>
      <c r="C412" s="26"/>
      <c r="D412" s="26" t="s">
        <v>45</v>
      </c>
      <c r="E412" s="26" t="s">
        <v>266</v>
      </c>
      <c r="F412" s="26" t="s">
        <v>303</v>
      </c>
      <c r="G412" s="26" t="s">
        <v>140</v>
      </c>
      <c r="H412" s="26" t="s">
        <v>34</v>
      </c>
      <c r="I412" s="26" t="s">
        <v>204</v>
      </c>
      <c r="J412" s="26">
        <v>3.0</v>
      </c>
      <c r="K412" s="26" t="s">
        <v>2266</v>
      </c>
      <c r="L412" s="26" t="s">
        <v>15</v>
      </c>
      <c r="M412" s="26" t="s">
        <v>81</v>
      </c>
      <c r="N412" s="26" t="s">
        <v>307</v>
      </c>
      <c r="O412" s="26">
        <v>1.0</v>
      </c>
    </row>
    <row r="413" ht="15.75" customHeight="1">
      <c r="A413" s="26" t="s">
        <v>2364</v>
      </c>
      <c r="B413" s="26" t="s">
        <v>2365</v>
      </c>
      <c r="C413" s="26"/>
      <c r="D413" s="26" t="s">
        <v>69</v>
      </c>
      <c r="E413" s="26" t="s">
        <v>2366</v>
      </c>
      <c r="F413" s="26" t="s">
        <v>440</v>
      </c>
      <c r="G413" s="26" t="s">
        <v>83</v>
      </c>
      <c r="H413" s="26" t="s">
        <v>46</v>
      </c>
      <c r="I413" s="26"/>
      <c r="J413" s="26">
        <v>1.0</v>
      </c>
      <c r="K413" s="26" t="s">
        <v>2328</v>
      </c>
      <c r="L413" s="26" t="s">
        <v>15</v>
      </c>
      <c r="M413" s="26" t="s">
        <v>81</v>
      </c>
      <c r="N413" s="26" t="s">
        <v>307</v>
      </c>
      <c r="O413" s="26">
        <v>2.0</v>
      </c>
    </row>
    <row r="414" ht="15.75" customHeight="1">
      <c r="A414" s="26" t="s">
        <v>2367</v>
      </c>
      <c r="B414" s="26" t="s">
        <v>2368</v>
      </c>
      <c r="C414" s="26"/>
      <c r="D414" s="26" t="s">
        <v>50</v>
      </c>
      <c r="E414" s="26" t="s">
        <v>2369</v>
      </c>
      <c r="F414" s="26" t="s">
        <v>2370</v>
      </c>
      <c r="G414" s="26" t="s">
        <v>581</v>
      </c>
      <c r="H414" s="26" t="s">
        <v>46</v>
      </c>
      <c r="I414" s="26"/>
      <c r="J414" s="26">
        <v>1.0</v>
      </c>
      <c r="K414" s="26" t="s">
        <v>136</v>
      </c>
      <c r="L414" s="26" t="s">
        <v>29</v>
      </c>
      <c r="M414" s="26" t="s">
        <v>95</v>
      </c>
      <c r="N414" s="26" t="s">
        <v>307</v>
      </c>
      <c r="O414" s="26">
        <v>2.0</v>
      </c>
    </row>
    <row r="415" ht="15.75" customHeight="1">
      <c r="A415" s="26" t="s">
        <v>2371</v>
      </c>
      <c r="B415" s="26" t="s">
        <v>2372</v>
      </c>
      <c r="C415" s="26"/>
      <c r="D415" s="26" t="s">
        <v>50</v>
      </c>
      <c r="E415" s="26" t="s">
        <v>2373</v>
      </c>
      <c r="F415" s="26" t="s">
        <v>336</v>
      </c>
      <c r="G415" s="26" t="s">
        <v>75</v>
      </c>
      <c r="H415" s="26" t="s">
        <v>53</v>
      </c>
      <c r="I415" s="26" t="s">
        <v>245</v>
      </c>
      <c r="J415" s="26">
        <v>4.0</v>
      </c>
      <c r="K415" s="26" t="s">
        <v>2374</v>
      </c>
      <c r="L415" s="26" t="s">
        <v>19</v>
      </c>
      <c r="M415" s="26" t="s">
        <v>81</v>
      </c>
      <c r="N415" s="26" t="s">
        <v>307</v>
      </c>
      <c r="O415" s="26">
        <v>2.0</v>
      </c>
    </row>
    <row r="416" ht="15.75" customHeight="1">
      <c r="A416" s="26" t="s">
        <v>2375</v>
      </c>
      <c r="B416" s="26" t="s">
        <v>2376</v>
      </c>
      <c r="C416" s="26"/>
      <c r="D416" s="26" t="s">
        <v>36</v>
      </c>
      <c r="E416" s="26" t="s">
        <v>2377</v>
      </c>
      <c r="F416" s="26" t="s">
        <v>760</v>
      </c>
      <c r="G416" s="26" t="s">
        <v>51</v>
      </c>
      <c r="H416" s="26" t="s">
        <v>52</v>
      </c>
      <c r="I416" s="26"/>
      <c r="J416" s="26">
        <v>1.0</v>
      </c>
      <c r="K416" s="26" t="s">
        <v>2378</v>
      </c>
      <c r="L416" s="26" t="s">
        <v>15</v>
      </c>
      <c r="M416" s="26" t="s">
        <v>81</v>
      </c>
      <c r="N416" s="26" t="s">
        <v>307</v>
      </c>
      <c r="O416" s="26">
        <v>3.0</v>
      </c>
    </row>
    <row r="417" ht="15.75" customHeight="1">
      <c r="A417" s="26" t="s">
        <v>2379</v>
      </c>
      <c r="B417" s="26" t="s">
        <v>2380</v>
      </c>
      <c r="C417" s="26"/>
      <c r="D417" s="26" t="s">
        <v>36</v>
      </c>
      <c r="E417" s="26" t="s">
        <v>190</v>
      </c>
      <c r="F417" s="26" t="s">
        <v>2381</v>
      </c>
      <c r="G417" s="26" t="s">
        <v>88</v>
      </c>
      <c r="H417" s="26" t="s">
        <v>46</v>
      </c>
      <c r="I417" s="26"/>
      <c r="J417" s="26">
        <v>1.0</v>
      </c>
      <c r="K417" s="26" t="s">
        <v>191</v>
      </c>
      <c r="L417" s="26" t="s">
        <v>15</v>
      </c>
      <c r="M417" s="26" t="s">
        <v>81</v>
      </c>
      <c r="N417" s="26" t="s">
        <v>307</v>
      </c>
      <c r="O417" s="26">
        <v>2.0</v>
      </c>
    </row>
    <row r="418" ht="15.75" customHeight="1">
      <c r="A418" s="26" t="s">
        <v>2382</v>
      </c>
      <c r="B418" s="26" t="s">
        <v>2383</v>
      </c>
      <c r="C418" s="26"/>
      <c r="D418" s="26" t="s">
        <v>54</v>
      </c>
      <c r="E418" s="26" t="s">
        <v>2384</v>
      </c>
      <c r="F418" s="26" t="s">
        <v>432</v>
      </c>
      <c r="G418" s="26" t="s">
        <v>182</v>
      </c>
      <c r="H418" s="26" t="s">
        <v>34</v>
      </c>
      <c r="I418" s="26" t="s">
        <v>99</v>
      </c>
      <c r="J418" s="26">
        <v>3.0</v>
      </c>
      <c r="K418" s="26" t="s">
        <v>2385</v>
      </c>
      <c r="L418" s="26" t="s">
        <v>15</v>
      </c>
      <c r="M418" s="26" t="s">
        <v>87</v>
      </c>
      <c r="N418" s="26" t="s">
        <v>307</v>
      </c>
      <c r="O418" s="26">
        <v>3.0</v>
      </c>
    </row>
    <row r="419" ht="15.75" customHeight="1">
      <c r="A419" s="26" t="s">
        <v>2386</v>
      </c>
      <c r="B419" s="26" t="s">
        <v>2387</v>
      </c>
      <c r="C419" s="26"/>
      <c r="D419" s="26" t="s">
        <v>36</v>
      </c>
      <c r="E419" s="26" t="s">
        <v>2388</v>
      </c>
      <c r="F419" s="26" t="s">
        <v>315</v>
      </c>
      <c r="G419" s="26" t="s">
        <v>47</v>
      </c>
      <c r="H419" s="26" t="s">
        <v>34</v>
      </c>
      <c r="I419" s="26" t="s">
        <v>84</v>
      </c>
      <c r="J419" s="26">
        <v>3.0</v>
      </c>
      <c r="K419" s="26" t="s">
        <v>136</v>
      </c>
      <c r="L419" s="26" t="s">
        <v>29</v>
      </c>
      <c r="M419" s="26" t="s">
        <v>95</v>
      </c>
      <c r="N419" s="26" t="s">
        <v>307</v>
      </c>
      <c r="O419" s="26">
        <v>2.0</v>
      </c>
    </row>
    <row r="420" ht="15.75" customHeight="1">
      <c r="A420" s="26" t="s">
        <v>2389</v>
      </c>
      <c r="B420" s="26" t="s">
        <v>2390</v>
      </c>
      <c r="C420" s="26"/>
      <c r="D420" s="26" t="s">
        <v>50</v>
      </c>
      <c r="E420" s="26" t="s">
        <v>2391</v>
      </c>
      <c r="F420" s="26" t="s">
        <v>902</v>
      </c>
      <c r="G420" s="26" t="s">
        <v>189</v>
      </c>
      <c r="H420" s="26" t="s">
        <v>34</v>
      </c>
      <c r="I420" s="26" t="s">
        <v>328</v>
      </c>
      <c r="J420" s="26">
        <v>2.0</v>
      </c>
      <c r="K420" s="26" t="s">
        <v>136</v>
      </c>
      <c r="L420" s="26" t="s">
        <v>29</v>
      </c>
      <c r="M420" s="26" t="s">
        <v>95</v>
      </c>
      <c r="N420" s="26" t="s">
        <v>307</v>
      </c>
      <c r="O420" s="26">
        <v>4.0</v>
      </c>
    </row>
    <row r="421" ht="15.75" customHeight="1">
      <c r="A421" s="26" t="s">
        <v>2392</v>
      </c>
      <c r="B421" s="26" t="s">
        <v>2393</v>
      </c>
      <c r="C421" s="26"/>
      <c r="D421" s="26" t="s">
        <v>48</v>
      </c>
      <c r="E421" s="26" t="s">
        <v>2394</v>
      </c>
      <c r="F421" s="26" t="s">
        <v>984</v>
      </c>
      <c r="G421" s="26" t="s">
        <v>265</v>
      </c>
      <c r="H421" s="26" t="s">
        <v>34</v>
      </c>
      <c r="I421" s="26" t="s">
        <v>313</v>
      </c>
      <c r="J421" s="26">
        <v>5.0</v>
      </c>
      <c r="K421" s="26" t="s">
        <v>2395</v>
      </c>
      <c r="L421" s="26" t="s">
        <v>15</v>
      </c>
      <c r="M421" s="26" t="s">
        <v>81</v>
      </c>
      <c r="N421" s="26" t="s">
        <v>307</v>
      </c>
      <c r="O421" s="26">
        <v>2.0</v>
      </c>
    </row>
    <row r="422" ht="15.75" customHeight="1">
      <c r="A422" s="26" t="s">
        <v>2396</v>
      </c>
      <c r="B422" s="26" t="s">
        <v>2397</v>
      </c>
      <c r="C422" s="26"/>
      <c r="D422" s="26" t="s">
        <v>50</v>
      </c>
      <c r="E422" s="26" t="s">
        <v>2398</v>
      </c>
      <c r="F422" s="26" t="s">
        <v>336</v>
      </c>
      <c r="G422" s="26" t="s">
        <v>75</v>
      </c>
      <c r="H422" s="26" t="s">
        <v>53</v>
      </c>
      <c r="I422" s="26" t="s">
        <v>245</v>
      </c>
      <c r="J422" s="26">
        <v>4.0</v>
      </c>
      <c r="K422" s="26" t="s">
        <v>136</v>
      </c>
      <c r="L422" s="26" t="s">
        <v>29</v>
      </c>
      <c r="M422" s="26" t="s">
        <v>95</v>
      </c>
      <c r="N422" s="26" t="s">
        <v>307</v>
      </c>
      <c r="O422" s="26">
        <v>2.0</v>
      </c>
    </row>
    <row r="423" ht="15.75" customHeight="1">
      <c r="A423" s="26" t="s">
        <v>2399</v>
      </c>
      <c r="B423" s="26" t="s">
        <v>2400</v>
      </c>
      <c r="C423" s="26"/>
      <c r="D423" s="26" t="s">
        <v>45</v>
      </c>
      <c r="E423" s="26" t="s">
        <v>2398</v>
      </c>
      <c r="F423" s="26" t="s">
        <v>303</v>
      </c>
      <c r="G423" s="26" t="s">
        <v>140</v>
      </c>
      <c r="H423" s="26" t="s">
        <v>34</v>
      </c>
      <c r="I423" s="26" t="s">
        <v>143</v>
      </c>
      <c r="J423" s="26">
        <v>3.0</v>
      </c>
      <c r="K423" s="26" t="s">
        <v>2401</v>
      </c>
      <c r="L423" s="26" t="s">
        <v>15</v>
      </c>
      <c r="M423" s="26" t="s">
        <v>81</v>
      </c>
      <c r="N423" s="26" t="s">
        <v>307</v>
      </c>
      <c r="O423" s="26">
        <v>5.0</v>
      </c>
    </row>
    <row r="424" ht="15.75" customHeight="1">
      <c r="A424" s="26" t="s">
        <v>2402</v>
      </c>
      <c r="B424" s="26" t="s">
        <v>2403</v>
      </c>
      <c r="C424" s="26"/>
      <c r="D424" s="26" t="s">
        <v>59</v>
      </c>
      <c r="E424" s="26" t="s">
        <v>2404</v>
      </c>
      <c r="F424" s="26" t="s">
        <v>423</v>
      </c>
      <c r="G424" s="26" t="s">
        <v>117</v>
      </c>
      <c r="H424" s="26" t="s">
        <v>34</v>
      </c>
      <c r="I424" s="26" t="s">
        <v>373</v>
      </c>
      <c r="J424" s="26">
        <v>2.0</v>
      </c>
      <c r="K424" s="26" t="s">
        <v>1555</v>
      </c>
      <c r="L424" s="26" t="s">
        <v>15</v>
      </c>
      <c r="M424" s="26" t="s">
        <v>81</v>
      </c>
      <c r="N424" s="26" t="s">
        <v>307</v>
      </c>
      <c r="O424" s="26">
        <v>2.0</v>
      </c>
    </row>
    <row r="425" ht="15.75" customHeight="1">
      <c r="A425" s="26" t="s">
        <v>2405</v>
      </c>
      <c r="B425" s="26" t="s">
        <v>2406</v>
      </c>
      <c r="C425" s="26"/>
      <c r="D425" s="26" t="s">
        <v>48</v>
      </c>
      <c r="E425" s="26" t="s">
        <v>2407</v>
      </c>
      <c r="F425" s="26" t="s">
        <v>1014</v>
      </c>
      <c r="G425" s="26" t="s">
        <v>248</v>
      </c>
      <c r="H425" s="26" t="s">
        <v>46</v>
      </c>
      <c r="I425" s="26" t="s">
        <v>339</v>
      </c>
      <c r="J425" s="26">
        <v>2.0</v>
      </c>
      <c r="K425" s="26" t="s">
        <v>2408</v>
      </c>
      <c r="L425" s="26" t="s">
        <v>15</v>
      </c>
      <c r="M425" s="26" t="s">
        <v>81</v>
      </c>
      <c r="N425" s="26" t="s">
        <v>307</v>
      </c>
      <c r="O425" s="26">
        <v>1.0</v>
      </c>
    </row>
    <row r="426" ht="15.75" customHeight="1">
      <c r="A426" s="26" t="s">
        <v>2409</v>
      </c>
      <c r="B426" s="26" t="s">
        <v>2410</v>
      </c>
      <c r="C426" s="26"/>
      <c r="D426" s="26" t="s">
        <v>45</v>
      </c>
      <c r="E426" s="26" t="s">
        <v>2411</v>
      </c>
      <c r="F426" s="26" t="s">
        <v>799</v>
      </c>
      <c r="G426" s="26" t="s">
        <v>130</v>
      </c>
      <c r="H426" s="26" t="s">
        <v>34</v>
      </c>
      <c r="I426" s="26" t="s">
        <v>82</v>
      </c>
      <c r="J426" s="26">
        <v>2.0</v>
      </c>
      <c r="K426" s="26" t="s">
        <v>2412</v>
      </c>
      <c r="L426" s="26" t="s">
        <v>15</v>
      </c>
      <c r="M426" s="26" t="s">
        <v>81</v>
      </c>
      <c r="N426" s="26" t="s">
        <v>307</v>
      </c>
      <c r="O426" s="26">
        <v>3.0</v>
      </c>
    </row>
    <row r="427" ht="15.75" customHeight="1">
      <c r="A427" s="26" t="s">
        <v>2413</v>
      </c>
      <c r="B427" s="26" t="s">
        <v>2414</v>
      </c>
      <c r="C427" s="26"/>
      <c r="D427" s="26" t="s">
        <v>36</v>
      </c>
      <c r="E427" s="26" t="s">
        <v>2415</v>
      </c>
      <c r="F427" s="26" t="s">
        <v>315</v>
      </c>
      <c r="G427" s="26" t="s">
        <v>47</v>
      </c>
      <c r="H427" s="26" t="s">
        <v>34</v>
      </c>
      <c r="I427" s="26"/>
      <c r="J427" s="26">
        <v>1.0</v>
      </c>
      <c r="K427" s="26" t="s">
        <v>132</v>
      </c>
      <c r="L427" s="26" t="s">
        <v>15</v>
      </c>
      <c r="M427" s="26" t="s">
        <v>87</v>
      </c>
      <c r="N427" s="26" t="s">
        <v>307</v>
      </c>
      <c r="O427" s="26">
        <v>3.0</v>
      </c>
    </row>
    <row r="428" ht="15.75" customHeight="1">
      <c r="A428" s="26" t="s">
        <v>2416</v>
      </c>
      <c r="B428" s="26" t="s">
        <v>2417</v>
      </c>
      <c r="C428" s="26"/>
      <c r="D428" s="26" t="s">
        <v>50</v>
      </c>
      <c r="E428" s="26" t="s">
        <v>2418</v>
      </c>
      <c r="F428" s="26" t="s">
        <v>336</v>
      </c>
      <c r="G428" s="26" t="s">
        <v>75</v>
      </c>
      <c r="H428" s="26" t="s">
        <v>53</v>
      </c>
      <c r="I428" s="26"/>
      <c r="J428" s="26">
        <v>1.0</v>
      </c>
      <c r="K428" s="26" t="s">
        <v>136</v>
      </c>
      <c r="L428" s="26" t="s">
        <v>29</v>
      </c>
      <c r="M428" s="26" t="s">
        <v>95</v>
      </c>
      <c r="N428" s="26" t="s">
        <v>307</v>
      </c>
      <c r="O428" s="26">
        <v>1.0</v>
      </c>
    </row>
    <row r="429" ht="15.75" customHeight="1">
      <c r="A429" s="26" t="s">
        <v>2419</v>
      </c>
      <c r="B429" s="26" t="s">
        <v>2420</v>
      </c>
      <c r="C429" s="26"/>
      <c r="D429" s="26" t="s">
        <v>72</v>
      </c>
      <c r="E429" s="26" t="s">
        <v>2421</v>
      </c>
      <c r="F429" s="26" t="s">
        <v>2422</v>
      </c>
      <c r="G429" s="26" t="s">
        <v>90</v>
      </c>
      <c r="H429" s="26" t="s">
        <v>34</v>
      </c>
      <c r="I429" s="26" t="s">
        <v>1133</v>
      </c>
      <c r="J429" s="26">
        <v>2.0</v>
      </c>
      <c r="K429" s="26" t="s">
        <v>136</v>
      </c>
      <c r="L429" s="26" t="s">
        <v>29</v>
      </c>
      <c r="M429" s="26" t="s">
        <v>95</v>
      </c>
      <c r="N429" s="26" t="s">
        <v>307</v>
      </c>
      <c r="O429" s="26">
        <v>5.0</v>
      </c>
    </row>
    <row r="430" ht="15.75" customHeight="1">
      <c r="A430" s="26" t="s">
        <v>2423</v>
      </c>
      <c r="B430" s="26" t="s">
        <v>2424</v>
      </c>
      <c r="C430" s="26"/>
      <c r="D430" s="26" t="s">
        <v>72</v>
      </c>
      <c r="E430" s="26" t="s">
        <v>2425</v>
      </c>
      <c r="F430" s="26" t="s">
        <v>2422</v>
      </c>
      <c r="G430" s="26" t="s">
        <v>90</v>
      </c>
      <c r="H430" s="26" t="s">
        <v>34</v>
      </c>
      <c r="I430" s="26" t="s">
        <v>109</v>
      </c>
      <c r="J430" s="26">
        <v>2.0</v>
      </c>
      <c r="K430" s="26" t="s">
        <v>2426</v>
      </c>
      <c r="L430" s="26" t="s">
        <v>15</v>
      </c>
      <c r="M430" s="26" t="s">
        <v>81</v>
      </c>
      <c r="N430" s="26" t="s">
        <v>307</v>
      </c>
      <c r="O430" s="26">
        <v>5.0</v>
      </c>
    </row>
    <row r="431" ht="15.75" customHeight="1">
      <c r="A431" s="26" t="s">
        <v>2427</v>
      </c>
      <c r="B431" s="26" t="s">
        <v>2428</v>
      </c>
      <c r="C431" s="26"/>
      <c r="D431" s="26" t="s">
        <v>76</v>
      </c>
      <c r="E431" s="26" t="s">
        <v>1233</v>
      </c>
      <c r="F431" s="26" t="s">
        <v>2429</v>
      </c>
      <c r="G431" s="26" t="s">
        <v>1230</v>
      </c>
      <c r="H431" s="26" t="s">
        <v>46</v>
      </c>
      <c r="I431" s="26"/>
      <c r="J431" s="26">
        <v>0.0</v>
      </c>
      <c r="K431" s="26" t="s">
        <v>1235</v>
      </c>
      <c r="L431" s="26" t="s">
        <v>19</v>
      </c>
      <c r="M431" s="26" t="s">
        <v>87</v>
      </c>
      <c r="N431" s="26" t="s">
        <v>307</v>
      </c>
      <c r="O431" s="26">
        <v>1.0</v>
      </c>
    </row>
    <row r="432" ht="15.75" customHeight="1">
      <c r="A432" s="26" t="s">
        <v>2430</v>
      </c>
      <c r="B432" s="26" t="s">
        <v>2431</v>
      </c>
      <c r="C432" s="26"/>
      <c r="D432" s="26" t="s">
        <v>45</v>
      </c>
      <c r="E432" s="26" t="s">
        <v>2432</v>
      </c>
      <c r="F432" s="26" t="s">
        <v>799</v>
      </c>
      <c r="G432" s="26" t="s">
        <v>130</v>
      </c>
      <c r="H432" s="26" t="s">
        <v>34</v>
      </c>
      <c r="I432" s="26"/>
      <c r="J432" s="26">
        <v>1.0</v>
      </c>
      <c r="K432" s="26" t="s">
        <v>2412</v>
      </c>
      <c r="L432" s="26" t="s">
        <v>15</v>
      </c>
      <c r="M432" s="26" t="s">
        <v>81</v>
      </c>
      <c r="N432" s="26" t="s">
        <v>307</v>
      </c>
      <c r="O432" s="26">
        <v>3.0</v>
      </c>
    </row>
    <row r="433" ht="15.75" customHeight="1">
      <c r="A433" s="26" t="s">
        <v>2433</v>
      </c>
      <c r="B433" s="26" t="s">
        <v>2434</v>
      </c>
      <c r="C433" s="26"/>
      <c r="D433" s="26" t="s">
        <v>45</v>
      </c>
      <c r="E433" s="26" t="s">
        <v>367</v>
      </c>
      <c r="F433" s="26" t="s">
        <v>2435</v>
      </c>
      <c r="G433" s="26" t="s">
        <v>196</v>
      </c>
      <c r="H433" s="26" t="s">
        <v>52</v>
      </c>
      <c r="I433" s="26"/>
      <c r="J433" s="26">
        <v>1.0</v>
      </c>
      <c r="K433" s="26" t="s">
        <v>136</v>
      </c>
      <c r="L433" s="26" t="s">
        <v>29</v>
      </c>
      <c r="M433" s="26" t="s">
        <v>95</v>
      </c>
      <c r="N433" s="26" t="s">
        <v>307</v>
      </c>
      <c r="O433" s="26">
        <v>2.0</v>
      </c>
    </row>
    <row r="434" ht="15.75" customHeight="1">
      <c r="A434" s="26" t="s">
        <v>2436</v>
      </c>
      <c r="B434" s="26" t="s">
        <v>2437</v>
      </c>
      <c r="C434" s="26"/>
      <c r="D434" s="26" t="s">
        <v>50</v>
      </c>
      <c r="E434" s="26" t="s">
        <v>2438</v>
      </c>
      <c r="F434" s="26" t="s">
        <v>1174</v>
      </c>
      <c r="G434" s="26" t="s">
        <v>539</v>
      </c>
      <c r="H434" s="26" t="s">
        <v>46</v>
      </c>
      <c r="I434" s="26"/>
      <c r="J434" s="26">
        <v>0.0</v>
      </c>
      <c r="K434" s="26" t="s">
        <v>2439</v>
      </c>
      <c r="L434" s="26" t="s">
        <v>23</v>
      </c>
      <c r="M434" s="26" t="s">
        <v>94</v>
      </c>
      <c r="N434" s="26" t="s">
        <v>307</v>
      </c>
      <c r="O434" s="26">
        <v>3.0</v>
      </c>
    </row>
    <row r="435" ht="15.75" customHeight="1">
      <c r="A435" s="26" t="s">
        <v>2440</v>
      </c>
      <c r="B435" s="26" t="s">
        <v>2441</v>
      </c>
      <c r="C435" s="26"/>
      <c r="D435" s="26" t="s">
        <v>36</v>
      </c>
      <c r="E435" s="26" t="s">
        <v>2442</v>
      </c>
      <c r="F435" s="26" t="s">
        <v>760</v>
      </c>
      <c r="G435" s="26" t="s">
        <v>51</v>
      </c>
      <c r="H435" s="26" t="s">
        <v>52</v>
      </c>
      <c r="I435" s="26"/>
      <c r="J435" s="26">
        <v>1.0</v>
      </c>
      <c r="K435" s="26" t="s">
        <v>2443</v>
      </c>
      <c r="L435" s="26" t="s">
        <v>15</v>
      </c>
      <c r="M435" s="26" t="s">
        <v>81</v>
      </c>
      <c r="N435" s="26" t="s">
        <v>307</v>
      </c>
      <c r="O435" s="26">
        <v>3.0</v>
      </c>
    </row>
    <row r="436" ht="15.75" customHeight="1">
      <c r="A436" s="26" t="s">
        <v>2444</v>
      </c>
      <c r="B436" s="26" t="s">
        <v>2445</v>
      </c>
      <c r="C436" s="26"/>
      <c r="D436" s="26" t="s">
        <v>69</v>
      </c>
      <c r="E436" s="26" t="s">
        <v>1010</v>
      </c>
      <c r="F436" s="26" t="s">
        <v>537</v>
      </c>
      <c r="G436" s="26" t="s">
        <v>197</v>
      </c>
      <c r="H436" s="26" t="s">
        <v>34</v>
      </c>
      <c r="I436" s="26"/>
      <c r="J436" s="26">
        <v>1.0</v>
      </c>
      <c r="K436" s="26" t="s">
        <v>136</v>
      </c>
      <c r="L436" s="26" t="s">
        <v>29</v>
      </c>
      <c r="M436" s="26" t="s">
        <v>95</v>
      </c>
      <c r="N436" s="26" t="s">
        <v>307</v>
      </c>
      <c r="O436" s="26">
        <v>2.0</v>
      </c>
    </row>
    <row r="437" ht="15.75" customHeight="1">
      <c r="A437" s="26" t="s">
        <v>2446</v>
      </c>
      <c r="B437" s="26" t="s">
        <v>2447</v>
      </c>
      <c r="C437" s="26"/>
      <c r="D437" s="26" t="s">
        <v>36</v>
      </c>
      <c r="E437" s="26" t="s">
        <v>2448</v>
      </c>
      <c r="F437" s="26" t="s">
        <v>1292</v>
      </c>
      <c r="G437" s="26" t="s">
        <v>65</v>
      </c>
      <c r="H437" s="26" t="s">
        <v>34</v>
      </c>
      <c r="I437" s="26"/>
      <c r="J437" s="26">
        <v>1.0</v>
      </c>
      <c r="K437" s="26" t="s">
        <v>2449</v>
      </c>
      <c r="L437" s="26" t="s">
        <v>15</v>
      </c>
      <c r="M437" s="26" t="s">
        <v>81</v>
      </c>
      <c r="N437" s="26" t="s">
        <v>307</v>
      </c>
      <c r="O437" s="26">
        <v>5.0</v>
      </c>
    </row>
    <row r="438" ht="15.75" customHeight="1">
      <c r="A438" s="26" t="s">
        <v>2450</v>
      </c>
      <c r="B438" s="26" t="s">
        <v>2451</v>
      </c>
      <c r="C438" s="26"/>
      <c r="D438" s="26" t="s">
        <v>45</v>
      </c>
      <c r="E438" s="26" t="s">
        <v>2452</v>
      </c>
      <c r="F438" s="26" t="s">
        <v>799</v>
      </c>
      <c r="G438" s="26" t="s">
        <v>130</v>
      </c>
      <c r="H438" s="26" t="s">
        <v>34</v>
      </c>
      <c r="I438" s="26" t="s">
        <v>140</v>
      </c>
      <c r="J438" s="26">
        <v>5.0</v>
      </c>
      <c r="K438" s="26" t="s">
        <v>2453</v>
      </c>
      <c r="L438" s="26" t="s">
        <v>15</v>
      </c>
      <c r="M438" s="26" t="s">
        <v>87</v>
      </c>
      <c r="N438" s="26" t="s">
        <v>307</v>
      </c>
      <c r="O438" s="26">
        <v>2.0</v>
      </c>
    </row>
    <row r="439" ht="15.75" customHeight="1">
      <c r="A439" s="26" t="s">
        <v>2454</v>
      </c>
      <c r="B439" s="26" t="s">
        <v>2455</v>
      </c>
      <c r="C439" s="26"/>
      <c r="D439" s="26" t="s">
        <v>45</v>
      </c>
      <c r="E439" s="26" t="s">
        <v>2456</v>
      </c>
      <c r="F439" s="26" t="s">
        <v>303</v>
      </c>
      <c r="G439" s="26" t="s">
        <v>140</v>
      </c>
      <c r="H439" s="26" t="s">
        <v>34</v>
      </c>
      <c r="I439" s="26" t="s">
        <v>169</v>
      </c>
      <c r="J439" s="26">
        <v>3.0</v>
      </c>
      <c r="K439" s="26" t="s">
        <v>2266</v>
      </c>
      <c r="L439" s="26" t="s">
        <v>15</v>
      </c>
      <c r="M439" s="26" t="s">
        <v>81</v>
      </c>
      <c r="N439" s="26" t="s">
        <v>307</v>
      </c>
      <c r="O439" s="26">
        <v>2.0</v>
      </c>
    </row>
    <row r="440" ht="15.75" customHeight="1">
      <c r="A440" s="26" t="s">
        <v>2457</v>
      </c>
      <c r="B440" s="26" t="s">
        <v>2458</v>
      </c>
      <c r="C440" s="26"/>
      <c r="D440" s="26" t="s">
        <v>50</v>
      </c>
      <c r="E440" s="26" t="s">
        <v>699</v>
      </c>
      <c r="F440" s="26" t="s">
        <v>720</v>
      </c>
      <c r="G440" s="26" t="s">
        <v>548</v>
      </c>
      <c r="H440" s="26" t="s">
        <v>46</v>
      </c>
      <c r="I440" s="26"/>
      <c r="J440" s="26">
        <v>1.0</v>
      </c>
      <c r="K440" s="26" t="s">
        <v>358</v>
      </c>
      <c r="L440" s="26" t="s">
        <v>19</v>
      </c>
      <c r="M440" s="26" t="s">
        <v>66</v>
      </c>
      <c r="N440" s="26" t="s">
        <v>307</v>
      </c>
      <c r="O440" s="26">
        <v>3.0</v>
      </c>
    </row>
    <row r="441" ht="15.75" customHeight="1">
      <c r="A441" s="26" t="s">
        <v>2459</v>
      </c>
      <c r="B441" s="26" t="s">
        <v>2460</v>
      </c>
      <c r="C441" s="26"/>
      <c r="D441" s="26" t="s">
        <v>76</v>
      </c>
      <c r="E441" s="26" t="s">
        <v>2461</v>
      </c>
      <c r="F441" s="26" t="s">
        <v>2462</v>
      </c>
      <c r="G441" s="26" t="s">
        <v>1243</v>
      </c>
      <c r="H441" s="26" t="s">
        <v>52</v>
      </c>
      <c r="I441" s="26"/>
      <c r="J441" s="26">
        <v>1.0</v>
      </c>
      <c r="K441" s="26" t="s">
        <v>1249</v>
      </c>
      <c r="L441" s="26" t="s">
        <v>15</v>
      </c>
      <c r="M441" s="26" t="s">
        <v>81</v>
      </c>
      <c r="N441" s="26" t="s">
        <v>307</v>
      </c>
      <c r="O441" s="26">
        <v>4.0</v>
      </c>
    </row>
    <row r="442" ht="15.75" customHeight="1">
      <c r="A442" s="26" t="s">
        <v>2463</v>
      </c>
      <c r="B442" s="26" t="s">
        <v>2464</v>
      </c>
      <c r="C442" s="26"/>
      <c r="D442" s="26" t="s">
        <v>76</v>
      </c>
      <c r="E442" s="26" t="s">
        <v>2465</v>
      </c>
      <c r="F442" s="26" t="s">
        <v>1201</v>
      </c>
      <c r="G442" s="26" t="s">
        <v>222</v>
      </c>
      <c r="H442" s="26" t="s">
        <v>34</v>
      </c>
      <c r="I442" s="26" t="s">
        <v>496</v>
      </c>
      <c r="J442" s="26">
        <v>2.0</v>
      </c>
      <c r="K442" s="26" t="s">
        <v>2466</v>
      </c>
      <c r="L442" s="26" t="s">
        <v>15</v>
      </c>
      <c r="M442" s="26" t="s">
        <v>81</v>
      </c>
      <c r="N442" s="26" t="s">
        <v>307</v>
      </c>
      <c r="O442" s="26">
        <v>4.0</v>
      </c>
    </row>
    <row r="443" ht="15.75" customHeight="1">
      <c r="A443" s="26" t="s">
        <v>2467</v>
      </c>
      <c r="B443" s="26" t="s">
        <v>2468</v>
      </c>
      <c r="C443" s="26"/>
      <c r="D443" s="26" t="s">
        <v>48</v>
      </c>
      <c r="E443" s="26" t="s">
        <v>2469</v>
      </c>
      <c r="F443" s="26" t="s">
        <v>1727</v>
      </c>
      <c r="G443" s="26" t="s">
        <v>284</v>
      </c>
      <c r="H443" s="26" t="s">
        <v>46</v>
      </c>
      <c r="I443" s="26"/>
      <c r="J443" s="26">
        <v>0.0</v>
      </c>
      <c r="K443" s="26" t="s">
        <v>2470</v>
      </c>
      <c r="L443" s="26" t="s">
        <v>15</v>
      </c>
      <c r="M443" s="26" t="s">
        <v>81</v>
      </c>
      <c r="N443" s="26" t="s">
        <v>307</v>
      </c>
      <c r="O443" s="26">
        <v>3.0</v>
      </c>
    </row>
    <row r="444" ht="15.75" customHeight="1">
      <c r="A444" s="26" t="s">
        <v>2471</v>
      </c>
      <c r="B444" s="26" t="s">
        <v>2472</v>
      </c>
      <c r="C444" s="26"/>
      <c r="D444" s="26" t="s">
        <v>48</v>
      </c>
      <c r="E444" s="26" t="s">
        <v>2473</v>
      </c>
      <c r="F444" s="26" t="s">
        <v>1014</v>
      </c>
      <c r="G444" s="26" t="s">
        <v>248</v>
      </c>
      <c r="H444" s="26" t="s">
        <v>46</v>
      </c>
      <c r="I444" s="26"/>
      <c r="J444" s="26">
        <v>1.0</v>
      </c>
      <c r="K444" s="26" t="s">
        <v>2474</v>
      </c>
      <c r="L444" s="26" t="s">
        <v>15</v>
      </c>
      <c r="M444" s="26" t="s">
        <v>81</v>
      </c>
      <c r="N444" s="26" t="s">
        <v>307</v>
      </c>
      <c r="O444" s="26">
        <v>3.0</v>
      </c>
    </row>
    <row r="445" ht="15.75" customHeight="1">
      <c r="A445" s="26" t="s">
        <v>2475</v>
      </c>
      <c r="B445" s="26" t="s">
        <v>2476</v>
      </c>
      <c r="C445" s="26"/>
      <c r="D445" s="26" t="s">
        <v>45</v>
      </c>
      <c r="E445" s="26" t="s">
        <v>2477</v>
      </c>
      <c r="F445" s="26" t="s">
        <v>2435</v>
      </c>
      <c r="G445" s="26" t="s">
        <v>196</v>
      </c>
      <c r="H445" s="26" t="s">
        <v>52</v>
      </c>
      <c r="I445" s="26"/>
      <c r="J445" s="26">
        <v>1.0</v>
      </c>
      <c r="K445" s="26" t="s">
        <v>136</v>
      </c>
      <c r="L445" s="26" t="s">
        <v>29</v>
      </c>
      <c r="M445" s="26" t="s">
        <v>95</v>
      </c>
      <c r="N445" s="26" t="s">
        <v>307</v>
      </c>
      <c r="O445" s="26">
        <v>2.0</v>
      </c>
    </row>
    <row r="446" ht="15.75" customHeight="1">
      <c r="A446" s="26" t="s">
        <v>2478</v>
      </c>
      <c r="B446" s="26" t="s">
        <v>2479</v>
      </c>
      <c r="C446" s="26"/>
      <c r="D446" s="26" t="s">
        <v>59</v>
      </c>
      <c r="E446" s="26" t="s">
        <v>2480</v>
      </c>
      <c r="F446" s="26" t="s">
        <v>423</v>
      </c>
      <c r="G446" s="26" t="s">
        <v>117</v>
      </c>
      <c r="H446" s="26" t="s">
        <v>34</v>
      </c>
      <c r="I446" s="26" t="s">
        <v>843</v>
      </c>
      <c r="J446" s="26">
        <v>3.0</v>
      </c>
      <c r="K446" s="26" t="s">
        <v>2481</v>
      </c>
      <c r="L446" s="26" t="s">
        <v>15</v>
      </c>
      <c r="M446" s="26" t="s">
        <v>81</v>
      </c>
      <c r="N446" s="26" t="s">
        <v>307</v>
      </c>
      <c r="O446" s="26">
        <v>4.0</v>
      </c>
    </row>
    <row r="447" ht="15.75" customHeight="1">
      <c r="A447" s="26" t="s">
        <v>2482</v>
      </c>
      <c r="B447" s="26" t="s">
        <v>2476</v>
      </c>
      <c r="C447" s="26"/>
      <c r="D447" s="26" t="s">
        <v>45</v>
      </c>
      <c r="E447" s="26" t="s">
        <v>357</v>
      </c>
      <c r="F447" s="26" t="s">
        <v>2435</v>
      </c>
      <c r="G447" s="26" t="s">
        <v>196</v>
      </c>
      <c r="H447" s="26" t="s">
        <v>52</v>
      </c>
      <c r="I447" s="26"/>
      <c r="J447" s="26">
        <v>1.0</v>
      </c>
      <c r="K447" s="26" t="s">
        <v>136</v>
      </c>
      <c r="L447" s="26" t="s">
        <v>29</v>
      </c>
      <c r="M447" s="26" t="s">
        <v>95</v>
      </c>
      <c r="N447" s="26" t="s">
        <v>307</v>
      </c>
      <c r="O447" s="26">
        <v>2.0</v>
      </c>
    </row>
    <row r="448" ht="15.75" customHeight="1">
      <c r="A448" s="26" t="s">
        <v>2483</v>
      </c>
      <c r="B448" s="26" t="s">
        <v>2484</v>
      </c>
      <c r="C448" s="26"/>
      <c r="D448" s="26" t="s">
        <v>45</v>
      </c>
      <c r="E448" s="26" t="s">
        <v>2485</v>
      </c>
      <c r="F448" s="26" t="s">
        <v>2435</v>
      </c>
      <c r="G448" s="26" t="s">
        <v>196</v>
      </c>
      <c r="H448" s="26" t="s">
        <v>52</v>
      </c>
      <c r="I448" s="26"/>
      <c r="J448" s="26">
        <v>1.0</v>
      </c>
      <c r="K448" s="26" t="s">
        <v>136</v>
      </c>
      <c r="L448" s="26" t="s">
        <v>29</v>
      </c>
      <c r="M448" s="26" t="s">
        <v>95</v>
      </c>
      <c r="N448" s="26" t="s">
        <v>307</v>
      </c>
      <c r="O448" s="26">
        <v>2.0</v>
      </c>
    </row>
    <row r="449" ht="15.75" customHeight="1">
      <c r="A449" s="26" t="s">
        <v>2486</v>
      </c>
      <c r="B449" s="26" t="s">
        <v>2487</v>
      </c>
      <c r="C449" s="26"/>
      <c r="D449" s="26" t="s">
        <v>59</v>
      </c>
      <c r="E449" s="26" t="s">
        <v>835</v>
      </c>
      <c r="F449" s="26" t="s">
        <v>372</v>
      </c>
      <c r="G449" s="26" t="s">
        <v>373</v>
      </c>
      <c r="H449" s="26" t="s">
        <v>34</v>
      </c>
      <c r="I449" s="26"/>
      <c r="J449" s="26">
        <v>1.0</v>
      </c>
      <c r="K449" s="26" t="s">
        <v>1555</v>
      </c>
      <c r="L449" s="26" t="s">
        <v>15</v>
      </c>
      <c r="M449" s="26" t="s">
        <v>81</v>
      </c>
      <c r="N449" s="26" t="s">
        <v>307</v>
      </c>
      <c r="O449" s="26">
        <v>2.0</v>
      </c>
    </row>
    <row r="450" ht="15.75" customHeight="1">
      <c r="A450" s="26" t="s">
        <v>2488</v>
      </c>
      <c r="B450" s="26" t="s">
        <v>2489</v>
      </c>
      <c r="C450" s="26"/>
      <c r="D450" s="26" t="s">
        <v>45</v>
      </c>
      <c r="E450" s="26" t="s">
        <v>2490</v>
      </c>
      <c r="F450" s="26" t="s">
        <v>303</v>
      </c>
      <c r="G450" s="26" t="s">
        <v>140</v>
      </c>
      <c r="H450" s="26" t="s">
        <v>34</v>
      </c>
      <c r="I450" s="26" t="s">
        <v>143</v>
      </c>
      <c r="J450" s="26">
        <v>3.0</v>
      </c>
      <c r="K450" s="26" t="s">
        <v>2491</v>
      </c>
      <c r="L450" s="26" t="s">
        <v>15</v>
      </c>
      <c r="M450" s="26" t="s">
        <v>81</v>
      </c>
      <c r="N450" s="26" t="s">
        <v>307</v>
      </c>
      <c r="O450" s="26">
        <v>2.0</v>
      </c>
    </row>
    <row r="451" ht="15.75" customHeight="1">
      <c r="A451" s="26" t="s">
        <v>2492</v>
      </c>
      <c r="B451" s="26" t="s">
        <v>2493</v>
      </c>
      <c r="C451" s="26"/>
      <c r="D451" s="26" t="s">
        <v>45</v>
      </c>
      <c r="E451" s="26" t="s">
        <v>2494</v>
      </c>
      <c r="F451" s="26" t="s">
        <v>303</v>
      </c>
      <c r="G451" s="26" t="s">
        <v>140</v>
      </c>
      <c r="H451" s="26" t="s">
        <v>34</v>
      </c>
      <c r="I451" s="26" t="s">
        <v>166</v>
      </c>
      <c r="J451" s="26">
        <v>4.0</v>
      </c>
      <c r="K451" s="26" t="s">
        <v>2266</v>
      </c>
      <c r="L451" s="26" t="s">
        <v>15</v>
      </c>
      <c r="M451" s="26" t="s">
        <v>81</v>
      </c>
      <c r="N451" s="26" t="s">
        <v>307</v>
      </c>
      <c r="O451" s="26">
        <v>2.0</v>
      </c>
    </row>
    <row r="452" ht="15.75" customHeight="1">
      <c r="A452" s="26" t="s">
        <v>2495</v>
      </c>
      <c r="B452" s="26" t="s">
        <v>2496</v>
      </c>
      <c r="C452" s="26"/>
      <c r="D452" s="26" t="s">
        <v>45</v>
      </c>
      <c r="E452" s="26" t="s">
        <v>2497</v>
      </c>
      <c r="F452" s="26" t="s">
        <v>799</v>
      </c>
      <c r="G452" s="26" t="s">
        <v>130</v>
      </c>
      <c r="H452" s="26" t="s">
        <v>34</v>
      </c>
      <c r="I452" s="26" t="s">
        <v>166</v>
      </c>
      <c r="J452" s="26">
        <v>2.0</v>
      </c>
      <c r="K452" s="26" t="s">
        <v>2226</v>
      </c>
      <c r="L452" s="26" t="s">
        <v>15</v>
      </c>
      <c r="M452" s="26" t="s">
        <v>81</v>
      </c>
      <c r="N452" s="26" t="s">
        <v>307</v>
      </c>
      <c r="O452" s="26">
        <v>2.0</v>
      </c>
    </row>
    <row r="453" ht="15.75" customHeight="1">
      <c r="A453" s="26" t="s">
        <v>2498</v>
      </c>
      <c r="B453" s="26" t="s">
        <v>2499</v>
      </c>
      <c r="C453" s="26"/>
      <c r="D453" s="26" t="s">
        <v>36</v>
      </c>
      <c r="E453" s="26" t="s">
        <v>186</v>
      </c>
      <c r="F453" s="26" t="s">
        <v>2381</v>
      </c>
      <c r="G453" s="26" t="s">
        <v>88</v>
      </c>
      <c r="H453" s="26" t="s">
        <v>46</v>
      </c>
      <c r="I453" s="26"/>
      <c r="J453" s="26">
        <v>1.0</v>
      </c>
      <c r="K453" s="26" t="s">
        <v>136</v>
      </c>
      <c r="L453" s="26" t="s">
        <v>29</v>
      </c>
      <c r="M453" s="26" t="s">
        <v>95</v>
      </c>
      <c r="N453" s="26" t="s">
        <v>307</v>
      </c>
      <c r="O453" s="26">
        <v>2.0</v>
      </c>
    </row>
    <row r="454" ht="15.75" customHeight="1">
      <c r="A454" s="26" t="s">
        <v>2500</v>
      </c>
      <c r="B454" s="26" t="s">
        <v>2501</v>
      </c>
      <c r="C454" s="26"/>
      <c r="D454" s="26" t="s">
        <v>36</v>
      </c>
      <c r="E454" s="26" t="s">
        <v>2502</v>
      </c>
      <c r="F454" s="26" t="s">
        <v>315</v>
      </c>
      <c r="G454" s="26" t="s">
        <v>47</v>
      </c>
      <c r="H454" s="26" t="s">
        <v>34</v>
      </c>
      <c r="I454" s="26" t="s">
        <v>88</v>
      </c>
      <c r="J454" s="26">
        <v>2.0</v>
      </c>
      <c r="K454" s="26" t="s">
        <v>2503</v>
      </c>
      <c r="L454" s="26" t="s">
        <v>15</v>
      </c>
      <c r="M454" s="26" t="s">
        <v>87</v>
      </c>
      <c r="N454" s="26" t="s">
        <v>307</v>
      </c>
      <c r="O454" s="26">
        <v>3.0</v>
      </c>
    </row>
    <row r="455" ht="15.75" customHeight="1">
      <c r="A455" s="26" t="s">
        <v>2504</v>
      </c>
      <c r="B455" s="26" t="s">
        <v>2505</v>
      </c>
      <c r="C455" s="26"/>
      <c r="D455" s="26" t="s">
        <v>59</v>
      </c>
      <c r="E455" s="26" t="s">
        <v>2506</v>
      </c>
      <c r="F455" s="26" t="s">
        <v>372</v>
      </c>
      <c r="G455" s="26" t="s">
        <v>373</v>
      </c>
      <c r="H455" s="26" t="s">
        <v>34</v>
      </c>
      <c r="I455" s="26"/>
      <c r="J455" s="26">
        <v>1.0</v>
      </c>
      <c r="K455" s="26" t="s">
        <v>2507</v>
      </c>
      <c r="L455" s="26" t="s">
        <v>15</v>
      </c>
      <c r="M455" s="26" t="s">
        <v>81</v>
      </c>
      <c r="N455" s="26" t="s">
        <v>307</v>
      </c>
      <c r="O455" s="26">
        <v>2.0</v>
      </c>
    </row>
    <row r="456" ht="15.75" customHeight="1">
      <c r="A456" s="26" t="s">
        <v>2508</v>
      </c>
      <c r="B456" s="26" t="s">
        <v>2509</v>
      </c>
      <c r="C456" s="26"/>
      <c r="D456" s="26" t="s">
        <v>79</v>
      </c>
      <c r="E456" s="26" t="s">
        <v>1283</v>
      </c>
      <c r="F456" s="26" t="s">
        <v>2510</v>
      </c>
      <c r="G456" s="26" t="s">
        <v>1280</v>
      </c>
      <c r="H456" s="26" t="s">
        <v>46</v>
      </c>
      <c r="I456" s="26"/>
      <c r="J456" s="26">
        <v>0.0</v>
      </c>
      <c r="K456" s="26" t="s">
        <v>1284</v>
      </c>
      <c r="L456" s="26" t="s">
        <v>15</v>
      </c>
      <c r="M456" s="26" t="s">
        <v>81</v>
      </c>
      <c r="N456" s="26" t="s">
        <v>307</v>
      </c>
      <c r="O456" s="26">
        <v>5.0</v>
      </c>
    </row>
    <row r="457" ht="15.75" customHeight="1">
      <c r="A457" s="26" t="s">
        <v>2511</v>
      </c>
      <c r="B457" s="26" t="s">
        <v>2512</v>
      </c>
      <c r="C457" s="26"/>
      <c r="D457" s="26" t="s">
        <v>93</v>
      </c>
      <c r="E457" s="26" t="s">
        <v>1421</v>
      </c>
      <c r="F457" s="26" t="s">
        <v>2513</v>
      </c>
      <c r="G457" s="26" t="s">
        <v>1416</v>
      </c>
      <c r="H457" s="26" t="s">
        <v>46</v>
      </c>
      <c r="I457" s="26"/>
      <c r="J457" s="26">
        <v>1.0</v>
      </c>
      <c r="K457" s="26" t="s">
        <v>136</v>
      </c>
      <c r="L457" s="26" t="s">
        <v>29</v>
      </c>
      <c r="M457" s="26" t="s">
        <v>95</v>
      </c>
      <c r="N457" s="26" t="s">
        <v>307</v>
      </c>
      <c r="O457" s="26">
        <v>4.0</v>
      </c>
    </row>
    <row r="458" ht="15.75" customHeight="1">
      <c r="A458" s="26" t="s">
        <v>2514</v>
      </c>
      <c r="B458" s="26" t="s">
        <v>2515</v>
      </c>
      <c r="C458" s="26"/>
      <c r="D458" s="26" t="s">
        <v>50</v>
      </c>
      <c r="E458" s="26" t="s">
        <v>710</v>
      </c>
      <c r="F458" s="26" t="s">
        <v>2516</v>
      </c>
      <c r="G458" s="26" t="s">
        <v>566</v>
      </c>
      <c r="H458" s="26" t="s">
        <v>46</v>
      </c>
      <c r="I458" s="26"/>
      <c r="J458" s="26">
        <v>1.0</v>
      </c>
      <c r="K458" s="26" t="s">
        <v>136</v>
      </c>
      <c r="L458" s="26" t="s">
        <v>29</v>
      </c>
      <c r="M458" s="26" t="s">
        <v>95</v>
      </c>
      <c r="N458" s="26" t="s">
        <v>307</v>
      </c>
      <c r="O458" s="26">
        <v>2.0</v>
      </c>
    </row>
    <row r="459" ht="15.75" customHeight="1">
      <c r="A459" s="26" t="s">
        <v>2517</v>
      </c>
      <c r="B459" s="26" t="s">
        <v>2518</v>
      </c>
      <c r="C459" s="26"/>
      <c r="D459" s="26" t="s">
        <v>50</v>
      </c>
      <c r="E459" s="26" t="s">
        <v>2519</v>
      </c>
      <c r="F459" s="26" t="s">
        <v>336</v>
      </c>
      <c r="G459" s="26" t="s">
        <v>75</v>
      </c>
      <c r="H459" s="26" t="s">
        <v>53</v>
      </c>
      <c r="I459" s="26" t="s">
        <v>189</v>
      </c>
      <c r="J459" s="26">
        <v>4.0</v>
      </c>
      <c r="K459" s="26" t="s">
        <v>136</v>
      </c>
      <c r="L459" s="26" t="s">
        <v>29</v>
      </c>
      <c r="M459" s="26" t="s">
        <v>95</v>
      </c>
      <c r="N459" s="26" t="s">
        <v>307</v>
      </c>
      <c r="O459" s="26">
        <v>2.0</v>
      </c>
    </row>
    <row r="460" ht="15.75" customHeight="1">
      <c r="A460" s="26" t="s">
        <v>2520</v>
      </c>
      <c r="B460" s="26" t="s">
        <v>2521</v>
      </c>
      <c r="C460" s="26" t="s">
        <v>429</v>
      </c>
      <c r="D460" s="26" t="s">
        <v>45</v>
      </c>
      <c r="E460" s="26" t="s">
        <v>2522</v>
      </c>
      <c r="F460" s="26" t="s">
        <v>768</v>
      </c>
      <c r="G460" s="26" t="s">
        <v>183</v>
      </c>
      <c r="H460" s="26" t="s">
        <v>46</v>
      </c>
      <c r="I460" s="26"/>
      <c r="J460" s="26">
        <v>0.0</v>
      </c>
      <c r="K460" s="26" t="s">
        <v>2523</v>
      </c>
      <c r="L460" s="26" t="s">
        <v>15</v>
      </c>
      <c r="M460" s="26" t="s">
        <v>81</v>
      </c>
      <c r="N460" s="26" t="s">
        <v>307</v>
      </c>
      <c r="O460" s="26">
        <v>4.0</v>
      </c>
    </row>
    <row r="461" ht="15.75" customHeight="1">
      <c r="A461" s="26" t="s">
        <v>2524</v>
      </c>
      <c r="B461" s="26" t="s">
        <v>2525</v>
      </c>
      <c r="C461" s="26"/>
      <c r="D461" s="26" t="s">
        <v>50</v>
      </c>
      <c r="E461" s="26" t="s">
        <v>2526</v>
      </c>
      <c r="F461" s="26" t="s">
        <v>847</v>
      </c>
      <c r="G461" s="26" t="s">
        <v>328</v>
      </c>
      <c r="H461" s="26" t="s">
        <v>49</v>
      </c>
      <c r="I461" s="26" t="s">
        <v>566</v>
      </c>
      <c r="J461" s="26">
        <v>2.0</v>
      </c>
      <c r="K461" s="26" t="s">
        <v>2527</v>
      </c>
      <c r="L461" s="26" t="s">
        <v>15</v>
      </c>
      <c r="M461" s="26" t="s">
        <v>81</v>
      </c>
      <c r="N461" s="26" t="s">
        <v>307</v>
      </c>
      <c r="O461" s="26">
        <v>5.0</v>
      </c>
    </row>
    <row r="462" ht="15.75" customHeight="1">
      <c r="A462" s="26" t="s">
        <v>2528</v>
      </c>
      <c r="B462" s="26" t="s">
        <v>2529</v>
      </c>
      <c r="C462" s="26"/>
      <c r="D462" s="26" t="s">
        <v>45</v>
      </c>
      <c r="E462" s="26" t="s">
        <v>2530</v>
      </c>
      <c r="F462" s="26" t="s">
        <v>799</v>
      </c>
      <c r="G462" s="26" t="s">
        <v>130</v>
      </c>
      <c r="H462" s="26" t="s">
        <v>34</v>
      </c>
      <c r="I462" s="26" t="s">
        <v>140</v>
      </c>
      <c r="J462" s="26">
        <v>3.0</v>
      </c>
      <c r="K462" s="26" t="s">
        <v>2266</v>
      </c>
      <c r="L462" s="26" t="s">
        <v>15</v>
      </c>
      <c r="M462" s="26" t="s">
        <v>81</v>
      </c>
      <c r="N462" s="26" t="s">
        <v>307</v>
      </c>
      <c r="O462" s="26">
        <v>4.0</v>
      </c>
    </row>
    <row r="463" ht="15.75" customHeight="1">
      <c r="A463" s="26" t="s">
        <v>2531</v>
      </c>
      <c r="B463" s="26" t="s">
        <v>2532</v>
      </c>
      <c r="C463" s="26"/>
      <c r="D463" s="26" t="s">
        <v>59</v>
      </c>
      <c r="E463" s="26" t="s">
        <v>2533</v>
      </c>
      <c r="F463" s="26" t="s">
        <v>372</v>
      </c>
      <c r="G463" s="26" t="s">
        <v>373</v>
      </c>
      <c r="H463" s="26" t="s">
        <v>34</v>
      </c>
      <c r="I463" s="26" t="s">
        <v>843</v>
      </c>
      <c r="J463" s="26">
        <v>2.0</v>
      </c>
      <c r="K463" s="26" t="s">
        <v>2534</v>
      </c>
      <c r="L463" s="26" t="s">
        <v>15</v>
      </c>
      <c r="M463" s="26" t="s">
        <v>81</v>
      </c>
      <c r="N463" s="26" t="s">
        <v>307</v>
      </c>
      <c r="O463" s="26">
        <v>2.0</v>
      </c>
    </row>
    <row r="464" ht="15.75" customHeight="1">
      <c r="A464" s="26" t="s">
        <v>2535</v>
      </c>
      <c r="B464" s="26" t="s">
        <v>2536</v>
      </c>
      <c r="C464" s="26"/>
      <c r="D464" s="26" t="s">
        <v>36</v>
      </c>
      <c r="E464" s="26" t="s">
        <v>2537</v>
      </c>
      <c r="F464" s="26" t="s">
        <v>681</v>
      </c>
      <c r="G464" s="26" t="s">
        <v>58</v>
      </c>
      <c r="H464" s="26" t="s">
        <v>49</v>
      </c>
      <c r="I464" s="26"/>
      <c r="J464" s="26">
        <v>1.0</v>
      </c>
      <c r="K464" s="26" t="s">
        <v>214</v>
      </c>
      <c r="L464" s="26" t="s">
        <v>19</v>
      </c>
      <c r="M464" s="26" t="s">
        <v>87</v>
      </c>
      <c r="N464" s="26" t="s">
        <v>307</v>
      </c>
      <c r="O464" s="26">
        <v>2.0</v>
      </c>
    </row>
    <row r="465" ht="15.75" customHeight="1">
      <c r="A465" s="26" t="s">
        <v>2538</v>
      </c>
      <c r="B465" s="26" t="s">
        <v>2539</v>
      </c>
      <c r="C465" s="26"/>
      <c r="D465" s="26" t="s">
        <v>45</v>
      </c>
      <c r="E465" s="26" t="s">
        <v>2540</v>
      </c>
      <c r="F465" s="26" t="s">
        <v>799</v>
      </c>
      <c r="G465" s="26" t="s">
        <v>130</v>
      </c>
      <c r="H465" s="26" t="s">
        <v>34</v>
      </c>
      <c r="I465" s="26"/>
      <c r="J465" s="26">
        <v>1.0</v>
      </c>
      <c r="K465" s="26" t="s">
        <v>2266</v>
      </c>
      <c r="L465" s="26" t="s">
        <v>15</v>
      </c>
      <c r="M465" s="26" t="s">
        <v>81</v>
      </c>
      <c r="N465" s="26" t="s">
        <v>307</v>
      </c>
      <c r="O465" s="26">
        <v>4.0</v>
      </c>
    </row>
    <row r="466" ht="15.75" customHeight="1">
      <c r="A466" s="26" t="s">
        <v>2541</v>
      </c>
      <c r="B466" s="26" t="s">
        <v>2542</v>
      </c>
      <c r="C466" s="26"/>
      <c r="D466" s="26" t="s">
        <v>36</v>
      </c>
      <c r="E466" s="26" t="s">
        <v>213</v>
      </c>
      <c r="F466" s="26" t="s">
        <v>2150</v>
      </c>
      <c r="G466" s="26" t="s">
        <v>104</v>
      </c>
      <c r="H466" s="26" t="s">
        <v>49</v>
      </c>
      <c r="I466" s="26"/>
      <c r="J466" s="26">
        <v>1.0</v>
      </c>
      <c r="K466" s="26" t="s">
        <v>214</v>
      </c>
      <c r="L466" s="26" t="s">
        <v>19</v>
      </c>
      <c r="M466" s="26" t="s">
        <v>87</v>
      </c>
      <c r="N466" s="26" t="s">
        <v>307</v>
      </c>
      <c r="O466" s="26">
        <v>2.0</v>
      </c>
    </row>
    <row r="467" ht="15.75" customHeight="1">
      <c r="A467" s="26" t="s">
        <v>2543</v>
      </c>
      <c r="B467" s="26" t="s">
        <v>2544</v>
      </c>
      <c r="C467" s="26"/>
      <c r="D467" s="26" t="s">
        <v>48</v>
      </c>
      <c r="E467" s="26" t="s">
        <v>2545</v>
      </c>
      <c r="F467" s="26" t="s">
        <v>973</v>
      </c>
      <c r="G467" s="26" t="s">
        <v>299</v>
      </c>
      <c r="H467" s="26" t="s">
        <v>34</v>
      </c>
      <c r="I467" s="26" t="s">
        <v>248</v>
      </c>
      <c r="J467" s="26">
        <v>2.0</v>
      </c>
      <c r="K467" s="26" t="s">
        <v>2546</v>
      </c>
      <c r="L467" s="26" t="s">
        <v>15</v>
      </c>
      <c r="M467" s="26" t="s">
        <v>81</v>
      </c>
      <c r="N467" s="26" t="s">
        <v>307</v>
      </c>
      <c r="O467" s="26">
        <v>5.0</v>
      </c>
    </row>
    <row r="468" ht="15.75" customHeight="1">
      <c r="A468" s="26" t="s">
        <v>2547</v>
      </c>
      <c r="B468" s="26" t="s">
        <v>2548</v>
      </c>
      <c r="C468" s="26"/>
      <c r="D468" s="26" t="s">
        <v>48</v>
      </c>
      <c r="E468" s="26" t="s">
        <v>2549</v>
      </c>
      <c r="F468" s="26" t="s">
        <v>366</v>
      </c>
      <c r="G468" s="26" t="s">
        <v>258</v>
      </c>
      <c r="H468" s="26" t="s">
        <v>61</v>
      </c>
      <c r="I468" s="26" t="s">
        <v>248</v>
      </c>
      <c r="J468" s="26">
        <v>3.0</v>
      </c>
      <c r="K468" s="26" t="s">
        <v>2550</v>
      </c>
      <c r="L468" s="26" t="s">
        <v>15</v>
      </c>
      <c r="M468" s="26" t="s">
        <v>81</v>
      </c>
      <c r="N468" s="26" t="s">
        <v>307</v>
      </c>
      <c r="O468" s="26">
        <v>5.0</v>
      </c>
    </row>
    <row r="469" ht="15.75" customHeight="1">
      <c r="A469" s="26" t="s">
        <v>2551</v>
      </c>
      <c r="B469" s="26" t="s">
        <v>2552</v>
      </c>
      <c r="C469" s="26"/>
      <c r="D469" s="26" t="s">
        <v>36</v>
      </c>
      <c r="E469" s="26" t="s">
        <v>2553</v>
      </c>
      <c r="F469" s="26" t="s">
        <v>315</v>
      </c>
      <c r="G469" s="26" t="s">
        <v>47</v>
      </c>
      <c r="H469" s="26" t="s">
        <v>34</v>
      </c>
      <c r="I469" s="26" t="s">
        <v>108</v>
      </c>
      <c r="J469" s="26">
        <v>2.0</v>
      </c>
      <c r="K469" s="26" t="s">
        <v>2554</v>
      </c>
      <c r="L469" s="26" t="s">
        <v>15</v>
      </c>
      <c r="M469" s="26" t="s">
        <v>81</v>
      </c>
      <c r="N469" s="26" t="s">
        <v>307</v>
      </c>
      <c r="O469" s="26">
        <v>5.0</v>
      </c>
    </row>
    <row r="470" ht="15.75" customHeight="1">
      <c r="A470" s="26" t="s">
        <v>2555</v>
      </c>
      <c r="B470" s="26" t="s">
        <v>2556</v>
      </c>
      <c r="C470" s="26"/>
      <c r="D470" s="26" t="s">
        <v>48</v>
      </c>
      <c r="E470" s="26" t="s">
        <v>2557</v>
      </c>
      <c r="F470" s="26" t="s">
        <v>984</v>
      </c>
      <c r="G470" s="26" t="s">
        <v>265</v>
      </c>
      <c r="H470" s="26" t="s">
        <v>34</v>
      </c>
      <c r="I470" s="26" t="s">
        <v>313</v>
      </c>
      <c r="J470" s="26">
        <v>2.0</v>
      </c>
      <c r="K470" s="26" t="s">
        <v>2558</v>
      </c>
      <c r="L470" s="26" t="s">
        <v>15</v>
      </c>
      <c r="M470" s="26" t="s">
        <v>81</v>
      </c>
      <c r="N470" s="26" t="s">
        <v>307</v>
      </c>
      <c r="O470" s="26">
        <v>4.0</v>
      </c>
    </row>
    <row r="471" ht="15.75" customHeight="1">
      <c r="A471" s="26" t="s">
        <v>2559</v>
      </c>
      <c r="B471" s="26" t="s">
        <v>2560</v>
      </c>
      <c r="C471" s="26"/>
      <c r="D471" s="26" t="s">
        <v>45</v>
      </c>
      <c r="E471" s="26" t="s">
        <v>2561</v>
      </c>
      <c r="F471" s="26" t="s">
        <v>1237</v>
      </c>
      <c r="G471" s="26" t="s">
        <v>166</v>
      </c>
      <c r="H471" s="26" t="s">
        <v>46</v>
      </c>
      <c r="I471" s="26"/>
      <c r="J471" s="26">
        <v>1.0</v>
      </c>
      <c r="K471" s="26" t="s">
        <v>2562</v>
      </c>
      <c r="L471" s="26" t="s">
        <v>15</v>
      </c>
      <c r="M471" s="26" t="s">
        <v>81</v>
      </c>
      <c r="N471" s="26" t="s">
        <v>307</v>
      </c>
      <c r="O471" s="26">
        <v>3.0</v>
      </c>
    </row>
    <row r="472" ht="15.75" customHeight="1">
      <c r="A472" s="26" t="s">
        <v>2563</v>
      </c>
      <c r="B472" s="26" t="s">
        <v>2564</v>
      </c>
      <c r="C472" s="26"/>
      <c r="D472" s="26" t="s">
        <v>45</v>
      </c>
      <c r="E472" s="26" t="s">
        <v>2565</v>
      </c>
      <c r="F472" s="26" t="s">
        <v>799</v>
      </c>
      <c r="G472" s="26" t="s">
        <v>130</v>
      </c>
      <c r="H472" s="26" t="s">
        <v>34</v>
      </c>
      <c r="I472" s="26" t="s">
        <v>143</v>
      </c>
      <c r="J472" s="26">
        <v>2.0</v>
      </c>
      <c r="K472" s="26" t="s">
        <v>2566</v>
      </c>
      <c r="L472" s="26" t="s">
        <v>15</v>
      </c>
      <c r="M472" s="26" t="s">
        <v>81</v>
      </c>
      <c r="N472" s="26" t="s">
        <v>307</v>
      </c>
      <c r="O472" s="26">
        <v>3.0</v>
      </c>
    </row>
    <row r="473" ht="15.75" customHeight="1">
      <c r="A473" s="26" t="s">
        <v>2567</v>
      </c>
      <c r="B473" s="26" t="s">
        <v>2568</v>
      </c>
      <c r="C473" s="26"/>
      <c r="D473" s="26" t="s">
        <v>36</v>
      </c>
      <c r="E473" s="26" t="s">
        <v>2569</v>
      </c>
      <c r="F473" s="26" t="s">
        <v>485</v>
      </c>
      <c r="G473" s="26" t="s">
        <v>92</v>
      </c>
      <c r="H473" s="26" t="s">
        <v>52</v>
      </c>
      <c r="I473" s="26"/>
      <c r="J473" s="26">
        <v>1.0</v>
      </c>
      <c r="K473" s="26" t="s">
        <v>136</v>
      </c>
      <c r="L473" s="26" t="s">
        <v>29</v>
      </c>
      <c r="M473" s="26" t="s">
        <v>95</v>
      </c>
      <c r="N473" s="26" t="s">
        <v>307</v>
      </c>
      <c r="O473" s="26">
        <v>1.0</v>
      </c>
    </row>
    <row r="474" ht="15.75" customHeight="1">
      <c r="A474" s="26" t="s">
        <v>2570</v>
      </c>
      <c r="B474" s="26" t="s">
        <v>2571</v>
      </c>
      <c r="C474" s="26"/>
      <c r="D474" s="26" t="s">
        <v>36</v>
      </c>
      <c r="E474" s="26" t="s">
        <v>2572</v>
      </c>
      <c r="F474" s="26" t="s">
        <v>485</v>
      </c>
      <c r="G474" s="26" t="s">
        <v>92</v>
      </c>
      <c r="H474" s="26" t="s">
        <v>52</v>
      </c>
      <c r="I474" s="26"/>
      <c r="J474" s="26">
        <v>1.0</v>
      </c>
      <c r="K474" s="26" t="s">
        <v>136</v>
      </c>
      <c r="L474" s="26" t="s">
        <v>29</v>
      </c>
      <c r="M474" s="26" t="s">
        <v>95</v>
      </c>
      <c r="N474" s="26" t="s">
        <v>307</v>
      </c>
      <c r="O474" s="26">
        <v>1.0</v>
      </c>
    </row>
    <row r="475" ht="15.75" customHeight="1">
      <c r="A475" s="26" t="s">
        <v>2573</v>
      </c>
      <c r="B475" s="26" t="s">
        <v>2574</v>
      </c>
      <c r="C475" s="26"/>
      <c r="D475" s="26" t="s">
        <v>59</v>
      </c>
      <c r="E475" s="26" t="s">
        <v>2575</v>
      </c>
      <c r="F475" s="26" t="s">
        <v>372</v>
      </c>
      <c r="G475" s="26" t="s">
        <v>373</v>
      </c>
      <c r="H475" s="26" t="s">
        <v>34</v>
      </c>
      <c r="I475" s="26"/>
      <c r="J475" s="26">
        <v>1.0</v>
      </c>
      <c r="K475" s="26" t="s">
        <v>2576</v>
      </c>
      <c r="L475" s="26" t="s">
        <v>15</v>
      </c>
      <c r="M475" s="26" t="s">
        <v>81</v>
      </c>
      <c r="N475" s="26" t="s">
        <v>307</v>
      </c>
      <c r="O475" s="26">
        <v>1.0</v>
      </c>
    </row>
    <row r="476" ht="15.75" customHeight="1">
      <c r="A476" s="26" t="s">
        <v>2577</v>
      </c>
      <c r="B476" s="26" t="s">
        <v>2578</v>
      </c>
      <c r="C476" s="26"/>
      <c r="D476" s="26" t="s">
        <v>45</v>
      </c>
      <c r="E476" s="26" t="s">
        <v>2579</v>
      </c>
      <c r="F476" s="26" t="s">
        <v>303</v>
      </c>
      <c r="G476" s="26" t="s">
        <v>140</v>
      </c>
      <c r="H476" s="26" t="s">
        <v>34</v>
      </c>
      <c r="I476" s="26" t="s">
        <v>169</v>
      </c>
      <c r="J476" s="26">
        <v>2.0</v>
      </c>
      <c r="K476" s="26" t="s">
        <v>2266</v>
      </c>
      <c r="L476" s="26" t="s">
        <v>15</v>
      </c>
      <c r="M476" s="26" t="s">
        <v>81</v>
      </c>
      <c r="N476" s="26" t="s">
        <v>307</v>
      </c>
      <c r="O476" s="26">
        <v>3.0</v>
      </c>
    </row>
    <row r="477" ht="15.75" customHeight="1">
      <c r="A477" s="26" t="s">
        <v>2580</v>
      </c>
      <c r="B477" s="26" t="s">
        <v>2581</v>
      </c>
      <c r="C477" s="26" t="s">
        <v>312</v>
      </c>
      <c r="D477" s="26" t="s">
        <v>50</v>
      </c>
      <c r="E477" s="26" t="s">
        <v>2582</v>
      </c>
      <c r="F477" s="26" t="s">
        <v>1309</v>
      </c>
      <c r="G477" s="26" t="s">
        <v>245</v>
      </c>
      <c r="H477" s="26" t="s">
        <v>57</v>
      </c>
      <c r="I477" s="26" t="s">
        <v>566</v>
      </c>
      <c r="J477" s="26">
        <v>2.0</v>
      </c>
      <c r="K477" s="26" t="s">
        <v>1644</v>
      </c>
      <c r="L477" s="26" t="s">
        <v>15</v>
      </c>
      <c r="M477" s="26" t="s">
        <v>81</v>
      </c>
      <c r="N477" s="26" t="s">
        <v>307</v>
      </c>
      <c r="O477" s="26">
        <v>4.0</v>
      </c>
    </row>
    <row r="478" ht="15.75" customHeight="1">
      <c r="A478" s="26" t="s">
        <v>2583</v>
      </c>
      <c r="B478" s="26" t="s">
        <v>2584</v>
      </c>
      <c r="C478" s="26"/>
      <c r="D478" s="26" t="s">
        <v>45</v>
      </c>
      <c r="E478" s="26" t="s">
        <v>2585</v>
      </c>
      <c r="F478" s="26" t="s">
        <v>303</v>
      </c>
      <c r="G478" s="26" t="s">
        <v>140</v>
      </c>
      <c r="H478" s="26" t="s">
        <v>34</v>
      </c>
      <c r="I478" s="26" t="s">
        <v>143</v>
      </c>
      <c r="J478" s="26">
        <v>3.0</v>
      </c>
      <c r="K478" s="26" t="s">
        <v>2266</v>
      </c>
      <c r="L478" s="26" t="s">
        <v>15</v>
      </c>
      <c r="M478" s="26" t="s">
        <v>81</v>
      </c>
      <c r="N478" s="26" t="s">
        <v>307</v>
      </c>
      <c r="O478" s="26">
        <v>3.0</v>
      </c>
    </row>
    <row r="479" ht="15.75" customHeight="1">
      <c r="A479" s="26" t="s">
        <v>2586</v>
      </c>
      <c r="B479" s="26" t="s">
        <v>2587</v>
      </c>
      <c r="C479" s="26"/>
      <c r="D479" s="26" t="s">
        <v>59</v>
      </c>
      <c r="E479" s="26" t="s">
        <v>2588</v>
      </c>
      <c r="F479" s="26" t="s">
        <v>372</v>
      </c>
      <c r="G479" s="26" t="s">
        <v>373</v>
      </c>
      <c r="H479" s="26" t="s">
        <v>34</v>
      </c>
      <c r="I479" s="26" t="s">
        <v>656</v>
      </c>
      <c r="J479" s="26">
        <v>2.0</v>
      </c>
      <c r="K479" s="26" t="s">
        <v>1415</v>
      </c>
      <c r="L479" s="26" t="s">
        <v>15</v>
      </c>
      <c r="M479" s="26" t="s">
        <v>81</v>
      </c>
      <c r="N479" s="26" t="s">
        <v>307</v>
      </c>
      <c r="O479" s="26">
        <v>4.0</v>
      </c>
    </row>
    <row r="480" ht="15.75" customHeight="1">
      <c r="A480" s="26" t="s">
        <v>2589</v>
      </c>
      <c r="B480" s="26" t="s">
        <v>2590</v>
      </c>
      <c r="C480" s="26"/>
      <c r="D480" s="26" t="s">
        <v>54</v>
      </c>
      <c r="E480" s="26" t="s">
        <v>2591</v>
      </c>
      <c r="F480" s="26" t="s">
        <v>432</v>
      </c>
      <c r="G480" s="26" t="s">
        <v>182</v>
      </c>
      <c r="H480" s="26" t="s">
        <v>34</v>
      </c>
      <c r="I480" s="26" t="s">
        <v>217</v>
      </c>
      <c r="J480" s="26">
        <v>2.0</v>
      </c>
      <c r="K480" s="26" t="s">
        <v>793</v>
      </c>
      <c r="L480" s="26" t="s">
        <v>15</v>
      </c>
      <c r="M480" s="26" t="s">
        <v>81</v>
      </c>
      <c r="N480" s="26" t="s">
        <v>307</v>
      </c>
      <c r="O480" s="26">
        <v>2.0</v>
      </c>
    </row>
    <row r="481" ht="15.75" customHeight="1">
      <c r="A481" s="26" t="s">
        <v>2592</v>
      </c>
      <c r="B481" s="26" t="s">
        <v>2593</v>
      </c>
      <c r="C481" s="26"/>
      <c r="D481" s="26" t="s">
        <v>45</v>
      </c>
      <c r="E481" s="26" t="s">
        <v>2594</v>
      </c>
      <c r="F481" s="26" t="s">
        <v>799</v>
      </c>
      <c r="G481" s="26" t="s">
        <v>130</v>
      </c>
      <c r="H481" s="26" t="s">
        <v>34</v>
      </c>
      <c r="I481" s="26" t="s">
        <v>166</v>
      </c>
      <c r="J481" s="26">
        <v>3.0</v>
      </c>
      <c r="K481" s="26" t="s">
        <v>136</v>
      </c>
      <c r="L481" s="26" t="s">
        <v>29</v>
      </c>
      <c r="M481" s="26" t="s">
        <v>95</v>
      </c>
      <c r="N481" s="26" t="s">
        <v>307</v>
      </c>
      <c r="O481" s="26">
        <v>2.0</v>
      </c>
    </row>
    <row r="482" ht="15.75" customHeight="1">
      <c r="A482" s="26" t="s">
        <v>2595</v>
      </c>
      <c r="B482" s="26" t="s">
        <v>2596</v>
      </c>
      <c r="C482" s="26" t="s">
        <v>363</v>
      </c>
      <c r="D482" s="26" t="s">
        <v>69</v>
      </c>
      <c r="E482" s="26" t="s">
        <v>2597</v>
      </c>
      <c r="F482" s="26" t="s">
        <v>1448</v>
      </c>
      <c r="G482" s="26" t="s">
        <v>1060</v>
      </c>
      <c r="H482" s="26" t="s">
        <v>49</v>
      </c>
      <c r="I482" s="26" t="s">
        <v>197</v>
      </c>
      <c r="J482" s="26">
        <v>3.0</v>
      </c>
      <c r="K482" s="26" t="s">
        <v>1062</v>
      </c>
      <c r="L482" s="26" t="s">
        <v>15</v>
      </c>
      <c r="M482" s="26" t="s">
        <v>81</v>
      </c>
      <c r="N482" s="26" t="s">
        <v>307</v>
      </c>
      <c r="O482" s="26">
        <v>1.0</v>
      </c>
    </row>
    <row r="483" ht="15.75" customHeight="1">
      <c r="A483" s="26" t="s">
        <v>2598</v>
      </c>
      <c r="B483" s="26" t="s">
        <v>2599</v>
      </c>
      <c r="C483" s="26"/>
      <c r="D483" s="26" t="s">
        <v>59</v>
      </c>
      <c r="E483" s="26" t="s">
        <v>840</v>
      </c>
      <c r="F483" s="26" t="s">
        <v>372</v>
      </c>
      <c r="G483" s="26" t="s">
        <v>373</v>
      </c>
      <c r="H483" s="26" t="s">
        <v>34</v>
      </c>
      <c r="I483" s="26" t="s">
        <v>843</v>
      </c>
      <c r="J483" s="26">
        <v>2.0</v>
      </c>
      <c r="K483" s="26" t="s">
        <v>2600</v>
      </c>
      <c r="L483" s="26" t="s">
        <v>15</v>
      </c>
      <c r="M483" s="26" t="s">
        <v>81</v>
      </c>
      <c r="N483" s="26" t="s">
        <v>307</v>
      </c>
      <c r="O483" s="26">
        <v>1.0</v>
      </c>
    </row>
    <row r="484" ht="15.75" customHeight="1">
      <c r="A484" s="26" t="s">
        <v>2601</v>
      </c>
      <c r="B484" s="26" t="s">
        <v>2599</v>
      </c>
      <c r="C484" s="26"/>
      <c r="D484" s="26" t="s">
        <v>36</v>
      </c>
      <c r="E484" s="26" t="s">
        <v>2602</v>
      </c>
      <c r="F484" s="26" t="s">
        <v>1292</v>
      </c>
      <c r="G484" s="26" t="s">
        <v>65</v>
      </c>
      <c r="H484" s="26" t="s">
        <v>34</v>
      </c>
      <c r="I484" s="26" t="s">
        <v>121</v>
      </c>
      <c r="J484" s="26">
        <v>3.0</v>
      </c>
      <c r="K484" s="26" t="s">
        <v>2603</v>
      </c>
      <c r="L484" s="26" t="s">
        <v>15</v>
      </c>
      <c r="M484" s="26" t="s">
        <v>81</v>
      </c>
      <c r="N484" s="26" t="s">
        <v>307</v>
      </c>
      <c r="O484" s="26">
        <v>3.0</v>
      </c>
    </row>
    <row r="485" ht="15.75" customHeight="1">
      <c r="A485" s="26" t="s">
        <v>2604</v>
      </c>
      <c r="B485" s="26" t="s">
        <v>2605</v>
      </c>
      <c r="C485" s="26" t="s">
        <v>300</v>
      </c>
      <c r="D485" s="26" t="s">
        <v>54</v>
      </c>
      <c r="E485" s="26" t="s">
        <v>745</v>
      </c>
      <c r="F485" s="26" t="s">
        <v>644</v>
      </c>
      <c r="G485" s="26" t="s">
        <v>217</v>
      </c>
      <c r="H485" s="26" t="s">
        <v>52</v>
      </c>
      <c r="I485" s="26"/>
      <c r="J485" s="26">
        <v>1.0</v>
      </c>
      <c r="K485" s="26" t="s">
        <v>557</v>
      </c>
      <c r="L485" s="26" t="s">
        <v>15</v>
      </c>
      <c r="M485" s="26" t="s">
        <v>81</v>
      </c>
      <c r="N485" s="26" t="s">
        <v>307</v>
      </c>
      <c r="O485" s="26">
        <v>1.0</v>
      </c>
    </row>
    <row r="486" ht="15.75" customHeight="1">
      <c r="A486" s="26" t="s">
        <v>2606</v>
      </c>
      <c r="B486" s="26" t="s">
        <v>2607</v>
      </c>
      <c r="C486" s="26" t="s">
        <v>312</v>
      </c>
      <c r="D486" s="26" t="s">
        <v>62</v>
      </c>
      <c r="E486" s="26" t="s">
        <v>2608</v>
      </c>
      <c r="F486" s="26" t="s">
        <v>1813</v>
      </c>
      <c r="G486" s="26" t="s">
        <v>107</v>
      </c>
      <c r="H486" s="26" t="s">
        <v>46</v>
      </c>
      <c r="I486" s="26" t="s">
        <v>119</v>
      </c>
      <c r="J486" s="26">
        <v>2.0</v>
      </c>
      <c r="K486" s="26" t="s">
        <v>136</v>
      </c>
      <c r="L486" s="26" t="s">
        <v>29</v>
      </c>
      <c r="M486" s="26" t="s">
        <v>95</v>
      </c>
      <c r="N486" s="26" t="s">
        <v>307</v>
      </c>
      <c r="O486" s="26">
        <v>1.0</v>
      </c>
    </row>
    <row r="487" ht="15.75" customHeight="1">
      <c r="A487" s="26" t="s">
        <v>2609</v>
      </c>
      <c r="B487" s="26" t="s">
        <v>2610</v>
      </c>
      <c r="C487" s="26"/>
      <c r="D487" s="26" t="s">
        <v>72</v>
      </c>
      <c r="E487" s="26" t="s">
        <v>2611</v>
      </c>
      <c r="F487" s="26" t="s">
        <v>2422</v>
      </c>
      <c r="G487" s="26" t="s">
        <v>90</v>
      </c>
      <c r="H487" s="26" t="s">
        <v>34</v>
      </c>
      <c r="I487" s="26" t="s">
        <v>1133</v>
      </c>
      <c r="J487" s="26">
        <v>2.0</v>
      </c>
      <c r="K487" s="26" t="s">
        <v>2612</v>
      </c>
      <c r="L487" s="26" t="s">
        <v>15</v>
      </c>
      <c r="M487" s="26" t="s">
        <v>81</v>
      </c>
      <c r="N487" s="26" t="s">
        <v>307</v>
      </c>
      <c r="O487" s="26">
        <v>5.0</v>
      </c>
    </row>
    <row r="488" ht="15.75" customHeight="1">
      <c r="A488" s="26" t="s">
        <v>2613</v>
      </c>
      <c r="B488" s="26" t="s">
        <v>2614</v>
      </c>
      <c r="C488" s="26"/>
      <c r="D488" s="26" t="s">
        <v>48</v>
      </c>
      <c r="E488" s="26" t="s">
        <v>2615</v>
      </c>
      <c r="F488" s="26" t="s">
        <v>366</v>
      </c>
      <c r="G488" s="26" t="s">
        <v>258</v>
      </c>
      <c r="H488" s="26" t="s">
        <v>61</v>
      </c>
      <c r="I488" s="26" t="s">
        <v>313</v>
      </c>
      <c r="J488" s="26">
        <v>2.0</v>
      </c>
      <c r="K488" s="26" t="s">
        <v>2616</v>
      </c>
      <c r="L488" s="26" t="s">
        <v>19</v>
      </c>
      <c r="M488" s="26" t="s">
        <v>66</v>
      </c>
      <c r="N488" s="26" t="s">
        <v>307</v>
      </c>
      <c r="O488" s="26">
        <v>3.0</v>
      </c>
    </row>
    <row r="489" ht="15.75" customHeight="1">
      <c r="A489" s="26" t="s">
        <v>2617</v>
      </c>
      <c r="B489" s="26" t="s">
        <v>2618</v>
      </c>
      <c r="C489" s="26"/>
      <c r="D489" s="26" t="s">
        <v>36</v>
      </c>
      <c r="E489" s="26" t="s">
        <v>2619</v>
      </c>
      <c r="F489" s="26" t="s">
        <v>2150</v>
      </c>
      <c r="G489" s="26" t="s">
        <v>104</v>
      </c>
      <c r="H489" s="26" t="s">
        <v>49</v>
      </c>
      <c r="I489" s="26" t="s">
        <v>92</v>
      </c>
      <c r="J489" s="26">
        <v>2.0</v>
      </c>
      <c r="K489" s="26" t="s">
        <v>214</v>
      </c>
      <c r="L489" s="26" t="s">
        <v>19</v>
      </c>
      <c r="M489" s="26" t="s">
        <v>87</v>
      </c>
      <c r="N489" s="26" t="s">
        <v>307</v>
      </c>
      <c r="O489" s="26">
        <v>3.0</v>
      </c>
    </row>
    <row r="490" ht="15.75" customHeight="1">
      <c r="A490" s="26" t="s">
        <v>2620</v>
      </c>
      <c r="B490" s="26" t="s">
        <v>2621</v>
      </c>
      <c r="C490" s="26"/>
      <c r="D490" s="26" t="s">
        <v>36</v>
      </c>
      <c r="E490" s="26" t="s">
        <v>2622</v>
      </c>
      <c r="F490" s="26" t="s">
        <v>1292</v>
      </c>
      <c r="G490" s="26" t="s">
        <v>65</v>
      </c>
      <c r="H490" s="26" t="s">
        <v>34</v>
      </c>
      <c r="I490" s="26" t="s">
        <v>92</v>
      </c>
      <c r="J490" s="26">
        <v>2.0</v>
      </c>
      <c r="K490" s="26" t="s">
        <v>2623</v>
      </c>
      <c r="L490" s="26" t="s">
        <v>15</v>
      </c>
      <c r="M490" s="26" t="s">
        <v>81</v>
      </c>
      <c r="N490" s="26" t="s">
        <v>307</v>
      </c>
      <c r="O490" s="26">
        <v>3.0</v>
      </c>
    </row>
    <row r="491" ht="15.75" customHeight="1">
      <c r="A491" s="26" t="s">
        <v>2624</v>
      </c>
      <c r="B491" s="26" t="s">
        <v>2625</v>
      </c>
      <c r="C491" s="26"/>
      <c r="D491" s="26" t="s">
        <v>59</v>
      </c>
      <c r="E491" s="26" t="s">
        <v>832</v>
      </c>
      <c r="F491" s="26" t="s">
        <v>372</v>
      </c>
      <c r="G491" s="26" t="s">
        <v>373</v>
      </c>
      <c r="H491" s="26" t="s">
        <v>34</v>
      </c>
      <c r="I491" s="26"/>
      <c r="J491" s="26">
        <v>1.0</v>
      </c>
      <c r="K491" s="26" t="s">
        <v>2626</v>
      </c>
      <c r="L491" s="26" t="s">
        <v>15</v>
      </c>
      <c r="M491" s="26" t="s">
        <v>81</v>
      </c>
      <c r="N491" s="26" t="s">
        <v>307</v>
      </c>
      <c r="O491" s="26">
        <v>3.0</v>
      </c>
    </row>
    <row r="492" ht="15.75" customHeight="1">
      <c r="A492" s="26" t="s">
        <v>2627</v>
      </c>
      <c r="B492" s="26" t="s">
        <v>2628</v>
      </c>
      <c r="C492" s="26" t="s">
        <v>312</v>
      </c>
      <c r="D492" s="26" t="s">
        <v>69</v>
      </c>
      <c r="E492" s="26" t="s">
        <v>2608</v>
      </c>
      <c r="F492" s="26" t="s">
        <v>440</v>
      </c>
      <c r="G492" s="26" t="s">
        <v>83</v>
      </c>
      <c r="H492" s="26" t="s">
        <v>46</v>
      </c>
      <c r="I492" s="26"/>
      <c r="J492" s="26">
        <v>1.0</v>
      </c>
      <c r="K492" s="26" t="s">
        <v>136</v>
      </c>
      <c r="L492" s="26" t="s">
        <v>29</v>
      </c>
      <c r="M492" s="26" t="s">
        <v>95</v>
      </c>
      <c r="N492" s="26" t="s">
        <v>307</v>
      </c>
      <c r="O492" s="26">
        <v>1.0</v>
      </c>
    </row>
    <row r="493" ht="15.75" customHeight="1">
      <c r="A493" s="26" t="s">
        <v>2629</v>
      </c>
      <c r="B493" s="26" t="s">
        <v>2630</v>
      </c>
      <c r="C493" s="26"/>
      <c r="D493" s="26" t="s">
        <v>36</v>
      </c>
      <c r="E493" s="26" t="s">
        <v>2631</v>
      </c>
      <c r="F493" s="26" t="s">
        <v>663</v>
      </c>
      <c r="G493" s="26" t="s">
        <v>44</v>
      </c>
      <c r="H493" s="26" t="s">
        <v>34</v>
      </c>
      <c r="I493" s="26" t="s">
        <v>101</v>
      </c>
      <c r="J493" s="26">
        <v>3.0</v>
      </c>
      <c r="K493" s="26" t="s">
        <v>2632</v>
      </c>
      <c r="L493" s="26" t="s">
        <v>19</v>
      </c>
      <c r="M493" s="26" t="s">
        <v>87</v>
      </c>
      <c r="N493" s="26" t="s">
        <v>307</v>
      </c>
      <c r="O493" s="26">
        <v>2.0</v>
      </c>
    </row>
    <row r="494" ht="15.75" customHeight="1">
      <c r="A494" s="26" t="s">
        <v>2633</v>
      </c>
      <c r="B494" s="26" t="s">
        <v>2634</v>
      </c>
      <c r="C494" s="26"/>
      <c r="D494" s="26" t="s">
        <v>59</v>
      </c>
      <c r="E494" s="26" t="s">
        <v>2635</v>
      </c>
      <c r="F494" s="26" t="s">
        <v>372</v>
      </c>
      <c r="G494" s="26" t="s">
        <v>373</v>
      </c>
      <c r="H494" s="26" t="s">
        <v>34</v>
      </c>
      <c r="I494" s="26"/>
      <c r="J494" s="26">
        <v>1.0</v>
      </c>
      <c r="K494" s="26" t="s">
        <v>2626</v>
      </c>
      <c r="L494" s="26" t="s">
        <v>15</v>
      </c>
      <c r="M494" s="26" t="s">
        <v>81</v>
      </c>
      <c r="N494" s="26" t="s">
        <v>307</v>
      </c>
      <c r="O494" s="26">
        <v>2.0</v>
      </c>
    </row>
    <row r="495" ht="15.75" customHeight="1">
      <c r="A495" s="26" t="s">
        <v>2636</v>
      </c>
      <c r="B495" s="26" t="s">
        <v>2637</v>
      </c>
      <c r="C495" s="26"/>
      <c r="D495" s="26" t="s">
        <v>36</v>
      </c>
      <c r="E495" s="26" t="s">
        <v>2638</v>
      </c>
      <c r="F495" s="26" t="s">
        <v>315</v>
      </c>
      <c r="G495" s="26" t="s">
        <v>47</v>
      </c>
      <c r="H495" s="26" t="s">
        <v>34</v>
      </c>
      <c r="I495" s="26"/>
      <c r="J495" s="26">
        <v>1.0</v>
      </c>
      <c r="K495" s="26" t="s">
        <v>2632</v>
      </c>
      <c r="L495" s="26" t="s">
        <v>15</v>
      </c>
      <c r="M495" s="26" t="s">
        <v>87</v>
      </c>
      <c r="N495" s="26" t="s">
        <v>307</v>
      </c>
      <c r="O495" s="26">
        <v>2.0</v>
      </c>
    </row>
    <row r="496" ht="15.75" customHeight="1">
      <c r="A496" s="26" t="s">
        <v>2639</v>
      </c>
      <c r="B496" s="26" t="s">
        <v>2640</v>
      </c>
      <c r="C496" s="26"/>
      <c r="D496" s="26" t="s">
        <v>48</v>
      </c>
      <c r="E496" s="26" t="s">
        <v>2641</v>
      </c>
      <c r="F496" s="26" t="s">
        <v>1684</v>
      </c>
      <c r="G496" s="26" t="s">
        <v>401</v>
      </c>
      <c r="H496" s="26" t="s">
        <v>61</v>
      </c>
      <c r="I496" s="26"/>
      <c r="J496" s="26">
        <v>1.0</v>
      </c>
      <c r="K496" s="26" t="s">
        <v>2642</v>
      </c>
      <c r="L496" s="26" t="s">
        <v>15</v>
      </c>
      <c r="M496" s="26" t="s">
        <v>81</v>
      </c>
      <c r="N496" s="26" t="s">
        <v>307</v>
      </c>
      <c r="O496" s="26">
        <v>2.0</v>
      </c>
    </row>
    <row r="497" ht="15.75" customHeight="1">
      <c r="A497" s="26" t="s">
        <v>2643</v>
      </c>
      <c r="B497" s="26" t="s">
        <v>2644</v>
      </c>
      <c r="C497" s="26" t="s">
        <v>300</v>
      </c>
      <c r="D497" s="26" t="s">
        <v>54</v>
      </c>
      <c r="E497" s="26" t="s">
        <v>2645</v>
      </c>
      <c r="F497" s="26" t="s">
        <v>347</v>
      </c>
      <c r="G497" s="26" t="s">
        <v>99</v>
      </c>
      <c r="H497" s="26" t="s">
        <v>49</v>
      </c>
      <c r="I497" s="26" t="s">
        <v>217</v>
      </c>
      <c r="J497" s="26">
        <v>2.0</v>
      </c>
      <c r="K497" s="26" t="s">
        <v>2646</v>
      </c>
      <c r="L497" s="26" t="s">
        <v>15</v>
      </c>
      <c r="M497" s="26" t="s">
        <v>81</v>
      </c>
      <c r="N497" s="26" t="s">
        <v>307</v>
      </c>
      <c r="O497" s="26">
        <v>1.0</v>
      </c>
    </row>
    <row r="498" ht="15.75" customHeight="1">
      <c r="A498" s="26" t="s">
        <v>2647</v>
      </c>
      <c r="B498" s="26" t="s">
        <v>2648</v>
      </c>
      <c r="C498" s="26" t="s">
        <v>300</v>
      </c>
      <c r="D498" s="26" t="s">
        <v>59</v>
      </c>
      <c r="E498" s="26" t="s">
        <v>2649</v>
      </c>
      <c r="F498" s="26" t="s">
        <v>1125</v>
      </c>
      <c r="G498" s="26" t="s">
        <v>113</v>
      </c>
      <c r="H498" s="26" t="s">
        <v>49</v>
      </c>
      <c r="I498" s="26" t="s">
        <v>373</v>
      </c>
      <c r="J498" s="26">
        <v>2.0</v>
      </c>
      <c r="K498" s="26" t="s">
        <v>2626</v>
      </c>
      <c r="L498" s="26" t="s">
        <v>15</v>
      </c>
      <c r="M498" s="26" t="s">
        <v>81</v>
      </c>
      <c r="N498" s="26" t="s">
        <v>307</v>
      </c>
      <c r="O498" s="26">
        <v>2.0</v>
      </c>
    </row>
    <row r="499" ht="15.75" customHeight="1">
      <c r="A499" s="26" t="s">
        <v>2650</v>
      </c>
      <c r="B499" s="26" t="s">
        <v>2651</v>
      </c>
      <c r="C499" s="26" t="s">
        <v>429</v>
      </c>
      <c r="D499" s="26" t="s">
        <v>59</v>
      </c>
      <c r="E499" s="26" t="s">
        <v>2652</v>
      </c>
      <c r="F499" s="26" t="s">
        <v>1125</v>
      </c>
      <c r="G499" s="26" t="s">
        <v>113</v>
      </c>
      <c r="H499" s="26" t="s">
        <v>49</v>
      </c>
      <c r="I499" s="26"/>
      <c r="J499" s="26">
        <v>1.0</v>
      </c>
      <c r="K499" s="26" t="s">
        <v>136</v>
      </c>
      <c r="L499" s="26" t="s">
        <v>29</v>
      </c>
      <c r="M499" s="26" t="s">
        <v>95</v>
      </c>
      <c r="N499" s="26" t="s">
        <v>307</v>
      </c>
      <c r="O499" s="26">
        <v>2.0</v>
      </c>
    </row>
    <row r="500" ht="15.75" customHeight="1">
      <c r="A500" s="26" t="s">
        <v>2653</v>
      </c>
      <c r="B500" s="26" t="s">
        <v>2654</v>
      </c>
      <c r="C500" s="26" t="s">
        <v>300</v>
      </c>
      <c r="D500" s="26" t="s">
        <v>54</v>
      </c>
      <c r="E500" s="26" t="s">
        <v>2655</v>
      </c>
      <c r="F500" s="26" t="s">
        <v>432</v>
      </c>
      <c r="G500" s="26" t="s">
        <v>182</v>
      </c>
      <c r="H500" s="26" t="s">
        <v>34</v>
      </c>
      <c r="I500" s="26" t="s">
        <v>520</v>
      </c>
      <c r="J500" s="26">
        <v>3.0</v>
      </c>
      <c r="K500" s="26" t="s">
        <v>136</v>
      </c>
      <c r="L500" s="26" t="s">
        <v>29</v>
      </c>
      <c r="M500" s="26" t="s">
        <v>95</v>
      </c>
      <c r="N500" s="26" t="s">
        <v>307</v>
      </c>
      <c r="O500" s="26">
        <v>1.0</v>
      </c>
    </row>
    <row r="501" ht="15.75" customHeight="1">
      <c r="A501" s="26" t="s">
        <v>2656</v>
      </c>
      <c r="B501" s="26" t="s">
        <v>2657</v>
      </c>
      <c r="C501" s="26" t="s">
        <v>363</v>
      </c>
      <c r="D501" s="26" t="s">
        <v>36</v>
      </c>
      <c r="E501" s="26" t="s">
        <v>2658</v>
      </c>
      <c r="F501" s="26" t="s">
        <v>485</v>
      </c>
      <c r="G501" s="26" t="s">
        <v>92</v>
      </c>
      <c r="H501" s="26" t="s">
        <v>52</v>
      </c>
      <c r="I501" s="26"/>
      <c r="J501" s="26">
        <v>1.0</v>
      </c>
      <c r="K501" s="26" t="s">
        <v>2623</v>
      </c>
      <c r="L501" s="26" t="s">
        <v>15</v>
      </c>
      <c r="M501" s="26" t="s">
        <v>81</v>
      </c>
      <c r="N501" s="26" t="s">
        <v>307</v>
      </c>
      <c r="O501" s="26">
        <v>2.0</v>
      </c>
    </row>
    <row r="502" ht="15.75" customHeight="1">
      <c r="A502" s="26" t="s">
        <v>2659</v>
      </c>
      <c r="B502" s="26" t="s">
        <v>2660</v>
      </c>
      <c r="C502" s="26" t="s">
        <v>892</v>
      </c>
      <c r="D502" s="26" t="s">
        <v>45</v>
      </c>
      <c r="E502" s="26" t="s">
        <v>256</v>
      </c>
      <c r="F502" s="26" t="s">
        <v>799</v>
      </c>
      <c r="G502" s="26" t="s">
        <v>130</v>
      </c>
      <c r="H502" s="26" t="s">
        <v>34</v>
      </c>
      <c r="I502" s="26"/>
      <c r="J502" s="26">
        <v>1.0</v>
      </c>
      <c r="K502" s="26" t="s">
        <v>2266</v>
      </c>
      <c r="L502" s="26" t="s">
        <v>15</v>
      </c>
      <c r="M502" s="26" t="s">
        <v>81</v>
      </c>
      <c r="N502" s="26" t="s">
        <v>307</v>
      </c>
      <c r="O502" s="26">
        <v>1.0</v>
      </c>
    </row>
    <row r="503" ht="15.75" customHeight="1">
      <c r="A503" s="26" t="s">
        <v>2661</v>
      </c>
      <c r="B503" s="26" t="s">
        <v>2662</v>
      </c>
      <c r="C503" s="26" t="s">
        <v>363</v>
      </c>
      <c r="D503" s="26" t="s">
        <v>45</v>
      </c>
      <c r="E503" s="26" t="s">
        <v>2663</v>
      </c>
      <c r="F503" s="26" t="s">
        <v>768</v>
      </c>
      <c r="G503" s="26" t="s">
        <v>183</v>
      </c>
      <c r="H503" s="26" t="s">
        <v>46</v>
      </c>
      <c r="I503" s="26"/>
      <c r="J503" s="26">
        <v>0.0</v>
      </c>
      <c r="K503" s="26" t="s">
        <v>136</v>
      </c>
      <c r="L503" s="26" t="s">
        <v>29</v>
      </c>
      <c r="M503" s="26" t="s">
        <v>95</v>
      </c>
      <c r="N503" s="26" t="s">
        <v>307</v>
      </c>
      <c r="O503" s="26">
        <v>1.0</v>
      </c>
    </row>
    <row r="504" ht="15.75" customHeight="1">
      <c r="A504" s="26" t="s">
        <v>2664</v>
      </c>
      <c r="B504" s="26" t="s">
        <v>2605</v>
      </c>
      <c r="C504" s="26" t="s">
        <v>312</v>
      </c>
      <c r="D504" s="26" t="s">
        <v>76</v>
      </c>
      <c r="E504" s="26" t="s">
        <v>2665</v>
      </c>
      <c r="F504" s="26" t="s">
        <v>2666</v>
      </c>
      <c r="G504" s="26" t="s">
        <v>1205</v>
      </c>
      <c r="H504" s="26" t="s">
        <v>49</v>
      </c>
      <c r="I504" s="26"/>
      <c r="J504" s="26">
        <v>1.0</v>
      </c>
      <c r="K504" s="26" t="s">
        <v>2667</v>
      </c>
      <c r="L504" s="26" t="s">
        <v>29</v>
      </c>
      <c r="M504" s="26" t="s">
        <v>95</v>
      </c>
      <c r="N504" s="26" t="s">
        <v>307</v>
      </c>
      <c r="O504" s="26">
        <v>0.0</v>
      </c>
    </row>
    <row r="505" ht="15.75" customHeight="1">
      <c r="A505" s="26" t="s">
        <v>2668</v>
      </c>
      <c r="B505" s="26" t="s">
        <v>2669</v>
      </c>
      <c r="C505" s="26" t="s">
        <v>312</v>
      </c>
      <c r="D505" s="26" t="s">
        <v>76</v>
      </c>
      <c r="E505" s="26" t="s">
        <v>2670</v>
      </c>
      <c r="F505" s="26" t="s">
        <v>2666</v>
      </c>
      <c r="G505" s="26" t="s">
        <v>1205</v>
      </c>
      <c r="H505" s="26" t="s">
        <v>49</v>
      </c>
      <c r="I505" s="26"/>
      <c r="J505" s="26">
        <v>1.0</v>
      </c>
      <c r="K505" s="26" t="s">
        <v>2671</v>
      </c>
      <c r="L505" s="26" t="s">
        <v>15</v>
      </c>
      <c r="M505" s="26" t="s">
        <v>81</v>
      </c>
      <c r="N505" s="26" t="s">
        <v>307</v>
      </c>
      <c r="O505" s="26">
        <v>2.0</v>
      </c>
    </row>
    <row r="506" ht="15.75" customHeight="1">
      <c r="A506" s="26" t="s">
        <v>2672</v>
      </c>
      <c r="B506" s="26" t="s">
        <v>2673</v>
      </c>
      <c r="C506" s="26" t="s">
        <v>363</v>
      </c>
      <c r="D506" s="26" t="s">
        <v>45</v>
      </c>
      <c r="E506" s="26" t="s">
        <v>2674</v>
      </c>
      <c r="F506" s="26" t="s">
        <v>799</v>
      </c>
      <c r="G506" s="26" t="s">
        <v>130</v>
      </c>
      <c r="H506" s="26" t="s">
        <v>34</v>
      </c>
      <c r="I506" s="26" t="s">
        <v>161</v>
      </c>
      <c r="J506" s="26">
        <v>2.0</v>
      </c>
      <c r="K506" s="26" t="s">
        <v>136</v>
      </c>
      <c r="L506" s="26" t="s">
        <v>29</v>
      </c>
      <c r="M506" s="26" t="s">
        <v>95</v>
      </c>
      <c r="N506" s="26" t="s">
        <v>307</v>
      </c>
      <c r="O506" s="26">
        <v>1.0</v>
      </c>
    </row>
    <row r="507" ht="15.75" customHeight="1">
      <c r="A507" s="26" t="s">
        <v>2675</v>
      </c>
      <c r="B507" s="26" t="s">
        <v>2676</v>
      </c>
      <c r="C507" s="26" t="s">
        <v>312</v>
      </c>
      <c r="D507" s="26" t="s">
        <v>36</v>
      </c>
      <c r="E507" s="26" t="s">
        <v>2608</v>
      </c>
      <c r="F507" s="26" t="s">
        <v>315</v>
      </c>
      <c r="G507" s="26" t="s">
        <v>47</v>
      </c>
      <c r="H507" s="26" t="s">
        <v>34</v>
      </c>
      <c r="I507" s="26" t="s">
        <v>88</v>
      </c>
      <c r="J507" s="26">
        <v>3.0</v>
      </c>
      <c r="K507" s="26" t="s">
        <v>136</v>
      </c>
      <c r="L507" s="26" t="s">
        <v>29</v>
      </c>
      <c r="M507" s="26" t="s">
        <v>95</v>
      </c>
      <c r="N507" s="26" t="s">
        <v>307</v>
      </c>
      <c r="O507" s="26">
        <v>1.0</v>
      </c>
    </row>
    <row r="508" ht="15.75" customHeight="1">
      <c r="A508" s="26" t="s">
        <v>2677</v>
      </c>
      <c r="B508" s="26" t="s">
        <v>2678</v>
      </c>
      <c r="C508" s="26" t="s">
        <v>363</v>
      </c>
      <c r="D508" s="26" t="s">
        <v>45</v>
      </c>
      <c r="E508" s="26" t="s">
        <v>2679</v>
      </c>
      <c r="F508" s="26" t="s">
        <v>744</v>
      </c>
      <c r="G508" s="26" t="s">
        <v>148</v>
      </c>
      <c r="H508" s="26" t="s">
        <v>34</v>
      </c>
      <c r="I508" s="26" t="s">
        <v>82</v>
      </c>
      <c r="J508" s="26">
        <v>2.0</v>
      </c>
      <c r="K508" s="26" t="s">
        <v>2266</v>
      </c>
      <c r="L508" s="26" t="s">
        <v>15</v>
      </c>
      <c r="M508" s="26" t="s">
        <v>81</v>
      </c>
      <c r="N508" s="26" t="s">
        <v>307</v>
      </c>
      <c r="O508" s="26">
        <v>0.0</v>
      </c>
    </row>
    <row r="509" ht="15.75" customHeight="1">
      <c r="A509" s="26" t="s">
        <v>2680</v>
      </c>
      <c r="B509" s="26" t="s">
        <v>2628</v>
      </c>
      <c r="C509" s="26" t="s">
        <v>312</v>
      </c>
      <c r="D509" s="26" t="s">
        <v>50</v>
      </c>
      <c r="E509" s="26" t="s">
        <v>2681</v>
      </c>
      <c r="F509" s="26" t="s">
        <v>1309</v>
      </c>
      <c r="G509" s="26" t="s">
        <v>245</v>
      </c>
      <c r="H509" s="26" t="s">
        <v>57</v>
      </c>
      <c r="I509" s="26" t="s">
        <v>328</v>
      </c>
      <c r="J509" s="26">
        <v>3.0</v>
      </c>
      <c r="K509" s="26" t="s">
        <v>136</v>
      </c>
      <c r="L509" s="26" t="s">
        <v>29</v>
      </c>
      <c r="M509" s="26" t="s">
        <v>95</v>
      </c>
      <c r="N509" s="26" t="s">
        <v>307</v>
      </c>
      <c r="O509" s="26">
        <v>1.0</v>
      </c>
    </row>
    <row r="510" ht="15.75" customHeight="1">
      <c r="A510" s="26" t="s">
        <v>2682</v>
      </c>
      <c r="B510" s="26" t="s">
        <v>2683</v>
      </c>
      <c r="C510" s="26" t="s">
        <v>300</v>
      </c>
      <c r="D510" s="26" t="s">
        <v>69</v>
      </c>
      <c r="E510" s="26" t="s">
        <v>1021</v>
      </c>
      <c r="F510" s="26" t="s">
        <v>440</v>
      </c>
      <c r="G510" s="26" t="s">
        <v>83</v>
      </c>
      <c r="H510" s="26" t="s">
        <v>46</v>
      </c>
      <c r="I510" s="26"/>
      <c r="J510" s="26">
        <v>1.0</v>
      </c>
      <c r="K510" s="26" t="s">
        <v>136</v>
      </c>
      <c r="L510" s="26" t="s">
        <v>29</v>
      </c>
      <c r="M510" s="26" t="s">
        <v>95</v>
      </c>
      <c r="N510" s="26" t="s">
        <v>307</v>
      </c>
      <c r="O510" s="26">
        <v>2.0</v>
      </c>
    </row>
    <row r="511" ht="15.75" customHeight="1">
      <c r="A511" s="26" t="s">
        <v>2684</v>
      </c>
      <c r="B511" s="26" t="s">
        <v>2578</v>
      </c>
      <c r="C511" s="26"/>
      <c r="D511" s="26" t="s">
        <v>45</v>
      </c>
      <c r="E511" s="26" t="s">
        <v>2685</v>
      </c>
      <c r="F511" s="26" t="s">
        <v>744</v>
      </c>
      <c r="G511" s="26" t="s">
        <v>148</v>
      </c>
      <c r="H511" s="26" t="s">
        <v>34</v>
      </c>
      <c r="I511" s="26" t="s">
        <v>130</v>
      </c>
      <c r="J511" s="26">
        <v>7.0</v>
      </c>
      <c r="K511" s="26" t="s">
        <v>2686</v>
      </c>
      <c r="L511" s="26" t="s">
        <v>15</v>
      </c>
      <c r="M511" s="26" t="s">
        <v>81</v>
      </c>
      <c r="N511" s="26" t="s">
        <v>307</v>
      </c>
      <c r="O511" s="26">
        <v>5.0</v>
      </c>
    </row>
    <row r="512" ht="15.75" customHeight="1">
      <c r="A512" s="26" t="s">
        <v>2687</v>
      </c>
      <c r="B512" s="26" t="s">
        <v>2688</v>
      </c>
      <c r="C512" s="26" t="s">
        <v>363</v>
      </c>
      <c r="D512" s="26" t="s">
        <v>45</v>
      </c>
      <c r="E512" s="26" t="s">
        <v>2689</v>
      </c>
      <c r="F512" s="26" t="s">
        <v>744</v>
      </c>
      <c r="G512" s="26" t="s">
        <v>148</v>
      </c>
      <c r="H512" s="26" t="s">
        <v>34</v>
      </c>
      <c r="I512" s="26" t="s">
        <v>130</v>
      </c>
      <c r="J512" s="26">
        <v>4.0</v>
      </c>
      <c r="K512" s="26" t="s">
        <v>136</v>
      </c>
      <c r="L512" s="26" t="s">
        <v>29</v>
      </c>
      <c r="M512" s="26" t="s">
        <v>95</v>
      </c>
      <c r="N512" s="26" t="s">
        <v>307</v>
      </c>
      <c r="O512" s="26">
        <v>3.0</v>
      </c>
    </row>
    <row r="513" ht="15.75" customHeight="1">
      <c r="A513" s="26" t="s">
        <v>2690</v>
      </c>
      <c r="B513" s="26" t="s">
        <v>2691</v>
      </c>
      <c r="C513" s="26" t="s">
        <v>363</v>
      </c>
      <c r="D513" s="26" t="s">
        <v>48</v>
      </c>
      <c r="E513" s="26" t="s">
        <v>2692</v>
      </c>
      <c r="F513" s="26" t="s">
        <v>984</v>
      </c>
      <c r="G513" s="26" t="s">
        <v>265</v>
      </c>
      <c r="H513" s="26" t="s">
        <v>34</v>
      </c>
      <c r="I513" s="26" t="s">
        <v>313</v>
      </c>
      <c r="J513" s="26">
        <v>2.0</v>
      </c>
      <c r="K513" s="26" t="s">
        <v>2250</v>
      </c>
      <c r="L513" s="26" t="s">
        <v>15</v>
      </c>
      <c r="M513" s="26" t="s">
        <v>81</v>
      </c>
      <c r="N513" s="26" t="s">
        <v>307</v>
      </c>
      <c r="O513" s="26">
        <v>1.0</v>
      </c>
    </row>
    <row r="514" ht="15.75" customHeight="1">
      <c r="A514" s="26" t="s">
        <v>2693</v>
      </c>
      <c r="B514" s="26" t="s">
        <v>2694</v>
      </c>
      <c r="C514" s="26" t="s">
        <v>363</v>
      </c>
      <c r="D514" s="26" t="s">
        <v>62</v>
      </c>
      <c r="E514" s="26" t="s">
        <v>934</v>
      </c>
      <c r="F514" s="26" t="s">
        <v>1813</v>
      </c>
      <c r="G514" s="26" t="s">
        <v>107</v>
      </c>
      <c r="H514" s="26" t="s">
        <v>46</v>
      </c>
      <c r="I514" s="26" t="s">
        <v>970</v>
      </c>
      <c r="J514" s="26">
        <v>2.0</v>
      </c>
      <c r="K514" s="26" t="s">
        <v>935</v>
      </c>
      <c r="L514" s="26" t="s">
        <v>23</v>
      </c>
      <c r="M514" s="26" t="s">
        <v>94</v>
      </c>
      <c r="N514" s="26" t="s">
        <v>307</v>
      </c>
      <c r="O514" s="26">
        <v>2.0</v>
      </c>
    </row>
    <row r="515" ht="15.75" customHeight="1">
      <c r="A515" s="26" t="s">
        <v>2695</v>
      </c>
      <c r="B515" s="26" t="s">
        <v>2696</v>
      </c>
      <c r="C515" s="26" t="s">
        <v>312</v>
      </c>
      <c r="D515" s="26" t="s">
        <v>69</v>
      </c>
      <c r="E515" s="26" t="s">
        <v>2697</v>
      </c>
      <c r="F515" s="26" t="s">
        <v>2291</v>
      </c>
      <c r="G515" s="26" t="s">
        <v>1081</v>
      </c>
      <c r="H515" s="26" t="s">
        <v>34</v>
      </c>
      <c r="I515" s="26"/>
      <c r="J515" s="26">
        <v>1.0</v>
      </c>
      <c r="K515" s="26" t="s">
        <v>2292</v>
      </c>
      <c r="L515" s="26" t="s">
        <v>15</v>
      </c>
      <c r="M515" s="26" t="s">
        <v>81</v>
      </c>
      <c r="N515" s="26" t="s">
        <v>307</v>
      </c>
      <c r="O515" s="26">
        <v>0.0</v>
      </c>
    </row>
    <row r="516" ht="15.75" customHeight="1">
      <c r="A516" s="26" t="s">
        <v>2698</v>
      </c>
      <c r="B516" s="26" t="s">
        <v>2699</v>
      </c>
      <c r="C516" s="26" t="s">
        <v>363</v>
      </c>
      <c r="D516" s="26" t="s">
        <v>36</v>
      </c>
      <c r="E516" s="26" t="s">
        <v>2700</v>
      </c>
      <c r="F516" s="26" t="s">
        <v>663</v>
      </c>
      <c r="G516" s="26" t="s">
        <v>44</v>
      </c>
      <c r="H516" s="26" t="s">
        <v>34</v>
      </c>
      <c r="I516" s="26" t="s">
        <v>82</v>
      </c>
      <c r="J516" s="26">
        <v>2.0</v>
      </c>
      <c r="K516" s="26" t="s">
        <v>2701</v>
      </c>
      <c r="L516" s="26" t="s">
        <v>15</v>
      </c>
      <c r="M516" s="26" t="s">
        <v>81</v>
      </c>
      <c r="N516" s="26" t="s">
        <v>307</v>
      </c>
      <c r="O516" s="26">
        <v>1.0</v>
      </c>
    </row>
    <row r="517" ht="15.75" customHeight="1">
      <c r="A517" s="26" t="s">
        <v>2702</v>
      </c>
      <c r="B517" s="26" t="s">
        <v>2703</v>
      </c>
      <c r="C517" s="26" t="s">
        <v>892</v>
      </c>
      <c r="D517" s="26" t="s">
        <v>69</v>
      </c>
      <c r="E517" s="26" t="s">
        <v>1087</v>
      </c>
      <c r="F517" s="26" t="s">
        <v>2291</v>
      </c>
      <c r="G517" s="26" t="s">
        <v>1081</v>
      </c>
      <c r="H517" s="26" t="s">
        <v>34</v>
      </c>
      <c r="I517" s="26"/>
      <c r="J517" s="26">
        <v>1.0</v>
      </c>
      <c r="K517" s="26" t="s">
        <v>1088</v>
      </c>
      <c r="L517" s="26" t="s">
        <v>19</v>
      </c>
      <c r="M517" s="26" t="s">
        <v>66</v>
      </c>
      <c r="N517" s="26" t="s">
        <v>307</v>
      </c>
      <c r="O517" s="26">
        <v>3.0</v>
      </c>
    </row>
    <row r="518" ht="15.75" customHeight="1">
      <c r="A518" s="26" t="s">
        <v>2704</v>
      </c>
      <c r="B518" s="26" t="s">
        <v>2705</v>
      </c>
      <c r="C518" s="26" t="s">
        <v>363</v>
      </c>
      <c r="D518" s="26" t="s">
        <v>36</v>
      </c>
      <c r="E518" s="26" t="s">
        <v>2706</v>
      </c>
      <c r="F518" s="26" t="s">
        <v>663</v>
      </c>
      <c r="G518" s="26" t="s">
        <v>44</v>
      </c>
      <c r="H518" s="26" t="s">
        <v>34</v>
      </c>
      <c r="I518" s="26" t="s">
        <v>98</v>
      </c>
      <c r="J518" s="26">
        <v>2.0</v>
      </c>
      <c r="K518" s="26" t="s">
        <v>132</v>
      </c>
      <c r="L518" s="26" t="s">
        <v>15</v>
      </c>
      <c r="M518" s="26" t="s">
        <v>87</v>
      </c>
      <c r="N518" s="26" t="s">
        <v>307</v>
      </c>
      <c r="O518" s="26">
        <v>1.0</v>
      </c>
    </row>
    <row r="519" ht="15.75" customHeight="1">
      <c r="A519" s="26" t="s">
        <v>2707</v>
      </c>
      <c r="B519" s="26" t="s">
        <v>2708</v>
      </c>
      <c r="C519" s="26" t="s">
        <v>312</v>
      </c>
      <c r="D519" s="26" t="s">
        <v>93</v>
      </c>
      <c r="E519" s="26" t="s">
        <v>1423</v>
      </c>
      <c r="F519" s="26" t="s">
        <v>2513</v>
      </c>
      <c r="G519" s="26" t="s">
        <v>1416</v>
      </c>
      <c r="H519" s="26" t="s">
        <v>46</v>
      </c>
      <c r="I519" s="26"/>
      <c r="J519" s="26">
        <v>1.0</v>
      </c>
      <c r="K519" s="26" t="s">
        <v>593</v>
      </c>
      <c r="L519" s="26" t="s">
        <v>19</v>
      </c>
      <c r="M519" s="26" t="s">
        <v>66</v>
      </c>
      <c r="N519" s="26" t="s">
        <v>307</v>
      </c>
      <c r="O519" s="26">
        <v>4.0</v>
      </c>
    </row>
    <row r="520" ht="15.75" customHeight="1">
      <c r="A520" s="26" t="s">
        <v>2709</v>
      </c>
      <c r="B520" s="26" t="s">
        <v>2710</v>
      </c>
      <c r="C520" s="26" t="s">
        <v>312</v>
      </c>
      <c r="D520" s="26" t="s">
        <v>54</v>
      </c>
      <c r="E520" s="26" t="s">
        <v>2711</v>
      </c>
      <c r="F520" s="26" t="s">
        <v>644</v>
      </c>
      <c r="G520" s="26" t="s">
        <v>217</v>
      </c>
      <c r="H520" s="26" t="s">
        <v>52</v>
      </c>
      <c r="I520" s="26"/>
      <c r="J520" s="26">
        <v>1.0</v>
      </c>
      <c r="K520" s="26" t="s">
        <v>2712</v>
      </c>
      <c r="L520" s="26" t="s">
        <v>15</v>
      </c>
      <c r="M520" s="26" t="s">
        <v>81</v>
      </c>
      <c r="N520" s="26" t="s">
        <v>307</v>
      </c>
      <c r="O520" s="26">
        <v>5.0</v>
      </c>
    </row>
    <row r="521" ht="15.75" customHeight="1">
      <c r="A521" s="26" t="s">
        <v>2713</v>
      </c>
      <c r="B521" s="26" t="s">
        <v>2714</v>
      </c>
      <c r="C521" s="26" t="s">
        <v>300</v>
      </c>
      <c r="D521" s="26" t="s">
        <v>48</v>
      </c>
      <c r="E521" s="26" t="s">
        <v>2715</v>
      </c>
      <c r="F521" s="26" t="s">
        <v>1014</v>
      </c>
      <c r="G521" s="26" t="s">
        <v>248</v>
      </c>
      <c r="H521" s="26" t="s">
        <v>46</v>
      </c>
      <c r="I521" s="26"/>
      <c r="J521" s="26">
        <v>1.0</v>
      </c>
      <c r="K521" s="26" t="s">
        <v>2716</v>
      </c>
      <c r="L521" s="26" t="s">
        <v>15</v>
      </c>
      <c r="M521" s="26" t="s">
        <v>81</v>
      </c>
      <c r="N521" s="26" t="s">
        <v>307</v>
      </c>
      <c r="O521" s="26">
        <v>2.0</v>
      </c>
    </row>
    <row r="522" ht="15.75" customHeight="1">
      <c r="A522" s="26" t="s">
        <v>2717</v>
      </c>
      <c r="B522" s="26" t="s">
        <v>2718</v>
      </c>
      <c r="C522" s="26" t="s">
        <v>363</v>
      </c>
      <c r="D522" s="26" t="s">
        <v>62</v>
      </c>
      <c r="E522" s="26" t="s">
        <v>2719</v>
      </c>
      <c r="F522" s="26" t="s">
        <v>1245</v>
      </c>
      <c r="G522" s="26" t="s">
        <v>119</v>
      </c>
      <c r="H522" s="26" t="s">
        <v>57</v>
      </c>
      <c r="I522" s="26" t="s">
        <v>970</v>
      </c>
      <c r="J522" s="26">
        <v>4.0</v>
      </c>
      <c r="K522" s="26" t="s">
        <v>2720</v>
      </c>
      <c r="L522" s="26" t="s">
        <v>19</v>
      </c>
      <c r="M522" s="26" t="s">
        <v>81</v>
      </c>
      <c r="N522" s="26" t="s">
        <v>307</v>
      </c>
      <c r="O522" s="26">
        <v>6.0</v>
      </c>
    </row>
    <row r="523" ht="15.75" customHeight="1">
      <c r="A523" s="26" t="s">
        <v>2721</v>
      </c>
      <c r="B523" s="26" t="s">
        <v>2722</v>
      </c>
      <c r="C523" s="26" t="s">
        <v>363</v>
      </c>
      <c r="D523" s="26" t="s">
        <v>54</v>
      </c>
      <c r="E523" s="26" t="s">
        <v>2723</v>
      </c>
      <c r="F523" s="26" t="s">
        <v>432</v>
      </c>
      <c r="G523" s="26" t="s">
        <v>182</v>
      </c>
      <c r="H523" s="26" t="s">
        <v>34</v>
      </c>
      <c r="I523" s="26" t="s">
        <v>717</v>
      </c>
      <c r="J523" s="26">
        <v>2.0</v>
      </c>
      <c r="K523" s="26" t="s">
        <v>2724</v>
      </c>
      <c r="L523" s="26" t="s">
        <v>15</v>
      </c>
      <c r="M523" s="26" t="s">
        <v>81</v>
      </c>
      <c r="N523" s="26" t="s">
        <v>307</v>
      </c>
      <c r="O523" s="26">
        <v>4.0</v>
      </c>
    </row>
    <row r="524" ht="15.75" customHeight="1">
      <c r="A524" s="26" t="s">
        <v>2725</v>
      </c>
      <c r="B524" s="26" t="s">
        <v>2726</v>
      </c>
      <c r="C524" s="26" t="s">
        <v>363</v>
      </c>
      <c r="D524" s="26" t="s">
        <v>79</v>
      </c>
      <c r="E524" s="26" t="s">
        <v>1307</v>
      </c>
      <c r="F524" s="26" t="s">
        <v>2727</v>
      </c>
      <c r="G524" s="26" t="s">
        <v>1305</v>
      </c>
      <c r="H524" s="26" t="s">
        <v>53</v>
      </c>
      <c r="I524" s="26"/>
      <c r="J524" s="26">
        <v>1.0</v>
      </c>
      <c r="K524" s="26" t="s">
        <v>136</v>
      </c>
      <c r="L524" s="26" t="s">
        <v>29</v>
      </c>
      <c r="M524" s="26" t="s">
        <v>95</v>
      </c>
      <c r="N524" s="26" t="s">
        <v>307</v>
      </c>
      <c r="O524" s="26">
        <v>3.0</v>
      </c>
    </row>
    <row r="525" ht="15.75" customHeight="1">
      <c r="A525" s="26" t="s">
        <v>2728</v>
      </c>
      <c r="B525" s="26" t="s">
        <v>2729</v>
      </c>
      <c r="C525" s="26" t="s">
        <v>300</v>
      </c>
      <c r="D525" s="26" t="s">
        <v>45</v>
      </c>
      <c r="E525" s="26" t="s">
        <v>2730</v>
      </c>
      <c r="F525" s="26" t="s">
        <v>806</v>
      </c>
      <c r="G525" s="26" t="s">
        <v>169</v>
      </c>
      <c r="H525" s="26" t="s">
        <v>52</v>
      </c>
      <c r="I525" s="26"/>
      <c r="J525" s="26">
        <v>1.0</v>
      </c>
      <c r="K525" s="26" t="s">
        <v>2731</v>
      </c>
      <c r="L525" s="26" t="s">
        <v>15</v>
      </c>
      <c r="M525" s="26" t="s">
        <v>81</v>
      </c>
      <c r="N525" s="26" t="s">
        <v>307</v>
      </c>
      <c r="O525" s="26">
        <v>3.0</v>
      </c>
    </row>
    <row r="526" ht="15.75" customHeight="1">
      <c r="A526" s="26" t="s">
        <v>2732</v>
      </c>
      <c r="B526" s="26" t="s">
        <v>2733</v>
      </c>
      <c r="C526" s="26" t="s">
        <v>312</v>
      </c>
      <c r="D526" s="26" t="s">
        <v>48</v>
      </c>
      <c r="E526" s="26" t="s">
        <v>2734</v>
      </c>
      <c r="F526" s="26" t="s">
        <v>672</v>
      </c>
      <c r="G526" s="26" t="s">
        <v>339</v>
      </c>
      <c r="H526" s="26" t="s">
        <v>49</v>
      </c>
      <c r="I526" s="26"/>
      <c r="J526" s="26">
        <v>1.0</v>
      </c>
      <c r="K526" s="26" t="s">
        <v>136</v>
      </c>
      <c r="L526" s="26" t="s">
        <v>29</v>
      </c>
      <c r="M526" s="26" t="s">
        <v>95</v>
      </c>
      <c r="N526" s="26" t="s">
        <v>307</v>
      </c>
      <c r="O526" s="26">
        <v>3.0</v>
      </c>
    </row>
    <row r="527" ht="15.75" customHeight="1">
      <c r="A527" s="26" t="s">
        <v>2735</v>
      </c>
      <c r="B527" s="26" t="s">
        <v>2736</v>
      </c>
      <c r="C527" s="26" t="s">
        <v>312</v>
      </c>
      <c r="D527" s="26" t="s">
        <v>48</v>
      </c>
      <c r="E527" s="26" t="s">
        <v>2737</v>
      </c>
      <c r="F527" s="26" t="s">
        <v>2089</v>
      </c>
      <c r="G527" s="26" t="s">
        <v>378</v>
      </c>
      <c r="H527" s="26" t="s">
        <v>34</v>
      </c>
      <c r="I527" s="26"/>
      <c r="J527" s="26">
        <v>1.0</v>
      </c>
      <c r="K527" s="26" t="s">
        <v>2738</v>
      </c>
      <c r="L527" s="26" t="s">
        <v>15</v>
      </c>
      <c r="M527" s="26" t="s">
        <v>81</v>
      </c>
      <c r="N527" s="26" t="s">
        <v>307</v>
      </c>
      <c r="O527" s="26">
        <v>5.0</v>
      </c>
    </row>
    <row r="528" ht="15.75" customHeight="1">
      <c r="A528" s="26" t="s">
        <v>2739</v>
      </c>
      <c r="B528" s="26" t="s">
        <v>2740</v>
      </c>
      <c r="C528" s="26" t="s">
        <v>429</v>
      </c>
      <c r="D528" s="26" t="s">
        <v>50</v>
      </c>
      <c r="E528" s="26" t="s">
        <v>707</v>
      </c>
      <c r="F528" s="26" t="s">
        <v>2741</v>
      </c>
      <c r="G528" s="26" t="s">
        <v>110</v>
      </c>
      <c r="H528" s="26" t="s">
        <v>71</v>
      </c>
      <c r="I528" s="26"/>
      <c r="J528" s="26">
        <v>1.0</v>
      </c>
      <c r="K528" s="26" t="s">
        <v>136</v>
      </c>
      <c r="L528" s="26" t="s">
        <v>29</v>
      </c>
      <c r="M528" s="26" t="s">
        <v>95</v>
      </c>
      <c r="N528" s="26" t="s">
        <v>307</v>
      </c>
      <c r="O528" s="26">
        <v>1.0</v>
      </c>
    </row>
    <row r="529" ht="15.75" customHeight="1">
      <c r="A529" s="26" t="s">
        <v>2742</v>
      </c>
      <c r="B529" s="26" t="s">
        <v>2743</v>
      </c>
      <c r="C529" s="26" t="s">
        <v>363</v>
      </c>
      <c r="D529" s="26" t="s">
        <v>36</v>
      </c>
      <c r="E529" s="26" t="s">
        <v>2744</v>
      </c>
      <c r="F529" s="26" t="s">
        <v>663</v>
      </c>
      <c r="G529" s="26" t="s">
        <v>44</v>
      </c>
      <c r="H529" s="26" t="s">
        <v>34</v>
      </c>
      <c r="I529" s="26"/>
      <c r="J529" s="26">
        <v>1.0</v>
      </c>
      <c r="K529" s="26" t="s">
        <v>2745</v>
      </c>
      <c r="L529" s="26" t="s">
        <v>15</v>
      </c>
      <c r="M529" s="26" t="s">
        <v>81</v>
      </c>
      <c r="N529" s="26" t="s">
        <v>307</v>
      </c>
      <c r="O529" s="26">
        <v>0.0</v>
      </c>
    </row>
    <row r="530" ht="15.75" customHeight="1">
      <c r="A530" s="26" t="s">
        <v>2746</v>
      </c>
      <c r="B530" s="26" t="s">
        <v>2747</v>
      </c>
      <c r="C530" s="26" t="s">
        <v>363</v>
      </c>
      <c r="D530" s="26" t="s">
        <v>72</v>
      </c>
      <c r="E530" s="26" t="s">
        <v>2748</v>
      </c>
      <c r="F530" s="26" t="s">
        <v>1394</v>
      </c>
      <c r="G530" s="26" t="s">
        <v>109</v>
      </c>
      <c r="H530" s="26" t="s">
        <v>61</v>
      </c>
      <c r="I530" s="26"/>
      <c r="J530" s="26">
        <v>1.0</v>
      </c>
      <c r="K530" s="26" t="s">
        <v>2749</v>
      </c>
      <c r="L530" s="26" t="s">
        <v>19</v>
      </c>
      <c r="M530" s="26" t="s">
        <v>66</v>
      </c>
      <c r="N530" s="26" t="s">
        <v>307</v>
      </c>
      <c r="O530" s="26">
        <v>1.0</v>
      </c>
    </row>
    <row r="531" ht="15.75" customHeight="1">
      <c r="A531" s="26" t="s">
        <v>2750</v>
      </c>
      <c r="B531" s="26" t="s">
        <v>2751</v>
      </c>
      <c r="C531" s="26" t="s">
        <v>429</v>
      </c>
      <c r="D531" s="26" t="s">
        <v>36</v>
      </c>
      <c r="E531" s="26" t="s">
        <v>2752</v>
      </c>
      <c r="F531" s="26" t="s">
        <v>663</v>
      </c>
      <c r="G531" s="26" t="s">
        <v>44</v>
      </c>
      <c r="H531" s="26" t="s">
        <v>34</v>
      </c>
      <c r="I531" s="26" t="s">
        <v>82</v>
      </c>
      <c r="J531" s="26">
        <v>2.0</v>
      </c>
      <c r="K531" s="26" t="s">
        <v>132</v>
      </c>
      <c r="L531" s="26" t="s">
        <v>15</v>
      </c>
      <c r="M531" s="26" t="s">
        <v>87</v>
      </c>
      <c r="N531" s="26" t="s">
        <v>307</v>
      </c>
      <c r="O531" s="26">
        <v>0.0</v>
      </c>
    </row>
    <row r="532" ht="15.75" customHeight="1">
      <c r="A532" s="26" t="s">
        <v>2753</v>
      </c>
      <c r="B532" s="26" t="s">
        <v>2754</v>
      </c>
      <c r="C532" s="26" t="s">
        <v>322</v>
      </c>
      <c r="D532" s="26" t="s">
        <v>62</v>
      </c>
      <c r="E532" s="26" t="s">
        <v>982</v>
      </c>
      <c r="F532" s="26" t="s">
        <v>2755</v>
      </c>
      <c r="G532" s="26" t="s">
        <v>970</v>
      </c>
      <c r="H532" s="26" t="s">
        <v>34</v>
      </c>
      <c r="I532" s="26"/>
      <c r="J532" s="26">
        <v>1.0</v>
      </c>
      <c r="K532" s="26" t="s">
        <v>136</v>
      </c>
      <c r="L532" s="26" t="s">
        <v>29</v>
      </c>
      <c r="M532" s="26" t="s">
        <v>95</v>
      </c>
      <c r="N532" s="26" t="s">
        <v>307</v>
      </c>
      <c r="O532" s="26">
        <v>2.0</v>
      </c>
    </row>
    <row r="533" ht="15.75" customHeight="1">
      <c r="A533" s="26" t="s">
        <v>2756</v>
      </c>
      <c r="B533" s="26" t="s">
        <v>2757</v>
      </c>
      <c r="C533" s="26" t="s">
        <v>429</v>
      </c>
      <c r="D533" s="26" t="s">
        <v>72</v>
      </c>
      <c r="E533" s="26" t="s">
        <v>2758</v>
      </c>
      <c r="F533" s="26" t="s">
        <v>1394</v>
      </c>
      <c r="G533" s="26" t="s">
        <v>109</v>
      </c>
      <c r="H533" s="26" t="s">
        <v>61</v>
      </c>
      <c r="I533" s="26" t="s">
        <v>1133</v>
      </c>
      <c r="J533" s="26">
        <v>2.0</v>
      </c>
      <c r="K533" s="26" t="s">
        <v>2759</v>
      </c>
      <c r="L533" s="26" t="s">
        <v>19</v>
      </c>
      <c r="M533" s="26" t="s">
        <v>66</v>
      </c>
      <c r="N533" s="26" t="s">
        <v>307</v>
      </c>
      <c r="O533" s="26">
        <v>0.0</v>
      </c>
    </row>
    <row r="534" ht="15.75" customHeight="1">
      <c r="A534" s="26" t="s">
        <v>2760</v>
      </c>
      <c r="B534" s="26" t="s">
        <v>2761</v>
      </c>
      <c r="C534" s="26" t="s">
        <v>363</v>
      </c>
      <c r="D534" s="26" t="s">
        <v>48</v>
      </c>
      <c r="E534" s="26" t="s">
        <v>2762</v>
      </c>
      <c r="F534" s="26" t="s">
        <v>625</v>
      </c>
      <c r="G534" s="26" t="s">
        <v>313</v>
      </c>
      <c r="H534" s="26" t="s">
        <v>34</v>
      </c>
      <c r="I534" s="26" t="s">
        <v>339</v>
      </c>
      <c r="J534" s="26">
        <v>2.0</v>
      </c>
      <c r="K534" s="26" t="s">
        <v>136</v>
      </c>
      <c r="L534" s="26" t="s">
        <v>29</v>
      </c>
      <c r="M534" s="26" t="s">
        <v>95</v>
      </c>
      <c r="N534" s="26" t="s">
        <v>307</v>
      </c>
      <c r="O534" s="26">
        <v>4.0</v>
      </c>
    </row>
    <row r="535" ht="15.75" customHeight="1">
      <c r="A535" s="26" t="s">
        <v>2763</v>
      </c>
      <c r="B535" s="26" t="s">
        <v>2764</v>
      </c>
      <c r="C535" s="26" t="s">
        <v>300</v>
      </c>
      <c r="D535" s="26" t="s">
        <v>69</v>
      </c>
      <c r="E535" s="26" t="s">
        <v>1055</v>
      </c>
      <c r="F535" s="26" t="s">
        <v>887</v>
      </c>
      <c r="G535" s="26" t="s">
        <v>888</v>
      </c>
      <c r="H535" s="26" t="s">
        <v>46</v>
      </c>
      <c r="I535" s="26"/>
      <c r="J535" s="26">
        <v>0.0</v>
      </c>
      <c r="K535" s="26" t="s">
        <v>1056</v>
      </c>
      <c r="L535" s="26" t="s">
        <v>15</v>
      </c>
      <c r="M535" s="26" t="s">
        <v>81</v>
      </c>
      <c r="N535" s="26" t="s">
        <v>307</v>
      </c>
      <c r="O535" s="26">
        <v>3.0</v>
      </c>
    </row>
    <row r="536" ht="15.75" customHeight="1">
      <c r="A536" s="26" t="s">
        <v>2765</v>
      </c>
      <c r="B536" s="26" t="s">
        <v>2766</v>
      </c>
      <c r="C536" s="26" t="s">
        <v>312</v>
      </c>
      <c r="D536" s="26" t="s">
        <v>45</v>
      </c>
      <c r="E536" s="26" t="s">
        <v>309</v>
      </c>
      <c r="F536" s="26" t="s">
        <v>806</v>
      </c>
      <c r="G536" s="26" t="s">
        <v>169</v>
      </c>
      <c r="H536" s="26" t="s">
        <v>52</v>
      </c>
      <c r="I536" s="26"/>
      <c r="J536" s="26">
        <v>1.0</v>
      </c>
      <c r="K536" s="26" t="s">
        <v>2266</v>
      </c>
      <c r="L536" s="26" t="s">
        <v>15</v>
      </c>
      <c r="M536" s="26" t="s">
        <v>81</v>
      </c>
      <c r="N536" s="26" t="s">
        <v>307</v>
      </c>
      <c r="O536" s="26">
        <v>2.0</v>
      </c>
    </row>
    <row r="537" ht="15.75" customHeight="1">
      <c r="A537" s="26" t="s">
        <v>2767</v>
      </c>
      <c r="B537" s="26" t="s">
        <v>2768</v>
      </c>
      <c r="C537" s="26" t="s">
        <v>429</v>
      </c>
      <c r="D537" s="26" t="s">
        <v>50</v>
      </c>
      <c r="E537" s="26" t="s">
        <v>2769</v>
      </c>
      <c r="F537" s="26" t="s">
        <v>1309</v>
      </c>
      <c r="G537" s="26" t="s">
        <v>245</v>
      </c>
      <c r="H537" s="26" t="s">
        <v>57</v>
      </c>
      <c r="I537" s="26" t="s">
        <v>328</v>
      </c>
      <c r="J537" s="26">
        <v>3.0</v>
      </c>
      <c r="K537" s="26" t="s">
        <v>2770</v>
      </c>
      <c r="L537" s="26" t="s">
        <v>19</v>
      </c>
      <c r="M537" s="26" t="s">
        <v>87</v>
      </c>
      <c r="N537" s="26" t="s">
        <v>307</v>
      </c>
      <c r="O537" s="26">
        <v>4.0</v>
      </c>
    </row>
    <row r="538" ht="15.75" customHeight="1">
      <c r="A538" s="26" t="s">
        <v>2771</v>
      </c>
      <c r="B538" s="26" t="s">
        <v>2772</v>
      </c>
      <c r="C538" s="26" t="s">
        <v>363</v>
      </c>
      <c r="D538" s="26" t="s">
        <v>72</v>
      </c>
      <c r="E538" s="26" t="s">
        <v>2773</v>
      </c>
      <c r="F538" s="26" t="s">
        <v>2422</v>
      </c>
      <c r="G538" s="26" t="s">
        <v>90</v>
      </c>
      <c r="H538" s="26" t="s">
        <v>34</v>
      </c>
      <c r="I538" s="26" t="s">
        <v>1133</v>
      </c>
      <c r="J538" s="26">
        <v>2.0</v>
      </c>
      <c r="K538" s="26" t="s">
        <v>2774</v>
      </c>
      <c r="L538" s="26" t="s">
        <v>15</v>
      </c>
      <c r="M538" s="26" t="s">
        <v>81</v>
      </c>
      <c r="N538" s="26" t="s">
        <v>307</v>
      </c>
      <c r="O538" s="26">
        <v>3.0</v>
      </c>
    </row>
    <row r="539" ht="15.75" customHeight="1">
      <c r="A539" s="26" t="s">
        <v>2775</v>
      </c>
      <c r="B539" s="26" t="s">
        <v>2776</v>
      </c>
      <c r="C539" s="26" t="s">
        <v>300</v>
      </c>
      <c r="D539" s="26" t="s">
        <v>45</v>
      </c>
      <c r="E539" s="26" t="s">
        <v>270</v>
      </c>
      <c r="F539" s="26" t="s">
        <v>744</v>
      </c>
      <c r="G539" s="26" t="s">
        <v>148</v>
      </c>
      <c r="H539" s="26" t="s">
        <v>34</v>
      </c>
      <c r="I539" s="26" t="s">
        <v>130</v>
      </c>
      <c r="J539" s="26">
        <v>2.0</v>
      </c>
      <c r="K539" s="26" t="s">
        <v>271</v>
      </c>
      <c r="L539" s="26" t="s">
        <v>15</v>
      </c>
      <c r="M539" s="26" t="s">
        <v>87</v>
      </c>
      <c r="N539" s="26" t="s">
        <v>307</v>
      </c>
      <c r="O539" s="26">
        <v>3.0</v>
      </c>
    </row>
    <row r="540" ht="15.75" customHeight="1">
      <c r="A540" s="26" t="s">
        <v>2777</v>
      </c>
      <c r="B540" s="26" t="s">
        <v>2778</v>
      </c>
      <c r="C540" s="26" t="s">
        <v>322</v>
      </c>
      <c r="D540" s="26" t="s">
        <v>48</v>
      </c>
      <c r="E540" s="26" t="s">
        <v>2779</v>
      </c>
      <c r="F540" s="26" t="s">
        <v>625</v>
      </c>
      <c r="G540" s="26" t="s">
        <v>313</v>
      </c>
      <c r="H540" s="26" t="s">
        <v>34</v>
      </c>
      <c r="I540" s="26"/>
      <c r="J540" s="26">
        <v>1.0</v>
      </c>
      <c r="K540" s="26" t="s">
        <v>136</v>
      </c>
      <c r="L540" s="26" t="s">
        <v>29</v>
      </c>
      <c r="M540" s="26" t="s">
        <v>95</v>
      </c>
      <c r="N540" s="26" t="s">
        <v>307</v>
      </c>
      <c r="O540" s="26">
        <v>2.0</v>
      </c>
    </row>
    <row r="541" ht="15.75" customHeight="1">
      <c r="A541" s="26" t="s">
        <v>2780</v>
      </c>
      <c r="B541" s="26" t="s">
        <v>2781</v>
      </c>
      <c r="C541" s="26" t="s">
        <v>312</v>
      </c>
      <c r="D541" s="26" t="s">
        <v>45</v>
      </c>
      <c r="E541" s="26" t="s">
        <v>2782</v>
      </c>
      <c r="F541" s="26" t="s">
        <v>303</v>
      </c>
      <c r="G541" s="26" t="s">
        <v>140</v>
      </c>
      <c r="H541" s="26" t="s">
        <v>34</v>
      </c>
      <c r="I541" s="26" t="s">
        <v>166</v>
      </c>
      <c r="J541" s="26">
        <v>3.0</v>
      </c>
      <c r="K541" s="26" t="s">
        <v>2783</v>
      </c>
      <c r="L541" s="26" t="s">
        <v>15</v>
      </c>
      <c r="M541" s="26" t="s">
        <v>81</v>
      </c>
      <c r="N541" s="26" t="s">
        <v>307</v>
      </c>
      <c r="O541" s="26">
        <v>2.0</v>
      </c>
    </row>
    <row r="542" ht="15.75" customHeight="1">
      <c r="A542" s="26" t="s">
        <v>2784</v>
      </c>
      <c r="B542" s="26" t="s">
        <v>2785</v>
      </c>
      <c r="C542" s="26" t="s">
        <v>322</v>
      </c>
      <c r="D542" s="26" t="s">
        <v>48</v>
      </c>
      <c r="E542" s="26" t="s">
        <v>2786</v>
      </c>
      <c r="F542" s="26" t="s">
        <v>984</v>
      </c>
      <c r="G542" s="26" t="s">
        <v>265</v>
      </c>
      <c r="H542" s="26" t="s">
        <v>34</v>
      </c>
      <c r="I542" s="26"/>
      <c r="J542" s="26">
        <v>1.0</v>
      </c>
      <c r="K542" s="26" t="s">
        <v>2787</v>
      </c>
      <c r="L542" s="26" t="s">
        <v>15</v>
      </c>
      <c r="M542" s="26" t="s">
        <v>81</v>
      </c>
      <c r="N542" s="26" t="s">
        <v>307</v>
      </c>
      <c r="O542" s="26">
        <v>2.0</v>
      </c>
    </row>
    <row r="543" ht="15.75" customHeight="1">
      <c r="A543" s="26" t="s">
        <v>2788</v>
      </c>
      <c r="B543" s="26" t="s">
        <v>2785</v>
      </c>
      <c r="C543" s="26" t="s">
        <v>363</v>
      </c>
      <c r="D543" s="26" t="s">
        <v>72</v>
      </c>
      <c r="E543" s="26" t="s">
        <v>2789</v>
      </c>
      <c r="F543" s="26" t="s">
        <v>2422</v>
      </c>
      <c r="G543" s="26" t="s">
        <v>90</v>
      </c>
      <c r="H543" s="26" t="s">
        <v>34</v>
      </c>
      <c r="I543" s="26" t="s">
        <v>1133</v>
      </c>
      <c r="J543" s="26">
        <v>2.0</v>
      </c>
      <c r="K543" s="26" t="s">
        <v>2774</v>
      </c>
      <c r="L543" s="26" t="s">
        <v>15</v>
      </c>
      <c r="M543" s="26" t="s">
        <v>81</v>
      </c>
      <c r="N543" s="26" t="s">
        <v>307</v>
      </c>
      <c r="O543" s="26">
        <v>2.0</v>
      </c>
    </row>
    <row r="544" ht="15.75" customHeight="1">
      <c r="A544" s="26" t="s">
        <v>2790</v>
      </c>
      <c r="B544" s="26" t="s">
        <v>2791</v>
      </c>
      <c r="C544" s="26" t="s">
        <v>322</v>
      </c>
      <c r="D544" s="26" t="s">
        <v>59</v>
      </c>
      <c r="E544" s="26" t="s">
        <v>2792</v>
      </c>
      <c r="F544" s="26" t="s">
        <v>1125</v>
      </c>
      <c r="G544" s="26" t="s">
        <v>113</v>
      </c>
      <c r="H544" s="26" t="s">
        <v>49</v>
      </c>
      <c r="I544" s="26" t="s">
        <v>373</v>
      </c>
      <c r="J544" s="26">
        <v>2.0</v>
      </c>
      <c r="K544" s="26" t="s">
        <v>2793</v>
      </c>
      <c r="L544" s="26" t="s">
        <v>15</v>
      </c>
      <c r="M544" s="26" t="s">
        <v>81</v>
      </c>
      <c r="N544" s="26" t="s">
        <v>307</v>
      </c>
      <c r="O544" s="26">
        <v>2.0</v>
      </c>
    </row>
    <row r="545" ht="15.75" customHeight="1">
      <c r="A545" s="26" t="s">
        <v>2794</v>
      </c>
      <c r="B545" s="26" t="s">
        <v>2795</v>
      </c>
      <c r="C545" s="26" t="s">
        <v>363</v>
      </c>
      <c r="D545" s="26" t="s">
        <v>50</v>
      </c>
      <c r="E545" s="26" t="s">
        <v>2796</v>
      </c>
      <c r="F545" s="26" t="s">
        <v>1309</v>
      </c>
      <c r="G545" s="26" t="s">
        <v>245</v>
      </c>
      <c r="H545" s="26" t="s">
        <v>57</v>
      </c>
      <c r="I545" s="26"/>
      <c r="J545" s="26">
        <v>1.0</v>
      </c>
      <c r="K545" s="26" t="s">
        <v>2797</v>
      </c>
      <c r="L545" s="26" t="s">
        <v>15</v>
      </c>
      <c r="M545" s="26" t="s">
        <v>81</v>
      </c>
      <c r="N545" s="26" t="s">
        <v>307</v>
      </c>
      <c r="O545" s="26">
        <v>100.0</v>
      </c>
    </row>
    <row r="546" ht="15.75" customHeight="1">
      <c r="A546" s="26" t="s">
        <v>2798</v>
      </c>
      <c r="B546" s="26" t="s">
        <v>2799</v>
      </c>
      <c r="C546" s="26" t="s">
        <v>363</v>
      </c>
      <c r="D546" s="26" t="s">
        <v>36</v>
      </c>
      <c r="E546" s="26" t="s">
        <v>2800</v>
      </c>
      <c r="F546" s="26" t="s">
        <v>2025</v>
      </c>
      <c r="G546" s="26" t="s">
        <v>82</v>
      </c>
      <c r="H546" s="26" t="s">
        <v>34</v>
      </c>
      <c r="I546" s="26"/>
      <c r="J546" s="26">
        <v>1.0</v>
      </c>
      <c r="K546" s="26" t="s">
        <v>136</v>
      </c>
      <c r="L546" s="26" t="s">
        <v>29</v>
      </c>
      <c r="M546" s="26" t="s">
        <v>95</v>
      </c>
      <c r="N546" s="26" t="s">
        <v>307</v>
      </c>
      <c r="O546" s="26">
        <v>2.0</v>
      </c>
    </row>
    <row r="547" ht="15.75" customHeight="1">
      <c r="A547" s="26" t="s">
        <v>2801</v>
      </c>
      <c r="B547" s="26" t="s">
        <v>2802</v>
      </c>
      <c r="C547" s="26" t="s">
        <v>363</v>
      </c>
      <c r="D547" s="26" t="s">
        <v>36</v>
      </c>
      <c r="E547" s="26" t="s">
        <v>2803</v>
      </c>
      <c r="F547" s="26" t="s">
        <v>663</v>
      </c>
      <c r="G547" s="26" t="s">
        <v>44</v>
      </c>
      <c r="H547" s="26" t="s">
        <v>34</v>
      </c>
      <c r="I547" s="26" t="s">
        <v>98</v>
      </c>
      <c r="J547" s="26">
        <v>3.0</v>
      </c>
      <c r="K547" s="26" t="s">
        <v>132</v>
      </c>
      <c r="L547" s="26" t="s">
        <v>19</v>
      </c>
      <c r="M547" s="26" t="s">
        <v>87</v>
      </c>
      <c r="N547" s="26" t="s">
        <v>307</v>
      </c>
      <c r="O547" s="26">
        <v>2.0</v>
      </c>
    </row>
    <row r="548" ht="15.75" customHeight="1">
      <c r="A548" s="26" t="s">
        <v>2804</v>
      </c>
      <c r="B548" s="26" t="s">
        <v>2805</v>
      </c>
      <c r="C548" s="26" t="s">
        <v>363</v>
      </c>
      <c r="D548" s="26" t="s">
        <v>45</v>
      </c>
      <c r="E548" s="26" t="s">
        <v>2806</v>
      </c>
      <c r="F548" s="26" t="s">
        <v>799</v>
      </c>
      <c r="G548" s="26" t="s">
        <v>130</v>
      </c>
      <c r="H548" s="26" t="s">
        <v>34</v>
      </c>
      <c r="I548" s="26" t="s">
        <v>140</v>
      </c>
      <c r="J548" s="26">
        <v>3.0</v>
      </c>
      <c r="K548" s="26" t="s">
        <v>2807</v>
      </c>
      <c r="L548" s="26" t="s">
        <v>15</v>
      </c>
      <c r="M548" s="26" t="s">
        <v>81</v>
      </c>
      <c r="N548" s="26" t="s">
        <v>307</v>
      </c>
      <c r="O548" s="26">
        <v>2.0</v>
      </c>
    </row>
    <row r="549" ht="15.75" customHeight="1">
      <c r="A549" s="26" t="s">
        <v>2808</v>
      </c>
      <c r="B549" s="26" t="s">
        <v>2809</v>
      </c>
      <c r="C549" s="26" t="s">
        <v>429</v>
      </c>
      <c r="D549" s="26" t="s">
        <v>54</v>
      </c>
      <c r="E549" s="26" t="s">
        <v>2810</v>
      </c>
      <c r="F549" s="26" t="s">
        <v>432</v>
      </c>
      <c r="G549" s="26" t="s">
        <v>182</v>
      </c>
      <c r="H549" s="26" t="s">
        <v>34</v>
      </c>
      <c r="I549" s="26" t="s">
        <v>520</v>
      </c>
      <c r="J549" s="26">
        <v>2.0</v>
      </c>
      <c r="K549" s="26" t="s">
        <v>2811</v>
      </c>
      <c r="L549" s="26" t="s">
        <v>19</v>
      </c>
      <c r="M549" s="26" t="s">
        <v>66</v>
      </c>
      <c r="N549" s="26" t="s">
        <v>307</v>
      </c>
      <c r="O549" s="26">
        <v>2.0</v>
      </c>
    </row>
    <row r="550" ht="15.75" customHeight="1">
      <c r="A550" s="26" t="s">
        <v>2812</v>
      </c>
      <c r="B550" s="26" t="s">
        <v>2813</v>
      </c>
      <c r="C550" s="26" t="s">
        <v>300</v>
      </c>
      <c r="D550" s="26" t="s">
        <v>50</v>
      </c>
      <c r="E550" s="26" t="s">
        <v>2814</v>
      </c>
      <c r="F550" s="26" t="s">
        <v>1309</v>
      </c>
      <c r="G550" s="26" t="s">
        <v>245</v>
      </c>
      <c r="H550" s="26" t="s">
        <v>57</v>
      </c>
      <c r="I550" s="26" t="s">
        <v>581</v>
      </c>
      <c r="J550" s="26">
        <v>2.0</v>
      </c>
      <c r="K550" s="26" t="s">
        <v>2815</v>
      </c>
      <c r="L550" s="26" t="s">
        <v>15</v>
      </c>
      <c r="M550" s="26" t="s">
        <v>81</v>
      </c>
      <c r="N550" s="26" t="s">
        <v>307</v>
      </c>
      <c r="O550" s="26">
        <v>4.0</v>
      </c>
    </row>
    <row r="551" ht="15.75" customHeight="1">
      <c r="A551" s="26" t="s">
        <v>2816</v>
      </c>
      <c r="B551" s="26" t="s">
        <v>2817</v>
      </c>
      <c r="C551" s="26" t="s">
        <v>429</v>
      </c>
      <c r="D551" s="26" t="s">
        <v>54</v>
      </c>
      <c r="E551" s="26" t="s">
        <v>2818</v>
      </c>
      <c r="F551" s="26" t="s">
        <v>432</v>
      </c>
      <c r="G551" s="26" t="s">
        <v>182</v>
      </c>
      <c r="H551" s="26" t="s">
        <v>34</v>
      </c>
      <c r="I551" s="26" t="s">
        <v>217</v>
      </c>
      <c r="J551" s="26">
        <v>2.0</v>
      </c>
      <c r="K551" s="26" t="s">
        <v>2819</v>
      </c>
      <c r="L551" s="26" t="s">
        <v>15</v>
      </c>
      <c r="M551" s="26" t="s">
        <v>81</v>
      </c>
      <c r="N551" s="26" t="s">
        <v>307</v>
      </c>
      <c r="O551" s="26">
        <v>2.0</v>
      </c>
    </row>
    <row r="552" ht="15.75" customHeight="1">
      <c r="A552" s="26" t="s">
        <v>2820</v>
      </c>
      <c r="B552" s="26" t="s">
        <v>2821</v>
      </c>
      <c r="C552" s="26" t="s">
        <v>312</v>
      </c>
      <c r="D552" s="26" t="s">
        <v>54</v>
      </c>
      <c r="E552" s="26" t="s">
        <v>2822</v>
      </c>
      <c r="F552" s="26" t="s">
        <v>432</v>
      </c>
      <c r="G552" s="26" t="s">
        <v>182</v>
      </c>
      <c r="H552" s="26" t="s">
        <v>34</v>
      </c>
      <c r="I552" s="26" t="s">
        <v>217</v>
      </c>
      <c r="J552" s="26">
        <v>2.0</v>
      </c>
      <c r="K552" s="26" t="s">
        <v>2823</v>
      </c>
      <c r="L552" s="26" t="s">
        <v>15</v>
      </c>
      <c r="M552" s="26" t="s">
        <v>81</v>
      </c>
      <c r="N552" s="26" t="s">
        <v>307</v>
      </c>
      <c r="O552" s="26">
        <v>2.0</v>
      </c>
    </row>
    <row r="553" ht="15.75" customHeight="1">
      <c r="A553" s="26" t="s">
        <v>2824</v>
      </c>
      <c r="B553" s="26" t="s">
        <v>2825</v>
      </c>
      <c r="C553" s="26" t="s">
        <v>300</v>
      </c>
      <c r="D553" s="26" t="s">
        <v>69</v>
      </c>
      <c r="E553" s="26" t="s">
        <v>2826</v>
      </c>
      <c r="F553" s="26" t="s">
        <v>537</v>
      </c>
      <c r="G553" s="26" t="s">
        <v>197</v>
      </c>
      <c r="H553" s="26" t="s">
        <v>34</v>
      </c>
      <c r="I553" s="26"/>
      <c r="J553" s="26">
        <v>1.0</v>
      </c>
      <c r="K553" s="26" t="s">
        <v>2827</v>
      </c>
      <c r="L553" s="26" t="s">
        <v>15</v>
      </c>
      <c r="M553" s="26" t="s">
        <v>81</v>
      </c>
      <c r="N553" s="26" t="s">
        <v>307</v>
      </c>
      <c r="O553" s="26">
        <v>1.0</v>
      </c>
    </row>
    <row r="554" ht="15.75" customHeight="1">
      <c r="A554" s="26" t="s">
        <v>2828</v>
      </c>
      <c r="B554" s="26" t="s">
        <v>2829</v>
      </c>
      <c r="C554" s="26" t="s">
        <v>312</v>
      </c>
      <c r="D554" s="26" t="s">
        <v>45</v>
      </c>
      <c r="E554" s="26" t="s">
        <v>2830</v>
      </c>
      <c r="F554" s="26" t="s">
        <v>303</v>
      </c>
      <c r="G554" s="26" t="s">
        <v>140</v>
      </c>
      <c r="H554" s="26" t="s">
        <v>34</v>
      </c>
      <c r="I554" s="26" t="s">
        <v>169</v>
      </c>
      <c r="J554" s="26">
        <v>2.0</v>
      </c>
      <c r="K554" s="26" t="s">
        <v>2831</v>
      </c>
      <c r="L554" s="26" t="s">
        <v>15</v>
      </c>
      <c r="M554" s="26" t="s">
        <v>81</v>
      </c>
      <c r="N554" s="26" t="s">
        <v>307</v>
      </c>
      <c r="O554" s="26">
        <v>1.0</v>
      </c>
    </row>
    <row r="555" ht="15.75" customHeight="1">
      <c r="A555" s="26" t="s">
        <v>2832</v>
      </c>
      <c r="B555" s="26" t="s">
        <v>2833</v>
      </c>
      <c r="C555" s="26" t="s">
        <v>312</v>
      </c>
      <c r="D555" s="26" t="s">
        <v>36</v>
      </c>
      <c r="E555" s="26" t="s">
        <v>2834</v>
      </c>
      <c r="F555" s="26" t="s">
        <v>2116</v>
      </c>
      <c r="G555" s="26" t="s">
        <v>84</v>
      </c>
      <c r="H555" s="26" t="s">
        <v>34</v>
      </c>
      <c r="I555" s="26" t="s">
        <v>104</v>
      </c>
      <c r="J555" s="26">
        <v>3.0</v>
      </c>
      <c r="K555" s="26" t="s">
        <v>2835</v>
      </c>
      <c r="L555" s="26" t="s">
        <v>19</v>
      </c>
      <c r="M555" s="26" t="s">
        <v>81</v>
      </c>
      <c r="N555" s="26" t="s">
        <v>307</v>
      </c>
      <c r="O555" s="26">
        <v>4.0</v>
      </c>
    </row>
    <row r="556" ht="15.75" customHeight="1">
      <c r="A556" s="26" t="s">
        <v>2836</v>
      </c>
      <c r="B556" s="26" t="s">
        <v>2837</v>
      </c>
      <c r="C556" s="26" t="s">
        <v>363</v>
      </c>
      <c r="D556" s="26" t="s">
        <v>48</v>
      </c>
      <c r="E556" s="26" t="s">
        <v>2838</v>
      </c>
      <c r="F556" s="26" t="s">
        <v>834</v>
      </c>
      <c r="G556" s="26" t="s">
        <v>267</v>
      </c>
      <c r="H556" s="26" t="s">
        <v>34</v>
      </c>
      <c r="I556" s="26"/>
      <c r="J556" s="26">
        <v>1.0</v>
      </c>
      <c r="K556" s="26" t="s">
        <v>136</v>
      </c>
      <c r="L556" s="26" t="s">
        <v>29</v>
      </c>
      <c r="M556" s="26" t="s">
        <v>95</v>
      </c>
      <c r="N556" s="26" t="s">
        <v>307</v>
      </c>
      <c r="O556" s="26">
        <v>2.0</v>
      </c>
    </row>
    <row r="557" ht="15.75" customHeight="1">
      <c r="A557" s="26" t="s">
        <v>2839</v>
      </c>
      <c r="B557" s="26" t="s">
        <v>2837</v>
      </c>
      <c r="C557" s="26" t="s">
        <v>363</v>
      </c>
      <c r="D557" s="26" t="s">
        <v>48</v>
      </c>
      <c r="E557" s="26" t="s">
        <v>2840</v>
      </c>
      <c r="F557" s="26" t="s">
        <v>366</v>
      </c>
      <c r="G557" s="26" t="s">
        <v>258</v>
      </c>
      <c r="H557" s="26" t="s">
        <v>61</v>
      </c>
      <c r="I557" s="26" t="s">
        <v>248</v>
      </c>
      <c r="J557" s="26">
        <v>3.0</v>
      </c>
      <c r="K557" s="26" t="s">
        <v>2841</v>
      </c>
      <c r="L557" s="26" t="s">
        <v>15</v>
      </c>
      <c r="M557" s="26" t="s">
        <v>81</v>
      </c>
      <c r="N557" s="26" t="s">
        <v>307</v>
      </c>
      <c r="O557" s="26">
        <v>2.0</v>
      </c>
    </row>
    <row r="558" ht="15.75" customHeight="1">
      <c r="A558" s="26" t="s">
        <v>2842</v>
      </c>
      <c r="B558" s="26" t="s">
        <v>2843</v>
      </c>
      <c r="C558" s="26" t="s">
        <v>312</v>
      </c>
      <c r="D558" s="26" t="s">
        <v>45</v>
      </c>
      <c r="E558" s="26" t="s">
        <v>2844</v>
      </c>
      <c r="F558" s="26" t="s">
        <v>303</v>
      </c>
      <c r="G558" s="26" t="s">
        <v>140</v>
      </c>
      <c r="H558" s="26" t="s">
        <v>34</v>
      </c>
      <c r="I558" s="26" t="s">
        <v>169</v>
      </c>
      <c r="J558" s="26">
        <v>2.0</v>
      </c>
      <c r="K558" s="26" t="s">
        <v>136</v>
      </c>
      <c r="L558" s="26" t="s">
        <v>29</v>
      </c>
      <c r="M558" s="26" t="s">
        <v>95</v>
      </c>
      <c r="N558" s="26" t="s">
        <v>307</v>
      </c>
      <c r="O558" s="26">
        <v>1.0</v>
      </c>
    </row>
    <row r="559" ht="15.75" customHeight="1">
      <c r="A559" s="26" t="s">
        <v>2845</v>
      </c>
      <c r="B559" s="26" t="s">
        <v>2846</v>
      </c>
      <c r="C559" s="26" t="s">
        <v>363</v>
      </c>
      <c r="D559" s="26" t="s">
        <v>59</v>
      </c>
      <c r="E559" s="26" t="s">
        <v>2847</v>
      </c>
      <c r="F559" s="26" t="s">
        <v>372</v>
      </c>
      <c r="G559" s="26" t="s">
        <v>373</v>
      </c>
      <c r="H559" s="26" t="s">
        <v>34</v>
      </c>
      <c r="I559" s="26"/>
      <c r="J559" s="26">
        <v>1.0</v>
      </c>
      <c r="K559" s="26" t="s">
        <v>2576</v>
      </c>
      <c r="L559" s="26" t="s">
        <v>15</v>
      </c>
      <c r="M559" s="26" t="s">
        <v>81</v>
      </c>
      <c r="N559" s="26" t="s">
        <v>307</v>
      </c>
      <c r="O559" s="26">
        <v>2.0</v>
      </c>
    </row>
    <row r="560" ht="15.75" customHeight="1">
      <c r="A560" s="26" t="s">
        <v>2848</v>
      </c>
      <c r="B560" s="26" t="s">
        <v>2849</v>
      </c>
      <c r="C560" s="26" t="s">
        <v>322</v>
      </c>
      <c r="D560" s="26" t="s">
        <v>45</v>
      </c>
      <c r="E560" s="26" t="s">
        <v>323</v>
      </c>
      <c r="F560" s="26" t="s">
        <v>1237</v>
      </c>
      <c r="G560" s="26" t="s">
        <v>166</v>
      </c>
      <c r="H560" s="26" t="s">
        <v>46</v>
      </c>
      <c r="I560" s="26"/>
      <c r="J560" s="26">
        <v>1.0</v>
      </c>
      <c r="K560" s="26" t="s">
        <v>325</v>
      </c>
      <c r="L560" s="26" t="s">
        <v>15</v>
      </c>
      <c r="M560" s="26" t="s">
        <v>81</v>
      </c>
      <c r="N560" s="26" t="s">
        <v>307</v>
      </c>
      <c r="O560" s="26">
        <v>1.0</v>
      </c>
    </row>
    <row r="561" ht="15.75" customHeight="1">
      <c r="A561" s="26" t="s">
        <v>2850</v>
      </c>
      <c r="B561" s="26" t="s">
        <v>2851</v>
      </c>
      <c r="C561" s="26" t="s">
        <v>363</v>
      </c>
      <c r="D561" s="26" t="s">
        <v>45</v>
      </c>
      <c r="E561" s="26" t="s">
        <v>2852</v>
      </c>
      <c r="F561" s="26" t="s">
        <v>744</v>
      </c>
      <c r="G561" s="26" t="s">
        <v>148</v>
      </c>
      <c r="H561" s="26" t="s">
        <v>34</v>
      </c>
      <c r="I561" s="26" t="s">
        <v>130</v>
      </c>
      <c r="J561" s="26">
        <v>5.0</v>
      </c>
      <c r="K561" s="26" t="s">
        <v>2853</v>
      </c>
      <c r="L561" s="26" t="s">
        <v>15</v>
      </c>
      <c r="M561" s="26" t="s">
        <v>81</v>
      </c>
      <c r="N561" s="26" t="s">
        <v>307</v>
      </c>
      <c r="O561" s="26">
        <v>0.0</v>
      </c>
    </row>
    <row r="562" ht="15.75" customHeight="1">
      <c r="A562" s="26" t="s">
        <v>2854</v>
      </c>
      <c r="B562" s="26" t="s">
        <v>2855</v>
      </c>
      <c r="C562" s="26" t="s">
        <v>312</v>
      </c>
      <c r="D562" s="26" t="s">
        <v>45</v>
      </c>
      <c r="E562" s="26" t="s">
        <v>335</v>
      </c>
      <c r="F562" s="26" t="s">
        <v>768</v>
      </c>
      <c r="G562" s="26" t="s">
        <v>183</v>
      </c>
      <c r="H562" s="26" t="s">
        <v>46</v>
      </c>
      <c r="I562" s="26"/>
      <c r="J562" s="26">
        <v>0.0</v>
      </c>
      <c r="K562" s="26" t="s">
        <v>2856</v>
      </c>
      <c r="L562" s="26" t="s">
        <v>15</v>
      </c>
      <c r="M562" s="26" t="s">
        <v>81</v>
      </c>
      <c r="N562" s="26" t="s">
        <v>307</v>
      </c>
      <c r="O562" s="26">
        <v>1.0</v>
      </c>
    </row>
    <row r="563" ht="15.75" customHeight="1">
      <c r="A563" s="26" t="s">
        <v>2857</v>
      </c>
      <c r="B563" s="26" t="s">
        <v>2858</v>
      </c>
      <c r="C563" s="26" t="s">
        <v>300</v>
      </c>
      <c r="D563" s="26" t="s">
        <v>72</v>
      </c>
      <c r="E563" s="26" t="s">
        <v>2859</v>
      </c>
      <c r="F563" s="26" t="s">
        <v>2261</v>
      </c>
      <c r="G563" s="26" t="s">
        <v>1133</v>
      </c>
      <c r="H563" s="26" t="s">
        <v>46</v>
      </c>
      <c r="I563" s="26"/>
      <c r="J563" s="26">
        <v>1.0</v>
      </c>
      <c r="K563" s="26" t="s">
        <v>593</v>
      </c>
      <c r="L563" s="26" t="s">
        <v>19</v>
      </c>
      <c r="M563" s="26" t="s">
        <v>66</v>
      </c>
      <c r="N563" s="26" t="s">
        <v>307</v>
      </c>
      <c r="O563" s="26">
        <v>2.0</v>
      </c>
    </row>
    <row r="564" ht="15.75" customHeight="1">
      <c r="A564" s="26" t="s">
        <v>2860</v>
      </c>
      <c r="B564" s="26" t="s">
        <v>2861</v>
      </c>
      <c r="C564" s="26" t="s">
        <v>363</v>
      </c>
      <c r="D564" s="26" t="s">
        <v>79</v>
      </c>
      <c r="E564" s="26" t="s">
        <v>2862</v>
      </c>
      <c r="F564" s="26" t="s">
        <v>2863</v>
      </c>
      <c r="G564" s="26" t="s">
        <v>1260</v>
      </c>
      <c r="H564" s="26" t="s">
        <v>34</v>
      </c>
      <c r="I564" s="26" t="s">
        <v>1299</v>
      </c>
      <c r="J564" s="26">
        <v>2.0</v>
      </c>
      <c r="K564" s="26" t="s">
        <v>136</v>
      </c>
      <c r="L564" s="26" t="s">
        <v>29</v>
      </c>
      <c r="M564" s="26" t="s">
        <v>95</v>
      </c>
      <c r="N564" s="26" t="s">
        <v>307</v>
      </c>
      <c r="O564" s="26">
        <v>4.0</v>
      </c>
    </row>
    <row r="565" ht="15.75" customHeight="1">
      <c r="A565" s="26" t="s">
        <v>2864</v>
      </c>
      <c r="B565" s="26" t="s">
        <v>2865</v>
      </c>
      <c r="C565" s="26" t="s">
        <v>363</v>
      </c>
      <c r="D565" s="26" t="s">
        <v>36</v>
      </c>
      <c r="E565" s="26" t="s">
        <v>2866</v>
      </c>
      <c r="F565" s="26" t="s">
        <v>2381</v>
      </c>
      <c r="G565" s="26" t="s">
        <v>88</v>
      </c>
      <c r="H565" s="26" t="s">
        <v>46</v>
      </c>
      <c r="I565" s="26" t="s">
        <v>65</v>
      </c>
      <c r="J565" s="26">
        <v>3.0</v>
      </c>
      <c r="K565" s="26" t="s">
        <v>136</v>
      </c>
      <c r="L565" s="26" t="s">
        <v>29</v>
      </c>
      <c r="M565" s="26" t="s">
        <v>95</v>
      </c>
      <c r="N565" s="26" t="s">
        <v>307</v>
      </c>
      <c r="O565" s="26">
        <v>2.0</v>
      </c>
    </row>
    <row r="566" ht="15.75" customHeight="1">
      <c r="A566" s="26" t="s">
        <v>2867</v>
      </c>
      <c r="B566" s="26" t="s">
        <v>2868</v>
      </c>
      <c r="C566" s="26" t="s">
        <v>312</v>
      </c>
      <c r="D566" s="26" t="s">
        <v>69</v>
      </c>
      <c r="E566" s="26" t="s">
        <v>2869</v>
      </c>
      <c r="F566" s="26" t="s">
        <v>2870</v>
      </c>
      <c r="G566" s="26" t="s">
        <v>115</v>
      </c>
      <c r="H566" s="26" t="s">
        <v>53</v>
      </c>
      <c r="I566" s="26"/>
      <c r="J566" s="26">
        <v>1.0</v>
      </c>
      <c r="K566" s="26" t="s">
        <v>358</v>
      </c>
      <c r="L566" s="26" t="s">
        <v>19</v>
      </c>
      <c r="M566" s="26" t="s">
        <v>66</v>
      </c>
      <c r="N566" s="26" t="s">
        <v>307</v>
      </c>
      <c r="O566" s="26">
        <v>4.0</v>
      </c>
    </row>
    <row r="567" ht="15.75" customHeight="1">
      <c r="A567" s="26" t="s">
        <v>2871</v>
      </c>
      <c r="B567" s="26" t="s">
        <v>2872</v>
      </c>
      <c r="C567" s="26" t="s">
        <v>892</v>
      </c>
      <c r="D567" s="26" t="s">
        <v>69</v>
      </c>
      <c r="E567" s="26" t="s">
        <v>1048</v>
      </c>
      <c r="F567" s="26" t="s">
        <v>2870</v>
      </c>
      <c r="G567" s="26" t="s">
        <v>115</v>
      </c>
      <c r="H567" s="26" t="s">
        <v>53</v>
      </c>
      <c r="I567" s="26"/>
      <c r="J567" s="26">
        <v>1.0</v>
      </c>
      <c r="K567" s="26" t="s">
        <v>980</v>
      </c>
      <c r="L567" s="26" t="s">
        <v>19</v>
      </c>
      <c r="M567" s="26" t="s">
        <v>66</v>
      </c>
      <c r="N567" s="26" t="s">
        <v>307</v>
      </c>
      <c r="O567" s="26">
        <v>3.0</v>
      </c>
    </row>
    <row r="568" ht="15.75" customHeight="1">
      <c r="A568" s="26" t="s">
        <v>2873</v>
      </c>
      <c r="B568" s="26" t="s">
        <v>2874</v>
      </c>
      <c r="C568" s="26" t="s">
        <v>363</v>
      </c>
      <c r="D568" s="26" t="s">
        <v>45</v>
      </c>
      <c r="E568" s="26" t="s">
        <v>2875</v>
      </c>
      <c r="F568" s="26" t="s">
        <v>799</v>
      </c>
      <c r="G568" s="26" t="s">
        <v>130</v>
      </c>
      <c r="H568" s="26" t="s">
        <v>34</v>
      </c>
      <c r="I568" s="26" t="s">
        <v>140</v>
      </c>
      <c r="J568" s="26">
        <v>4.0</v>
      </c>
      <c r="K568" s="26" t="s">
        <v>2853</v>
      </c>
      <c r="L568" s="26" t="s">
        <v>15</v>
      </c>
      <c r="M568" s="26" t="s">
        <v>81</v>
      </c>
      <c r="N568" s="26" t="s">
        <v>307</v>
      </c>
      <c r="O568" s="26">
        <v>2.0</v>
      </c>
    </row>
    <row r="569" ht="15.75" customHeight="1">
      <c r="A569" s="26" t="s">
        <v>2876</v>
      </c>
      <c r="B569" s="26" t="s">
        <v>2877</v>
      </c>
      <c r="C569" s="26" t="s">
        <v>300</v>
      </c>
      <c r="D569" s="26" t="s">
        <v>54</v>
      </c>
      <c r="E569" s="26" t="s">
        <v>2878</v>
      </c>
      <c r="F569" s="26" t="s">
        <v>432</v>
      </c>
      <c r="G569" s="26" t="s">
        <v>182</v>
      </c>
      <c r="H569" s="26" t="s">
        <v>34</v>
      </c>
      <c r="I569" s="26" t="s">
        <v>99</v>
      </c>
      <c r="J569" s="26">
        <v>3.0</v>
      </c>
      <c r="K569" s="26" t="s">
        <v>2879</v>
      </c>
      <c r="L569" s="26" t="s">
        <v>19</v>
      </c>
      <c r="M569" s="26" t="s">
        <v>66</v>
      </c>
      <c r="N569" s="26" t="s">
        <v>307</v>
      </c>
      <c r="O569" s="26">
        <v>5.0</v>
      </c>
    </row>
    <row r="570" ht="15.75" customHeight="1">
      <c r="A570" s="26" t="s">
        <v>2880</v>
      </c>
      <c r="B570" s="26" t="s">
        <v>2881</v>
      </c>
      <c r="C570" s="26" t="s">
        <v>363</v>
      </c>
      <c r="D570" s="26" t="s">
        <v>62</v>
      </c>
      <c r="E570" s="26" t="s">
        <v>2882</v>
      </c>
      <c r="F570" s="26" t="s">
        <v>2273</v>
      </c>
      <c r="G570" s="26" t="s">
        <v>261</v>
      </c>
      <c r="H570" s="26" t="s">
        <v>46</v>
      </c>
      <c r="I570" s="26" t="s">
        <v>1007</v>
      </c>
      <c r="J570" s="26">
        <v>2.0</v>
      </c>
      <c r="K570" s="26" t="s">
        <v>2883</v>
      </c>
      <c r="L570" s="26" t="s">
        <v>19</v>
      </c>
      <c r="M570" s="26" t="s">
        <v>87</v>
      </c>
      <c r="N570" s="26" t="s">
        <v>307</v>
      </c>
      <c r="O570" s="26">
        <v>5.0</v>
      </c>
    </row>
    <row r="571" ht="15.75" customHeight="1">
      <c r="A571" s="26" t="s">
        <v>2884</v>
      </c>
      <c r="B571" s="26" t="s">
        <v>2885</v>
      </c>
      <c r="C571" s="26" t="s">
        <v>429</v>
      </c>
      <c r="D571" s="26" t="s">
        <v>54</v>
      </c>
      <c r="E571" s="26" t="s">
        <v>2886</v>
      </c>
      <c r="F571" s="26" t="s">
        <v>432</v>
      </c>
      <c r="G571" s="26" t="s">
        <v>182</v>
      </c>
      <c r="H571" s="26" t="s">
        <v>34</v>
      </c>
      <c r="I571" s="26" t="s">
        <v>217</v>
      </c>
      <c r="J571" s="26">
        <v>2.0</v>
      </c>
      <c r="K571" s="26" t="s">
        <v>2887</v>
      </c>
      <c r="L571" s="26" t="s">
        <v>19</v>
      </c>
      <c r="M571" s="26" t="s">
        <v>66</v>
      </c>
      <c r="N571" s="26" t="s">
        <v>307</v>
      </c>
      <c r="O571" s="26">
        <v>3.0</v>
      </c>
    </row>
    <row r="572" ht="15.75" customHeight="1">
      <c r="A572" s="26" t="s">
        <v>2888</v>
      </c>
      <c r="B572" s="26" t="s">
        <v>2889</v>
      </c>
      <c r="C572" s="26" t="s">
        <v>429</v>
      </c>
      <c r="D572" s="26" t="s">
        <v>54</v>
      </c>
      <c r="E572" s="26" t="s">
        <v>2890</v>
      </c>
      <c r="F572" s="26" t="s">
        <v>432</v>
      </c>
      <c r="G572" s="26" t="s">
        <v>182</v>
      </c>
      <c r="H572" s="26" t="s">
        <v>34</v>
      </c>
      <c r="I572" s="26"/>
      <c r="J572" s="26">
        <v>1.0</v>
      </c>
      <c r="K572" s="26" t="s">
        <v>136</v>
      </c>
      <c r="L572" s="26" t="s">
        <v>29</v>
      </c>
      <c r="M572" s="26" t="s">
        <v>95</v>
      </c>
      <c r="N572" s="26" t="s">
        <v>307</v>
      </c>
      <c r="O572" s="26">
        <v>3.0</v>
      </c>
    </row>
    <row r="573" ht="15.75" customHeight="1">
      <c r="A573" s="26" t="s">
        <v>2891</v>
      </c>
      <c r="B573" s="26" t="s">
        <v>2892</v>
      </c>
      <c r="C573" s="26" t="s">
        <v>300</v>
      </c>
      <c r="D573" s="26" t="s">
        <v>50</v>
      </c>
      <c r="E573" s="26" t="s">
        <v>713</v>
      </c>
      <c r="F573" s="26" t="s">
        <v>2370</v>
      </c>
      <c r="G573" s="26" t="s">
        <v>581</v>
      </c>
      <c r="H573" s="26" t="s">
        <v>46</v>
      </c>
      <c r="I573" s="26"/>
      <c r="J573" s="26">
        <v>1.0</v>
      </c>
      <c r="K573" s="26" t="s">
        <v>714</v>
      </c>
      <c r="L573" s="26" t="s">
        <v>15</v>
      </c>
      <c r="M573" s="26" t="s">
        <v>81</v>
      </c>
      <c r="N573" s="26" t="s">
        <v>307</v>
      </c>
      <c r="O573" s="26">
        <v>3.0</v>
      </c>
    </row>
    <row r="574" ht="15.75" customHeight="1">
      <c r="A574" s="26" t="s">
        <v>2893</v>
      </c>
      <c r="B574" s="26" t="s">
        <v>2894</v>
      </c>
      <c r="C574" s="26" t="s">
        <v>363</v>
      </c>
      <c r="D574" s="26" t="s">
        <v>89</v>
      </c>
      <c r="E574" s="26" t="s">
        <v>2895</v>
      </c>
      <c r="F574" s="26" t="s">
        <v>2896</v>
      </c>
      <c r="G574" s="26" t="s">
        <v>1379</v>
      </c>
      <c r="H574" s="26" t="s">
        <v>49</v>
      </c>
      <c r="I574" s="26" t="s">
        <v>638</v>
      </c>
      <c r="J574" s="26">
        <v>2.0</v>
      </c>
      <c r="K574" s="26" t="s">
        <v>136</v>
      </c>
      <c r="L574" s="26" t="s">
        <v>29</v>
      </c>
      <c r="M574" s="26" t="s">
        <v>95</v>
      </c>
      <c r="N574" s="26" t="s">
        <v>307</v>
      </c>
      <c r="O574" s="26">
        <v>1.0</v>
      </c>
    </row>
    <row r="575" ht="15.75" customHeight="1">
      <c r="A575" s="26" t="s">
        <v>2897</v>
      </c>
      <c r="B575" s="26" t="s">
        <v>2898</v>
      </c>
      <c r="C575" s="26" t="s">
        <v>363</v>
      </c>
      <c r="D575" s="26" t="s">
        <v>76</v>
      </c>
      <c r="E575" s="26" t="s">
        <v>2899</v>
      </c>
      <c r="F575" s="26" t="s">
        <v>1201</v>
      </c>
      <c r="G575" s="26" t="s">
        <v>222</v>
      </c>
      <c r="H575" s="26" t="s">
        <v>34</v>
      </c>
      <c r="I575" s="26" t="s">
        <v>1205</v>
      </c>
      <c r="J575" s="26">
        <v>3.0</v>
      </c>
      <c r="K575" s="26" t="s">
        <v>2900</v>
      </c>
      <c r="L575" s="26" t="s">
        <v>15</v>
      </c>
      <c r="M575" s="26" t="s">
        <v>81</v>
      </c>
      <c r="N575" s="26" t="s">
        <v>307</v>
      </c>
      <c r="O575" s="26">
        <v>4.0</v>
      </c>
    </row>
    <row r="576" ht="15.75" customHeight="1">
      <c r="A576" s="26" t="s">
        <v>2901</v>
      </c>
      <c r="B576" s="26" t="s">
        <v>2902</v>
      </c>
      <c r="C576" s="26" t="s">
        <v>300</v>
      </c>
      <c r="D576" s="26" t="s">
        <v>45</v>
      </c>
      <c r="E576" s="26" t="s">
        <v>2903</v>
      </c>
      <c r="F576" s="26" t="s">
        <v>303</v>
      </c>
      <c r="G576" s="26" t="s">
        <v>140</v>
      </c>
      <c r="H576" s="26" t="s">
        <v>34</v>
      </c>
      <c r="I576" s="26" t="s">
        <v>169</v>
      </c>
      <c r="J576" s="26">
        <v>2.0</v>
      </c>
      <c r="K576" s="26" t="s">
        <v>2904</v>
      </c>
      <c r="L576" s="26" t="s">
        <v>15</v>
      </c>
      <c r="M576" s="26" t="s">
        <v>81</v>
      </c>
      <c r="N576" s="26" t="s">
        <v>307</v>
      </c>
      <c r="O576" s="26">
        <v>2.0</v>
      </c>
    </row>
    <row r="577" ht="15.75" customHeight="1">
      <c r="A577" s="26" t="s">
        <v>2905</v>
      </c>
      <c r="B577" s="26" t="s">
        <v>2906</v>
      </c>
      <c r="C577" s="26" t="s">
        <v>429</v>
      </c>
      <c r="D577" s="26" t="s">
        <v>45</v>
      </c>
      <c r="E577" s="26" t="s">
        <v>396</v>
      </c>
      <c r="F577" s="26" t="s">
        <v>1691</v>
      </c>
      <c r="G577" s="26" t="s">
        <v>220</v>
      </c>
      <c r="H577" s="26" t="s">
        <v>53</v>
      </c>
      <c r="I577" s="26"/>
      <c r="J577" s="26">
        <v>1.0</v>
      </c>
      <c r="K577" s="26" t="s">
        <v>136</v>
      </c>
      <c r="L577" s="26" t="s">
        <v>29</v>
      </c>
      <c r="M577" s="26" t="s">
        <v>95</v>
      </c>
      <c r="N577" s="26" t="s">
        <v>307</v>
      </c>
      <c r="O577" s="26">
        <v>2.0</v>
      </c>
    </row>
    <row r="578" ht="15.75" customHeight="1">
      <c r="A578" s="26" t="s">
        <v>2907</v>
      </c>
      <c r="B578" s="26" t="s">
        <v>2908</v>
      </c>
      <c r="C578" s="26" t="s">
        <v>363</v>
      </c>
      <c r="D578" s="26" t="s">
        <v>45</v>
      </c>
      <c r="E578" s="26" t="s">
        <v>2909</v>
      </c>
      <c r="F578" s="26" t="s">
        <v>806</v>
      </c>
      <c r="G578" s="26" t="s">
        <v>169</v>
      </c>
      <c r="H578" s="26" t="s">
        <v>52</v>
      </c>
      <c r="I578" s="26"/>
      <c r="J578" s="26">
        <v>1.0</v>
      </c>
      <c r="K578" s="26" t="s">
        <v>2910</v>
      </c>
      <c r="L578" s="26" t="s">
        <v>15</v>
      </c>
      <c r="M578" s="26" t="s">
        <v>81</v>
      </c>
      <c r="N578" s="26" t="s">
        <v>307</v>
      </c>
      <c r="O578" s="26">
        <v>2.0</v>
      </c>
    </row>
    <row r="579" ht="15.75" customHeight="1">
      <c r="A579" s="26" t="s">
        <v>2911</v>
      </c>
      <c r="B579" s="26" t="s">
        <v>2912</v>
      </c>
      <c r="C579" s="26" t="s">
        <v>363</v>
      </c>
      <c r="D579" s="26" t="s">
        <v>45</v>
      </c>
      <c r="E579" s="26" t="s">
        <v>2913</v>
      </c>
      <c r="F579" s="26" t="s">
        <v>303</v>
      </c>
      <c r="G579" s="26" t="s">
        <v>140</v>
      </c>
      <c r="H579" s="26" t="s">
        <v>34</v>
      </c>
      <c r="I579" s="26" t="s">
        <v>169</v>
      </c>
      <c r="J579" s="26">
        <v>2.0</v>
      </c>
      <c r="K579" s="26" t="s">
        <v>2783</v>
      </c>
      <c r="L579" s="26" t="s">
        <v>15</v>
      </c>
      <c r="M579" s="26" t="s">
        <v>81</v>
      </c>
      <c r="N579" s="26" t="s">
        <v>307</v>
      </c>
      <c r="O579" s="26">
        <v>2.0</v>
      </c>
    </row>
    <row r="580" ht="15.75" customHeight="1">
      <c r="A580" s="26" t="s">
        <v>2914</v>
      </c>
      <c r="B580" s="26" t="s">
        <v>2915</v>
      </c>
      <c r="C580" s="26" t="s">
        <v>363</v>
      </c>
      <c r="D580" s="26" t="s">
        <v>45</v>
      </c>
      <c r="E580" s="26" t="s">
        <v>2916</v>
      </c>
      <c r="F580" s="26" t="s">
        <v>303</v>
      </c>
      <c r="G580" s="26" t="s">
        <v>140</v>
      </c>
      <c r="H580" s="26" t="s">
        <v>34</v>
      </c>
      <c r="I580" s="26" t="s">
        <v>143</v>
      </c>
      <c r="J580" s="26">
        <v>3.0</v>
      </c>
      <c r="K580" s="26" t="s">
        <v>2917</v>
      </c>
      <c r="L580" s="26" t="s">
        <v>15</v>
      </c>
      <c r="M580" s="26" t="s">
        <v>81</v>
      </c>
      <c r="N580" s="26" t="s">
        <v>307</v>
      </c>
      <c r="O580" s="26">
        <v>2.0</v>
      </c>
    </row>
    <row r="581" ht="15.75" customHeight="1">
      <c r="A581" s="26" t="s">
        <v>2918</v>
      </c>
      <c r="B581" s="26" t="s">
        <v>2919</v>
      </c>
      <c r="C581" s="26" t="s">
        <v>363</v>
      </c>
      <c r="D581" s="26" t="s">
        <v>48</v>
      </c>
      <c r="E581" s="26" t="s">
        <v>2920</v>
      </c>
      <c r="F581" s="26" t="s">
        <v>984</v>
      </c>
      <c r="G581" s="26" t="s">
        <v>265</v>
      </c>
      <c r="H581" s="26" t="s">
        <v>34</v>
      </c>
      <c r="I581" s="26" t="s">
        <v>313</v>
      </c>
      <c r="J581" s="26">
        <v>3.0</v>
      </c>
      <c r="K581" s="26" t="s">
        <v>2921</v>
      </c>
      <c r="L581" s="26" t="s">
        <v>15</v>
      </c>
      <c r="M581" s="26" t="s">
        <v>81</v>
      </c>
      <c r="N581" s="26" t="s">
        <v>307</v>
      </c>
      <c r="O581" s="26">
        <v>4.0</v>
      </c>
    </row>
    <row r="582" ht="15.75" customHeight="1">
      <c r="A582" s="26" t="s">
        <v>2922</v>
      </c>
      <c r="B582" s="26" t="s">
        <v>2923</v>
      </c>
      <c r="C582" s="26" t="s">
        <v>312</v>
      </c>
      <c r="D582" s="26" t="s">
        <v>45</v>
      </c>
      <c r="E582" s="26" t="s">
        <v>2924</v>
      </c>
      <c r="F582" s="26" t="s">
        <v>799</v>
      </c>
      <c r="G582" s="26" t="s">
        <v>130</v>
      </c>
      <c r="H582" s="26" t="s">
        <v>34</v>
      </c>
      <c r="I582" s="26" t="s">
        <v>140</v>
      </c>
      <c r="J582" s="26">
        <v>4.0</v>
      </c>
      <c r="K582" s="26" t="s">
        <v>2266</v>
      </c>
      <c r="L582" s="26" t="s">
        <v>15</v>
      </c>
      <c r="M582" s="26" t="s">
        <v>81</v>
      </c>
      <c r="N582" s="26" t="s">
        <v>307</v>
      </c>
      <c r="O582" s="26">
        <v>1.0</v>
      </c>
    </row>
    <row r="583" ht="15.75" customHeight="1">
      <c r="A583" s="26" t="s">
        <v>2925</v>
      </c>
      <c r="B583" s="26" t="s">
        <v>2926</v>
      </c>
      <c r="C583" s="26" t="s">
        <v>300</v>
      </c>
      <c r="D583" s="26" t="s">
        <v>50</v>
      </c>
      <c r="E583" s="26" t="s">
        <v>2927</v>
      </c>
      <c r="F583" s="26" t="s">
        <v>847</v>
      </c>
      <c r="G583" s="26" t="s">
        <v>328</v>
      </c>
      <c r="H583" s="26" t="s">
        <v>49</v>
      </c>
      <c r="I583" s="26" t="s">
        <v>581</v>
      </c>
      <c r="J583" s="26">
        <v>2.0</v>
      </c>
      <c r="K583" s="26" t="s">
        <v>136</v>
      </c>
      <c r="L583" s="26" t="s">
        <v>29</v>
      </c>
      <c r="M583" s="26" t="s">
        <v>95</v>
      </c>
      <c r="N583" s="26" t="s">
        <v>307</v>
      </c>
      <c r="O583" s="26">
        <v>2.0</v>
      </c>
    </row>
    <row r="584" ht="15.75" customHeight="1">
      <c r="A584" s="26" t="s">
        <v>2928</v>
      </c>
      <c r="B584" s="26" t="s">
        <v>2929</v>
      </c>
      <c r="C584" s="26" t="s">
        <v>363</v>
      </c>
      <c r="D584" s="26" t="s">
        <v>54</v>
      </c>
      <c r="E584" s="26" t="s">
        <v>2930</v>
      </c>
      <c r="F584" s="26" t="s">
        <v>432</v>
      </c>
      <c r="G584" s="26" t="s">
        <v>182</v>
      </c>
      <c r="H584" s="26" t="s">
        <v>34</v>
      </c>
      <c r="I584" s="26" t="s">
        <v>572</v>
      </c>
      <c r="J584" s="26">
        <v>3.0</v>
      </c>
      <c r="K584" s="26" t="s">
        <v>2887</v>
      </c>
      <c r="L584" s="26" t="s">
        <v>19</v>
      </c>
      <c r="M584" s="26" t="s">
        <v>66</v>
      </c>
      <c r="N584" s="26" t="s">
        <v>307</v>
      </c>
      <c r="O584" s="26">
        <v>0.0</v>
      </c>
    </row>
    <row r="585" ht="15.75" customHeight="1">
      <c r="A585" s="26" t="s">
        <v>2931</v>
      </c>
      <c r="B585" s="26" t="s">
        <v>2932</v>
      </c>
      <c r="C585" s="26" t="s">
        <v>312</v>
      </c>
      <c r="D585" s="26" t="s">
        <v>69</v>
      </c>
      <c r="E585" s="26" t="s">
        <v>2933</v>
      </c>
      <c r="F585" s="26" t="s">
        <v>2291</v>
      </c>
      <c r="G585" s="26" t="s">
        <v>1081</v>
      </c>
      <c r="H585" s="26" t="s">
        <v>34</v>
      </c>
      <c r="I585" s="26"/>
      <c r="J585" s="26">
        <v>1.0</v>
      </c>
      <c r="K585" s="26" t="s">
        <v>2292</v>
      </c>
      <c r="L585" s="26" t="s">
        <v>15</v>
      </c>
      <c r="M585" s="26" t="s">
        <v>81</v>
      </c>
      <c r="N585" s="26" t="s">
        <v>307</v>
      </c>
      <c r="O585" s="26">
        <v>1.0</v>
      </c>
    </row>
    <row r="586" ht="15.75" customHeight="1">
      <c r="A586" s="26" t="s">
        <v>2934</v>
      </c>
      <c r="B586" s="26" t="s">
        <v>2935</v>
      </c>
      <c r="C586" s="26" t="s">
        <v>429</v>
      </c>
      <c r="D586" s="26" t="s">
        <v>54</v>
      </c>
      <c r="E586" s="26" t="s">
        <v>2936</v>
      </c>
      <c r="F586" s="26" t="s">
        <v>432</v>
      </c>
      <c r="G586" s="26" t="s">
        <v>182</v>
      </c>
      <c r="H586" s="26" t="s">
        <v>34</v>
      </c>
      <c r="I586" s="26" t="s">
        <v>520</v>
      </c>
      <c r="J586" s="26">
        <v>4.0</v>
      </c>
      <c r="K586" s="26" t="s">
        <v>2937</v>
      </c>
      <c r="L586" s="26" t="s">
        <v>15</v>
      </c>
      <c r="M586" s="26" t="s">
        <v>87</v>
      </c>
      <c r="N586" s="26" t="s">
        <v>307</v>
      </c>
      <c r="O586" s="26">
        <v>1.0</v>
      </c>
    </row>
    <row r="587" ht="15.75" customHeight="1">
      <c r="A587" s="26" t="s">
        <v>2938</v>
      </c>
      <c r="B587" s="26" t="s">
        <v>2939</v>
      </c>
      <c r="C587" s="26" t="s">
        <v>312</v>
      </c>
      <c r="D587" s="26" t="s">
        <v>45</v>
      </c>
      <c r="E587" s="26" t="s">
        <v>2940</v>
      </c>
      <c r="F587" s="26" t="s">
        <v>303</v>
      </c>
      <c r="G587" s="26" t="s">
        <v>140</v>
      </c>
      <c r="H587" s="26" t="s">
        <v>34</v>
      </c>
      <c r="I587" s="26" t="s">
        <v>169</v>
      </c>
      <c r="J587" s="26">
        <v>2.0</v>
      </c>
      <c r="K587" s="26" t="s">
        <v>2266</v>
      </c>
      <c r="L587" s="26" t="s">
        <v>15</v>
      </c>
      <c r="M587" s="26" t="s">
        <v>81</v>
      </c>
      <c r="N587" s="26" t="s">
        <v>307</v>
      </c>
      <c r="O587" s="26">
        <v>1.0</v>
      </c>
    </row>
    <row r="588" ht="15.75" customHeight="1">
      <c r="A588" s="26" t="s">
        <v>2941</v>
      </c>
      <c r="B588" s="26" t="s">
        <v>2942</v>
      </c>
      <c r="C588" s="26" t="s">
        <v>300</v>
      </c>
      <c r="D588" s="26" t="s">
        <v>85</v>
      </c>
      <c r="E588" s="26" t="s">
        <v>1376</v>
      </c>
      <c r="F588" s="26" t="s">
        <v>2943</v>
      </c>
      <c r="G588" s="26" t="s">
        <v>601</v>
      </c>
      <c r="H588" s="26" t="s">
        <v>46</v>
      </c>
      <c r="I588" s="26"/>
      <c r="J588" s="26">
        <v>1.0</v>
      </c>
      <c r="K588" s="26" t="s">
        <v>1377</v>
      </c>
      <c r="L588" s="26" t="s">
        <v>15</v>
      </c>
      <c r="M588" s="26" t="s">
        <v>81</v>
      </c>
      <c r="N588" s="26" t="s">
        <v>307</v>
      </c>
      <c r="O588" s="26">
        <v>2.0</v>
      </c>
    </row>
    <row r="589" ht="15.75" customHeight="1">
      <c r="A589" s="26" t="s">
        <v>2944</v>
      </c>
      <c r="B589" s="26" t="s">
        <v>2945</v>
      </c>
      <c r="C589" s="26" t="s">
        <v>300</v>
      </c>
      <c r="D589" s="26" t="s">
        <v>50</v>
      </c>
      <c r="E589" s="26" t="s">
        <v>2946</v>
      </c>
      <c r="F589" s="26" t="s">
        <v>847</v>
      </c>
      <c r="G589" s="26" t="s">
        <v>328</v>
      </c>
      <c r="H589" s="26" t="s">
        <v>49</v>
      </c>
      <c r="I589" s="26"/>
      <c r="J589" s="26">
        <v>1.0</v>
      </c>
      <c r="K589" s="26" t="s">
        <v>2947</v>
      </c>
      <c r="L589" s="26" t="s">
        <v>19</v>
      </c>
      <c r="M589" s="26" t="s">
        <v>66</v>
      </c>
      <c r="N589" s="26" t="s">
        <v>307</v>
      </c>
      <c r="O589" s="26">
        <v>2.0</v>
      </c>
    </row>
    <row r="590" ht="15.75" customHeight="1">
      <c r="A590" s="26" t="s">
        <v>2948</v>
      </c>
      <c r="B590" s="26" t="s">
        <v>2949</v>
      </c>
      <c r="C590" s="26" t="s">
        <v>363</v>
      </c>
      <c r="D590" s="26" t="s">
        <v>36</v>
      </c>
      <c r="E590" s="26" t="s">
        <v>141</v>
      </c>
      <c r="F590" s="26" t="s">
        <v>760</v>
      </c>
      <c r="G590" s="26" t="s">
        <v>51</v>
      </c>
      <c r="H590" s="26" t="s">
        <v>52</v>
      </c>
      <c r="I590" s="26"/>
      <c r="J590" s="26">
        <v>1.0</v>
      </c>
      <c r="K590" s="26" t="s">
        <v>142</v>
      </c>
      <c r="L590" s="26" t="s">
        <v>15</v>
      </c>
      <c r="M590" s="26" t="s">
        <v>81</v>
      </c>
      <c r="N590" s="26" t="s">
        <v>307</v>
      </c>
      <c r="O590" s="26">
        <v>1.0</v>
      </c>
    </row>
    <row r="591" ht="15.75" customHeight="1">
      <c r="A591" s="26" t="s">
        <v>2950</v>
      </c>
      <c r="B591" s="26" t="s">
        <v>2951</v>
      </c>
      <c r="C591" s="26" t="s">
        <v>363</v>
      </c>
      <c r="D591" s="26" t="s">
        <v>45</v>
      </c>
      <c r="E591" s="26" t="s">
        <v>2952</v>
      </c>
      <c r="F591" s="26" t="s">
        <v>799</v>
      </c>
      <c r="G591" s="26" t="s">
        <v>130</v>
      </c>
      <c r="H591" s="26" t="s">
        <v>34</v>
      </c>
      <c r="I591" s="26"/>
      <c r="J591" s="26">
        <v>1.0</v>
      </c>
      <c r="K591" s="26" t="s">
        <v>2953</v>
      </c>
      <c r="L591" s="26" t="s">
        <v>15</v>
      </c>
      <c r="M591" s="26" t="s">
        <v>81</v>
      </c>
      <c r="N591" s="26" t="s">
        <v>307</v>
      </c>
      <c r="O591" s="26">
        <v>1.0</v>
      </c>
    </row>
    <row r="592" ht="15.75" customHeight="1">
      <c r="A592" s="26" t="s">
        <v>2954</v>
      </c>
      <c r="B592" s="26" t="s">
        <v>2955</v>
      </c>
      <c r="C592" s="26" t="s">
        <v>429</v>
      </c>
      <c r="D592" s="26" t="s">
        <v>54</v>
      </c>
      <c r="E592" s="26" t="s">
        <v>2956</v>
      </c>
      <c r="F592" s="26" t="s">
        <v>432</v>
      </c>
      <c r="G592" s="26" t="s">
        <v>182</v>
      </c>
      <c r="H592" s="26" t="s">
        <v>34</v>
      </c>
      <c r="I592" s="26"/>
      <c r="J592" s="26">
        <v>1.0</v>
      </c>
      <c r="K592" s="26" t="s">
        <v>136</v>
      </c>
      <c r="L592" s="26" t="s">
        <v>29</v>
      </c>
      <c r="M592" s="26" t="s">
        <v>95</v>
      </c>
      <c r="N592" s="26" t="s">
        <v>307</v>
      </c>
      <c r="O592" s="26">
        <v>3.0</v>
      </c>
    </row>
    <row r="593" ht="15.75" customHeight="1">
      <c r="A593" s="26" t="s">
        <v>2957</v>
      </c>
      <c r="B593" s="26" t="s">
        <v>2958</v>
      </c>
      <c r="C593" s="26" t="s">
        <v>429</v>
      </c>
      <c r="D593" s="26" t="s">
        <v>59</v>
      </c>
      <c r="E593" s="26" t="s">
        <v>2959</v>
      </c>
      <c r="F593" s="26" t="s">
        <v>372</v>
      </c>
      <c r="G593" s="26" t="s">
        <v>373</v>
      </c>
      <c r="H593" s="26" t="s">
        <v>34</v>
      </c>
      <c r="I593" s="26"/>
      <c r="J593" s="26">
        <v>1.0</v>
      </c>
      <c r="K593" s="26" t="s">
        <v>2960</v>
      </c>
      <c r="L593" s="26" t="s">
        <v>15</v>
      </c>
      <c r="M593" s="26" t="s">
        <v>81</v>
      </c>
      <c r="N593" s="26" t="s">
        <v>307</v>
      </c>
      <c r="O593" s="26">
        <v>1.0</v>
      </c>
    </row>
    <row r="594" ht="15.75" customHeight="1">
      <c r="A594" s="26" t="s">
        <v>2961</v>
      </c>
      <c r="B594" s="26" t="s">
        <v>2962</v>
      </c>
      <c r="C594" s="26" t="s">
        <v>429</v>
      </c>
      <c r="D594" s="26" t="s">
        <v>50</v>
      </c>
      <c r="E594" s="26" t="s">
        <v>2963</v>
      </c>
      <c r="F594" s="26" t="s">
        <v>847</v>
      </c>
      <c r="G594" s="26" t="s">
        <v>328</v>
      </c>
      <c r="H594" s="26" t="s">
        <v>49</v>
      </c>
      <c r="I594" s="26" t="s">
        <v>566</v>
      </c>
      <c r="J594" s="26">
        <v>2.0</v>
      </c>
      <c r="K594" s="26" t="s">
        <v>2964</v>
      </c>
      <c r="L594" s="26" t="s">
        <v>15</v>
      </c>
      <c r="M594" s="26" t="s">
        <v>81</v>
      </c>
      <c r="N594" s="26" t="s">
        <v>307</v>
      </c>
      <c r="O594" s="26">
        <v>2.0</v>
      </c>
    </row>
    <row r="595" ht="15.75" customHeight="1">
      <c r="A595" s="26" t="s">
        <v>2965</v>
      </c>
      <c r="B595" s="26" t="s">
        <v>2966</v>
      </c>
      <c r="C595" s="26" t="s">
        <v>429</v>
      </c>
      <c r="D595" s="26" t="s">
        <v>45</v>
      </c>
      <c r="E595" s="26" t="s">
        <v>2967</v>
      </c>
      <c r="F595" s="26" t="s">
        <v>303</v>
      </c>
      <c r="G595" s="26" t="s">
        <v>140</v>
      </c>
      <c r="H595" s="26" t="s">
        <v>34</v>
      </c>
      <c r="I595" s="26" t="s">
        <v>166</v>
      </c>
      <c r="J595" s="26">
        <v>3.0</v>
      </c>
      <c r="K595" s="26" t="s">
        <v>2968</v>
      </c>
      <c r="L595" s="26" t="s">
        <v>15</v>
      </c>
      <c r="M595" s="26" t="s">
        <v>81</v>
      </c>
      <c r="N595" s="26" t="s">
        <v>307</v>
      </c>
      <c r="O595" s="26">
        <v>2.0</v>
      </c>
    </row>
    <row r="596" ht="15.75" customHeight="1">
      <c r="A596" s="26" t="s">
        <v>2969</v>
      </c>
      <c r="B596" s="26" t="s">
        <v>2970</v>
      </c>
      <c r="C596" s="26" t="s">
        <v>300</v>
      </c>
      <c r="D596" s="26" t="s">
        <v>54</v>
      </c>
      <c r="E596" s="26" t="s">
        <v>786</v>
      </c>
      <c r="F596" s="26" t="s">
        <v>326</v>
      </c>
      <c r="G596" s="26" t="s">
        <v>327</v>
      </c>
      <c r="H596" s="26" t="s">
        <v>49</v>
      </c>
      <c r="I596" s="26"/>
      <c r="J596" s="26">
        <v>1.0</v>
      </c>
      <c r="K596" s="26" t="s">
        <v>787</v>
      </c>
      <c r="L596" s="26" t="s">
        <v>15</v>
      </c>
      <c r="M596" s="26" t="s">
        <v>81</v>
      </c>
      <c r="N596" s="26" t="s">
        <v>307</v>
      </c>
      <c r="O596" s="26">
        <v>1.0</v>
      </c>
    </row>
    <row r="597" ht="15.75" customHeight="1">
      <c r="A597" s="26" t="s">
        <v>2971</v>
      </c>
      <c r="B597" s="26" t="s">
        <v>2972</v>
      </c>
      <c r="C597" s="26" t="s">
        <v>300</v>
      </c>
      <c r="D597" s="26" t="s">
        <v>36</v>
      </c>
      <c r="E597" s="26" t="s">
        <v>187</v>
      </c>
      <c r="F597" s="26" t="s">
        <v>2381</v>
      </c>
      <c r="G597" s="26" t="s">
        <v>88</v>
      </c>
      <c r="H597" s="26" t="s">
        <v>46</v>
      </c>
      <c r="I597" s="26"/>
      <c r="J597" s="26">
        <v>1.0</v>
      </c>
      <c r="K597" s="26" t="s">
        <v>188</v>
      </c>
      <c r="L597" s="26" t="s">
        <v>15</v>
      </c>
      <c r="M597" s="26" t="s">
        <v>81</v>
      </c>
      <c r="N597" s="26" t="s">
        <v>307</v>
      </c>
      <c r="O597" s="26">
        <v>94.0</v>
      </c>
    </row>
    <row r="598" ht="15.75" customHeight="1">
      <c r="A598" s="26" t="s">
        <v>2973</v>
      </c>
      <c r="B598" s="26" t="s">
        <v>2974</v>
      </c>
      <c r="C598" s="26" t="s">
        <v>363</v>
      </c>
      <c r="D598" s="26" t="s">
        <v>69</v>
      </c>
      <c r="E598" s="26" t="s">
        <v>2975</v>
      </c>
      <c r="F598" s="26" t="s">
        <v>887</v>
      </c>
      <c r="G598" s="26" t="s">
        <v>888</v>
      </c>
      <c r="H598" s="26" t="s">
        <v>46</v>
      </c>
      <c r="I598" s="26"/>
      <c r="J598" s="26">
        <v>0.0</v>
      </c>
      <c r="K598" s="26" t="s">
        <v>136</v>
      </c>
      <c r="L598" s="26" t="s">
        <v>29</v>
      </c>
      <c r="M598" s="26" t="s">
        <v>95</v>
      </c>
      <c r="N598" s="26" t="s">
        <v>307</v>
      </c>
      <c r="O598" s="26">
        <v>2.0</v>
      </c>
    </row>
    <row r="599" ht="15.75" customHeight="1">
      <c r="A599" s="26" t="s">
        <v>2976</v>
      </c>
      <c r="B599" s="26" t="s">
        <v>2977</v>
      </c>
      <c r="C599" s="26" t="s">
        <v>363</v>
      </c>
      <c r="D599" s="26" t="s">
        <v>45</v>
      </c>
      <c r="E599" s="26" t="s">
        <v>2978</v>
      </c>
      <c r="F599" s="26" t="s">
        <v>744</v>
      </c>
      <c r="G599" s="26" t="s">
        <v>148</v>
      </c>
      <c r="H599" s="26" t="s">
        <v>34</v>
      </c>
      <c r="I599" s="26" t="s">
        <v>130</v>
      </c>
      <c r="J599" s="26">
        <v>3.0</v>
      </c>
      <c r="K599" s="26" t="s">
        <v>2979</v>
      </c>
      <c r="L599" s="26" t="s">
        <v>15</v>
      </c>
      <c r="M599" s="26" t="s">
        <v>81</v>
      </c>
      <c r="N599" s="26" t="s">
        <v>307</v>
      </c>
      <c r="O599" s="26">
        <v>5.0</v>
      </c>
    </row>
    <row r="600" ht="15.75" customHeight="1">
      <c r="A600" s="26" t="s">
        <v>2980</v>
      </c>
      <c r="B600" s="26" t="s">
        <v>2981</v>
      </c>
      <c r="C600" s="26" t="s">
        <v>322</v>
      </c>
      <c r="D600" s="26" t="s">
        <v>62</v>
      </c>
      <c r="E600" s="26" t="s">
        <v>949</v>
      </c>
      <c r="F600" s="26" t="s">
        <v>1539</v>
      </c>
      <c r="G600" s="26" t="s">
        <v>212</v>
      </c>
      <c r="H600" s="26" t="s">
        <v>34</v>
      </c>
      <c r="I600" s="26"/>
      <c r="J600" s="26">
        <v>1.0</v>
      </c>
      <c r="K600" s="26" t="s">
        <v>950</v>
      </c>
      <c r="L600" s="26" t="s">
        <v>19</v>
      </c>
      <c r="M600" s="26" t="s">
        <v>66</v>
      </c>
      <c r="N600" s="26" t="s">
        <v>307</v>
      </c>
      <c r="O600" s="26">
        <v>4.0</v>
      </c>
    </row>
    <row r="601" ht="15.75" customHeight="1">
      <c r="A601" s="26" t="s">
        <v>2982</v>
      </c>
      <c r="B601" s="26" t="s">
        <v>2983</v>
      </c>
      <c r="C601" s="26" t="s">
        <v>429</v>
      </c>
      <c r="D601" s="26" t="s">
        <v>45</v>
      </c>
      <c r="E601" s="26" t="s">
        <v>2984</v>
      </c>
      <c r="F601" s="26" t="s">
        <v>303</v>
      </c>
      <c r="G601" s="26" t="s">
        <v>140</v>
      </c>
      <c r="H601" s="26" t="s">
        <v>34</v>
      </c>
      <c r="I601" s="26" t="s">
        <v>169</v>
      </c>
      <c r="J601" s="26">
        <v>2.0</v>
      </c>
      <c r="K601" s="26" t="s">
        <v>2979</v>
      </c>
      <c r="L601" s="26" t="s">
        <v>15</v>
      </c>
      <c r="M601" s="26" t="s">
        <v>81</v>
      </c>
      <c r="N601" s="26" t="s">
        <v>307</v>
      </c>
      <c r="O601" s="26">
        <v>4.0</v>
      </c>
    </row>
    <row r="602" ht="15.75" customHeight="1">
      <c r="A602" s="26" t="s">
        <v>2985</v>
      </c>
      <c r="B602" s="26" t="s">
        <v>2986</v>
      </c>
      <c r="C602" s="26" t="s">
        <v>363</v>
      </c>
      <c r="D602" s="26" t="s">
        <v>45</v>
      </c>
      <c r="E602" s="26" t="s">
        <v>304</v>
      </c>
      <c r="F602" s="26" t="s">
        <v>806</v>
      </c>
      <c r="G602" s="26" t="s">
        <v>169</v>
      </c>
      <c r="H602" s="26" t="s">
        <v>52</v>
      </c>
      <c r="I602" s="26"/>
      <c r="J602" s="26">
        <v>1.0</v>
      </c>
      <c r="K602" s="26" t="s">
        <v>2979</v>
      </c>
      <c r="L602" s="26" t="s">
        <v>15</v>
      </c>
      <c r="M602" s="26" t="s">
        <v>81</v>
      </c>
      <c r="N602" s="26" t="s">
        <v>307</v>
      </c>
      <c r="O602" s="26">
        <v>4.0</v>
      </c>
    </row>
    <row r="603" ht="15.75" customHeight="1">
      <c r="A603" s="26" t="s">
        <v>2987</v>
      </c>
      <c r="B603" s="26" t="s">
        <v>2988</v>
      </c>
      <c r="C603" s="26" t="s">
        <v>363</v>
      </c>
      <c r="D603" s="26" t="s">
        <v>36</v>
      </c>
      <c r="E603" s="26" t="s">
        <v>2989</v>
      </c>
      <c r="F603" s="26" t="s">
        <v>2116</v>
      </c>
      <c r="G603" s="26" t="s">
        <v>84</v>
      </c>
      <c r="H603" s="26" t="s">
        <v>34</v>
      </c>
      <c r="I603" s="26" t="s">
        <v>82</v>
      </c>
      <c r="J603" s="26">
        <v>2.0</v>
      </c>
      <c r="K603" s="26" t="s">
        <v>136</v>
      </c>
      <c r="L603" s="26" t="s">
        <v>29</v>
      </c>
      <c r="M603" s="26" t="s">
        <v>95</v>
      </c>
      <c r="N603" s="26" t="s">
        <v>307</v>
      </c>
      <c r="O603" s="26">
        <v>2.0</v>
      </c>
    </row>
    <row r="604" ht="15.75" customHeight="1">
      <c r="A604" s="26" t="s">
        <v>2990</v>
      </c>
      <c r="B604" s="26" t="s">
        <v>2991</v>
      </c>
      <c r="C604" s="26" t="s">
        <v>429</v>
      </c>
      <c r="D604" s="26" t="s">
        <v>36</v>
      </c>
      <c r="E604" s="26" t="s">
        <v>242</v>
      </c>
      <c r="F604" s="26" t="s">
        <v>391</v>
      </c>
      <c r="G604" s="26" t="s">
        <v>114</v>
      </c>
      <c r="H604" s="26" t="s">
        <v>74</v>
      </c>
      <c r="I604" s="26"/>
      <c r="J604" s="26">
        <v>0.0</v>
      </c>
      <c r="K604" s="26" t="s">
        <v>136</v>
      </c>
      <c r="L604" s="26" t="s">
        <v>29</v>
      </c>
      <c r="M604" s="26" t="s">
        <v>95</v>
      </c>
      <c r="N604" s="26" t="s">
        <v>307</v>
      </c>
      <c r="O604" s="26">
        <v>3.0</v>
      </c>
    </row>
    <row r="605" ht="15.75" customHeight="1">
      <c r="A605" s="26" t="s">
        <v>2992</v>
      </c>
      <c r="B605" s="26" t="s">
        <v>2993</v>
      </c>
      <c r="C605" s="26" t="s">
        <v>429</v>
      </c>
      <c r="D605" s="26" t="s">
        <v>48</v>
      </c>
      <c r="E605" s="26" t="s">
        <v>2994</v>
      </c>
      <c r="F605" s="26" t="s">
        <v>366</v>
      </c>
      <c r="G605" s="26" t="s">
        <v>258</v>
      </c>
      <c r="H605" s="26" t="s">
        <v>61</v>
      </c>
      <c r="I605" s="26"/>
      <c r="J605" s="26">
        <v>1.0</v>
      </c>
      <c r="K605" s="26" t="s">
        <v>538</v>
      </c>
      <c r="L605" s="26" t="s">
        <v>15</v>
      </c>
      <c r="M605" s="26" t="s">
        <v>81</v>
      </c>
      <c r="N605" s="26" t="s">
        <v>307</v>
      </c>
      <c r="O605" s="26">
        <v>2.0</v>
      </c>
    </row>
    <row r="606" ht="15.75" customHeight="1">
      <c r="A606" s="26" t="s">
        <v>2995</v>
      </c>
      <c r="B606" s="26" t="s">
        <v>2996</v>
      </c>
      <c r="C606" s="26" t="s">
        <v>363</v>
      </c>
      <c r="D606" s="26" t="s">
        <v>62</v>
      </c>
      <c r="E606" s="26" t="s">
        <v>2997</v>
      </c>
      <c r="F606" s="26" t="s">
        <v>1539</v>
      </c>
      <c r="G606" s="26" t="s">
        <v>212</v>
      </c>
      <c r="H606" s="26" t="s">
        <v>34</v>
      </c>
      <c r="I606" s="26" t="s">
        <v>119</v>
      </c>
      <c r="J606" s="26">
        <v>2.0</v>
      </c>
      <c r="K606" s="26" t="s">
        <v>793</v>
      </c>
      <c r="L606" s="26" t="s">
        <v>15</v>
      </c>
      <c r="M606" s="26" t="s">
        <v>81</v>
      </c>
      <c r="N606" s="26" t="s">
        <v>307</v>
      </c>
      <c r="O606" s="26">
        <v>4.0</v>
      </c>
    </row>
    <row r="607" ht="15.75" customHeight="1">
      <c r="A607" s="26" t="s">
        <v>2998</v>
      </c>
      <c r="B607" s="26" t="s">
        <v>2999</v>
      </c>
      <c r="C607" s="26" t="s">
        <v>312</v>
      </c>
      <c r="D607" s="26" t="s">
        <v>50</v>
      </c>
      <c r="E607" s="26" t="s">
        <v>3000</v>
      </c>
      <c r="F607" s="26" t="s">
        <v>847</v>
      </c>
      <c r="G607" s="26" t="s">
        <v>328</v>
      </c>
      <c r="H607" s="26" t="s">
        <v>49</v>
      </c>
      <c r="I607" s="26"/>
      <c r="J607" s="26">
        <v>1.0</v>
      </c>
      <c r="K607" s="26" t="s">
        <v>3001</v>
      </c>
      <c r="L607" s="26" t="s">
        <v>15</v>
      </c>
      <c r="M607" s="26" t="s">
        <v>81</v>
      </c>
      <c r="N607" s="26" t="s">
        <v>307</v>
      </c>
      <c r="O607" s="26">
        <v>4.0</v>
      </c>
    </row>
    <row r="608" ht="15.75" customHeight="1">
      <c r="A608" s="26" t="s">
        <v>3002</v>
      </c>
      <c r="B608" s="26" t="s">
        <v>3003</v>
      </c>
      <c r="C608" s="26" t="s">
        <v>363</v>
      </c>
      <c r="D608" s="26" t="s">
        <v>45</v>
      </c>
      <c r="E608" s="26" t="s">
        <v>3004</v>
      </c>
      <c r="F608" s="26" t="s">
        <v>303</v>
      </c>
      <c r="G608" s="26" t="s">
        <v>140</v>
      </c>
      <c r="H608" s="26" t="s">
        <v>34</v>
      </c>
      <c r="I608" s="26" t="s">
        <v>143</v>
      </c>
      <c r="J608" s="26">
        <v>4.0</v>
      </c>
      <c r="K608" s="26" t="s">
        <v>3005</v>
      </c>
      <c r="L608" s="26" t="s">
        <v>15</v>
      </c>
      <c r="M608" s="26" t="s">
        <v>81</v>
      </c>
      <c r="N608" s="26" t="s">
        <v>307</v>
      </c>
      <c r="O608" s="26">
        <v>4.0</v>
      </c>
    </row>
    <row r="609" ht="15.75" customHeight="1">
      <c r="A609" s="26" t="s">
        <v>3006</v>
      </c>
      <c r="B609" s="26" t="s">
        <v>3007</v>
      </c>
      <c r="C609" s="26" t="s">
        <v>322</v>
      </c>
      <c r="D609" s="26" t="s">
        <v>62</v>
      </c>
      <c r="E609" s="26" t="s">
        <v>941</v>
      </c>
      <c r="F609" s="26" t="s">
        <v>1539</v>
      </c>
      <c r="G609" s="26" t="s">
        <v>212</v>
      </c>
      <c r="H609" s="26" t="s">
        <v>34</v>
      </c>
      <c r="I609" s="26"/>
      <c r="J609" s="26">
        <v>1.0</v>
      </c>
      <c r="K609" s="26" t="s">
        <v>944</v>
      </c>
      <c r="L609" s="26" t="s">
        <v>19</v>
      </c>
      <c r="M609" s="26" t="s">
        <v>66</v>
      </c>
      <c r="N609" s="26" t="s">
        <v>307</v>
      </c>
      <c r="O609" s="26">
        <v>3.0</v>
      </c>
    </row>
    <row r="610" ht="15.75" customHeight="1">
      <c r="A610" s="26" t="s">
        <v>3008</v>
      </c>
      <c r="B610" s="26" t="s">
        <v>3009</v>
      </c>
      <c r="C610" s="26" t="s">
        <v>300</v>
      </c>
      <c r="D610" s="26" t="s">
        <v>50</v>
      </c>
      <c r="E610" s="26" t="s">
        <v>3010</v>
      </c>
      <c r="F610" s="26" t="s">
        <v>336</v>
      </c>
      <c r="G610" s="26" t="s">
        <v>75</v>
      </c>
      <c r="H610" s="26" t="s">
        <v>53</v>
      </c>
      <c r="I610" s="26" t="s">
        <v>328</v>
      </c>
      <c r="J610" s="26">
        <v>2.0</v>
      </c>
      <c r="K610" s="26" t="s">
        <v>136</v>
      </c>
      <c r="L610" s="26" t="s">
        <v>29</v>
      </c>
      <c r="M610" s="26" t="s">
        <v>95</v>
      </c>
      <c r="N610" s="26" t="s">
        <v>307</v>
      </c>
      <c r="O610" s="26">
        <v>2.0</v>
      </c>
    </row>
    <row r="611" ht="15.75" customHeight="1">
      <c r="A611" s="26" t="s">
        <v>3011</v>
      </c>
      <c r="B611" s="26" t="s">
        <v>3012</v>
      </c>
      <c r="C611" s="26" t="s">
        <v>363</v>
      </c>
      <c r="D611" s="26" t="s">
        <v>50</v>
      </c>
      <c r="E611" s="26" t="s">
        <v>629</v>
      </c>
      <c r="F611" s="26" t="s">
        <v>336</v>
      </c>
      <c r="G611" s="26" t="s">
        <v>75</v>
      </c>
      <c r="H611" s="26" t="s">
        <v>53</v>
      </c>
      <c r="I611" s="26"/>
      <c r="J611" s="26">
        <v>1.0</v>
      </c>
      <c r="K611" s="26" t="s">
        <v>358</v>
      </c>
      <c r="L611" s="26" t="s">
        <v>19</v>
      </c>
      <c r="M611" s="26" t="s">
        <v>66</v>
      </c>
      <c r="N611" s="26" t="s">
        <v>307</v>
      </c>
      <c r="O611" s="26">
        <v>2.0</v>
      </c>
    </row>
    <row r="612" ht="15.75" customHeight="1">
      <c r="A612" s="26" t="s">
        <v>3013</v>
      </c>
      <c r="B612" s="26" t="s">
        <v>3014</v>
      </c>
      <c r="C612" s="26" t="s">
        <v>363</v>
      </c>
      <c r="D612" s="26" t="s">
        <v>50</v>
      </c>
      <c r="E612" s="26" t="s">
        <v>3015</v>
      </c>
      <c r="F612" s="26" t="s">
        <v>336</v>
      </c>
      <c r="G612" s="26" t="s">
        <v>75</v>
      </c>
      <c r="H612" s="26" t="s">
        <v>53</v>
      </c>
      <c r="I612" s="26" t="s">
        <v>548</v>
      </c>
      <c r="J612" s="26">
        <v>2.0</v>
      </c>
      <c r="K612" s="26" t="s">
        <v>136</v>
      </c>
      <c r="L612" s="26" t="s">
        <v>29</v>
      </c>
      <c r="M612" s="26" t="s">
        <v>95</v>
      </c>
      <c r="N612" s="26" t="s">
        <v>307</v>
      </c>
      <c r="O612" s="26">
        <v>2.0</v>
      </c>
    </row>
    <row r="613" ht="15.75" customHeight="1">
      <c r="A613" s="26" t="s">
        <v>3016</v>
      </c>
      <c r="B613" s="26" t="s">
        <v>3017</v>
      </c>
      <c r="C613" s="26" t="s">
        <v>363</v>
      </c>
      <c r="D613" s="26" t="s">
        <v>48</v>
      </c>
      <c r="E613" s="26" t="s">
        <v>536</v>
      </c>
      <c r="F613" s="26" t="s">
        <v>672</v>
      </c>
      <c r="G613" s="26" t="s">
        <v>339</v>
      </c>
      <c r="H613" s="26" t="s">
        <v>49</v>
      </c>
      <c r="I613" s="26"/>
      <c r="J613" s="26">
        <v>1.0</v>
      </c>
      <c r="K613" s="26" t="s">
        <v>538</v>
      </c>
      <c r="L613" s="26" t="s">
        <v>15</v>
      </c>
      <c r="M613" s="26" t="s">
        <v>81</v>
      </c>
      <c r="N613" s="26" t="s">
        <v>307</v>
      </c>
      <c r="O613" s="26">
        <v>90.0</v>
      </c>
    </row>
    <row r="614" ht="15.75" customHeight="1">
      <c r="A614" s="26" t="s">
        <v>3018</v>
      </c>
      <c r="B614" s="26" t="s">
        <v>3019</v>
      </c>
      <c r="C614" s="26" t="s">
        <v>322</v>
      </c>
      <c r="D614" s="26" t="s">
        <v>62</v>
      </c>
      <c r="E614" s="26" t="s">
        <v>978</v>
      </c>
      <c r="F614" s="26" t="s">
        <v>2755</v>
      </c>
      <c r="G614" s="26" t="s">
        <v>970</v>
      </c>
      <c r="H614" s="26" t="s">
        <v>34</v>
      </c>
      <c r="I614" s="26"/>
      <c r="J614" s="26">
        <v>1.0</v>
      </c>
      <c r="K614" s="26" t="s">
        <v>980</v>
      </c>
      <c r="L614" s="26" t="s">
        <v>19</v>
      </c>
      <c r="M614" s="26" t="s">
        <v>66</v>
      </c>
      <c r="N614" s="26" t="s">
        <v>307</v>
      </c>
      <c r="O614" s="26">
        <v>3.0</v>
      </c>
    </row>
    <row r="615" ht="15.75" customHeight="1">
      <c r="A615" s="26" t="s">
        <v>3020</v>
      </c>
      <c r="B615" s="26" t="s">
        <v>3021</v>
      </c>
      <c r="C615" s="26" t="s">
        <v>312</v>
      </c>
      <c r="D615" s="26" t="s">
        <v>36</v>
      </c>
      <c r="E615" s="26" t="s">
        <v>3022</v>
      </c>
      <c r="F615" s="26" t="s">
        <v>663</v>
      </c>
      <c r="G615" s="26" t="s">
        <v>44</v>
      </c>
      <c r="H615" s="26" t="s">
        <v>34</v>
      </c>
      <c r="I615" s="26" t="s">
        <v>98</v>
      </c>
      <c r="J615" s="26">
        <v>3.0</v>
      </c>
      <c r="K615" s="26" t="s">
        <v>132</v>
      </c>
      <c r="L615" s="26" t="s">
        <v>19</v>
      </c>
      <c r="M615" s="26" t="s">
        <v>87</v>
      </c>
      <c r="N615" s="26" t="s">
        <v>307</v>
      </c>
      <c r="O615" s="26">
        <v>4.0</v>
      </c>
    </row>
    <row r="616" ht="15.75" customHeight="1">
      <c r="A616" s="26" t="s">
        <v>3023</v>
      </c>
      <c r="B616" s="26" t="s">
        <v>3024</v>
      </c>
      <c r="C616" s="26" t="s">
        <v>363</v>
      </c>
      <c r="D616" s="26" t="s">
        <v>93</v>
      </c>
      <c r="E616" s="26" t="s">
        <v>3025</v>
      </c>
      <c r="F616" s="26" t="s">
        <v>1826</v>
      </c>
      <c r="G616" s="26" t="s">
        <v>1404</v>
      </c>
      <c r="H616" s="26" t="s">
        <v>34</v>
      </c>
      <c r="I616" s="26" t="s">
        <v>3026</v>
      </c>
      <c r="J616" s="26">
        <v>2.0</v>
      </c>
      <c r="K616" s="26" t="s">
        <v>3027</v>
      </c>
      <c r="L616" s="26" t="s">
        <v>19</v>
      </c>
      <c r="M616" s="26" t="s">
        <v>66</v>
      </c>
      <c r="N616" s="26" t="s">
        <v>307</v>
      </c>
      <c r="O616" s="26">
        <v>4.0</v>
      </c>
    </row>
    <row r="617" ht="15.75" customHeight="1">
      <c r="A617" s="26" t="s">
        <v>3028</v>
      </c>
      <c r="B617" s="26" t="s">
        <v>3029</v>
      </c>
      <c r="C617" s="26" t="s">
        <v>300</v>
      </c>
      <c r="D617" s="26" t="s">
        <v>45</v>
      </c>
      <c r="E617" s="26" t="s">
        <v>3030</v>
      </c>
      <c r="F617" s="26" t="s">
        <v>1237</v>
      </c>
      <c r="G617" s="26" t="s">
        <v>166</v>
      </c>
      <c r="H617" s="26" t="s">
        <v>46</v>
      </c>
      <c r="I617" s="26"/>
      <c r="J617" s="26">
        <v>1.0</v>
      </c>
      <c r="K617" s="26" t="s">
        <v>3031</v>
      </c>
      <c r="L617" s="26" t="s">
        <v>19</v>
      </c>
      <c r="M617" s="26" t="s">
        <v>87</v>
      </c>
      <c r="N617" s="26" t="s">
        <v>307</v>
      </c>
      <c r="O617" s="26">
        <v>3.0</v>
      </c>
    </row>
    <row r="618" ht="15.75" customHeight="1">
      <c r="A618" s="26" t="s">
        <v>3032</v>
      </c>
      <c r="B618" s="26" t="s">
        <v>3033</v>
      </c>
      <c r="C618" s="26" t="s">
        <v>300</v>
      </c>
      <c r="D618" s="26" t="s">
        <v>54</v>
      </c>
      <c r="E618" s="26" t="s">
        <v>3034</v>
      </c>
      <c r="F618" s="26" t="s">
        <v>432</v>
      </c>
      <c r="G618" s="26" t="s">
        <v>182</v>
      </c>
      <c r="H618" s="26" t="s">
        <v>34</v>
      </c>
      <c r="I618" s="26" t="s">
        <v>99</v>
      </c>
      <c r="J618" s="26">
        <v>3.0</v>
      </c>
      <c r="K618" s="26" t="s">
        <v>3035</v>
      </c>
      <c r="L618" s="26" t="s">
        <v>19</v>
      </c>
      <c r="M618" s="26" t="s">
        <v>81</v>
      </c>
      <c r="N618" s="26" t="s">
        <v>307</v>
      </c>
      <c r="O618" s="26">
        <v>3.0</v>
      </c>
    </row>
    <row r="619" ht="15.75" customHeight="1">
      <c r="A619" s="26" t="s">
        <v>3036</v>
      </c>
      <c r="B619" s="26" t="s">
        <v>3037</v>
      </c>
      <c r="C619" s="26" t="s">
        <v>312</v>
      </c>
      <c r="D619" s="26" t="s">
        <v>62</v>
      </c>
      <c r="E619" s="26" t="s">
        <v>3038</v>
      </c>
      <c r="F619" s="26" t="s">
        <v>1245</v>
      </c>
      <c r="G619" s="26" t="s">
        <v>119</v>
      </c>
      <c r="H619" s="26" t="s">
        <v>57</v>
      </c>
      <c r="I619" s="26" t="s">
        <v>1007</v>
      </c>
      <c r="J619" s="26">
        <v>2.0</v>
      </c>
      <c r="K619" s="26" t="s">
        <v>3039</v>
      </c>
      <c r="L619" s="26" t="s">
        <v>15</v>
      </c>
      <c r="M619" s="26" t="s">
        <v>81</v>
      </c>
      <c r="N619" s="26" t="s">
        <v>307</v>
      </c>
      <c r="O619" s="26">
        <v>5.0</v>
      </c>
    </row>
    <row r="620" ht="15.75" customHeight="1">
      <c r="A620" s="26" t="s">
        <v>3040</v>
      </c>
      <c r="B620" s="26" t="s">
        <v>3041</v>
      </c>
      <c r="C620" s="26" t="s">
        <v>300</v>
      </c>
      <c r="D620" s="26" t="s">
        <v>54</v>
      </c>
      <c r="E620" s="26" t="s">
        <v>3042</v>
      </c>
      <c r="F620" s="26" t="s">
        <v>644</v>
      </c>
      <c r="G620" s="26" t="s">
        <v>217</v>
      </c>
      <c r="H620" s="26" t="s">
        <v>52</v>
      </c>
      <c r="I620" s="26"/>
      <c r="J620" s="26">
        <v>1.0</v>
      </c>
      <c r="K620" s="26" t="s">
        <v>3043</v>
      </c>
      <c r="L620" s="26" t="s">
        <v>15</v>
      </c>
      <c r="M620" s="26" t="s">
        <v>87</v>
      </c>
      <c r="N620" s="26" t="s">
        <v>307</v>
      </c>
      <c r="O620" s="26">
        <v>6.0</v>
      </c>
    </row>
    <row r="621" ht="15.75" customHeight="1">
      <c r="A621" s="26" t="s">
        <v>3044</v>
      </c>
      <c r="B621" s="26" t="s">
        <v>3045</v>
      </c>
      <c r="C621" s="26" t="s">
        <v>363</v>
      </c>
      <c r="D621" s="26" t="s">
        <v>45</v>
      </c>
      <c r="E621" s="26" t="s">
        <v>3046</v>
      </c>
      <c r="F621" s="26" t="s">
        <v>1237</v>
      </c>
      <c r="G621" s="26" t="s">
        <v>166</v>
      </c>
      <c r="H621" s="26" t="s">
        <v>46</v>
      </c>
      <c r="I621" s="26" t="s">
        <v>220</v>
      </c>
      <c r="J621" s="26">
        <v>2.0</v>
      </c>
      <c r="K621" s="26" t="s">
        <v>3047</v>
      </c>
      <c r="L621" s="26" t="s">
        <v>19</v>
      </c>
      <c r="M621" s="26" t="s">
        <v>87</v>
      </c>
      <c r="N621" s="26" t="s">
        <v>307</v>
      </c>
      <c r="O621" s="26">
        <v>2.0</v>
      </c>
    </row>
    <row r="622" ht="15.75" customHeight="1">
      <c r="A622" s="26" t="s">
        <v>3048</v>
      </c>
      <c r="B622" s="26" t="s">
        <v>3049</v>
      </c>
      <c r="C622" s="26" t="s">
        <v>300</v>
      </c>
      <c r="D622" s="26" t="s">
        <v>45</v>
      </c>
      <c r="E622" s="26" t="s">
        <v>3050</v>
      </c>
      <c r="F622" s="26" t="s">
        <v>1403</v>
      </c>
      <c r="G622" s="26" t="s">
        <v>143</v>
      </c>
      <c r="H622" s="26" t="s">
        <v>46</v>
      </c>
      <c r="I622" s="26"/>
      <c r="J622" s="26">
        <v>1.0</v>
      </c>
      <c r="K622" s="26" t="s">
        <v>3051</v>
      </c>
      <c r="L622" s="26" t="s">
        <v>15</v>
      </c>
      <c r="M622" s="26" t="s">
        <v>81</v>
      </c>
      <c r="N622" s="26" t="s">
        <v>307</v>
      </c>
      <c r="O622" s="26">
        <v>2.0</v>
      </c>
    </row>
    <row r="623" ht="15.75" customHeight="1">
      <c r="A623" s="26" t="s">
        <v>3052</v>
      </c>
      <c r="B623" s="26" t="s">
        <v>3053</v>
      </c>
      <c r="C623" s="26" t="s">
        <v>300</v>
      </c>
      <c r="D623" s="26" t="s">
        <v>54</v>
      </c>
      <c r="E623" s="26" t="s">
        <v>3054</v>
      </c>
      <c r="F623" s="26" t="s">
        <v>432</v>
      </c>
      <c r="G623" s="26" t="s">
        <v>182</v>
      </c>
      <c r="H623" s="26" t="s">
        <v>34</v>
      </c>
      <c r="I623" s="26" t="s">
        <v>520</v>
      </c>
      <c r="J623" s="26">
        <v>5.0</v>
      </c>
      <c r="K623" s="26" t="s">
        <v>3055</v>
      </c>
      <c r="L623" s="26" t="s">
        <v>15</v>
      </c>
      <c r="M623" s="26" t="s">
        <v>81</v>
      </c>
      <c r="N623" s="26" t="s">
        <v>307</v>
      </c>
      <c r="O623" s="26">
        <v>1.0</v>
      </c>
    </row>
    <row r="624" ht="15.75" customHeight="1">
      <c r="A624" s="26" t="s">
        <v>3056</v>
      </c>
      <c r="B624" s="26" t="s">
        <v>3057</v>
      </c>
      <c r="C624" s="26" t="s">
        <v>300</v>
      </c>
      <c r="D624" s="26" t="s">
        <v>62</v>
      </c>
      <c r="E624" s="26" t="s">
        <v>903</v>
      </c>
      <c r="F624" s="26" t="s">
        <v>1245</v>
      </c>
      <c r="G624" s="26" t="s">
        <v>119</v>
      </c>
      <c r="H624" s="26" t="s">
        <v>57</v>
      </c>
      <c r="I624" s="26"/>
      <c r="J624" s="26">
        <v>1.0</v>
      </c>
      <c r="K624" s="26" t="s">
        <v>3058</v>
      </c>
      <c r="L624" s="26" t="s">
        <v>19</v>
      </c>
      <c r="M624" s="26" t="s">
        <v>87</v>
      </c>
      <c r="N624" s="26" t="s">
        <v>307</v>
      </c>
      <c r="O624" s="26">
        <v>2.0</v>
      </c>
    </row>
    <row r="625" ht="15.75" customHeight="1">
      <c r="A625" s="26" t="s">
        <v>3059</v>
      </c>
      <c r="B625" s="26" t="s">
        <v>3057</v>
      </c>
      <c r="C625" s="26" t="s">
        <v>300</v>
      </c>
      <c r="D625" s="26" t="s">
        <v>62</v>
      </c>
      <c r="E625" s="26" t="s">
        <v>3060</v>
      </c>
      <c r="F625" s="26" t="s">
        <v>1245</v>
      </c>
      <c r="G625" s="26" t="s">
        <v>119</v>
      </c>
      <c r="H625" s="26" t="s">
        <v>57</v>
      </c>
      <c r="I625" s="26"/>
      <c r="J625" s="26">
        <v>1.0</v>
      </c>
      <c r="K625" s="26" t="s">
        <v>136</v>
      </c>
      <c r="L625" s="26" t="s">
        <v>29</v>
      </c>
      <c r="M625" s="26" t="s">
        <v>95</v>
      </c>
      <c r="N625" s="26" t="s">
        <v>307</v>
      </c>
      <c r="O625" s="26">
        <v>2.0</v>
      </c>
    </row>
    <row r="626" ht="15.75" customHeight="1">
      <c r="A626" s="26" t="s">
        <v>3061</v>
      </c>
      <c r="B626" s="26" t="s">
        <v>3062</v>
      </c>
      <c r="C626" s="26" t="s">
        <v>300</v>
      </c>
      <c r="D626" s="26" t="s">
        <v>62</v>
      </c>
      <c r="E626" s="26" t="s">
        <v>3063</v>
      </c>
      <c r="F626" s="26" t="s">
        <v>471</v>
      </c>
      <c r="G626" s="26" t="s">
        <v>105</v>
      </c>
      <c r="H626" s="26" t="s">
        <v>46</v>
      </c>
      <c r="I626" s="26" t="s">
        <v>1001</v>
      </c>
      <c r="J626" s="26">
        <v>2.0</v>
      </c>
      <c r="K626" s="26" t="s">
        <v>3064</v>
      </c>
      <c r="L626" s="26" t="s">
        <v>15</v>
      </c>
      <c r="M626" s="26" t="s">
        <v>81</v>
      </c>
      <c r="N626" s="26" t="s">
        <v>307</v>
      </c>
      <c r="O626" s="26">
        <v>3.0</v>
      </c>
    </row>
    <row r="627" ht="15.75" customHeight="1">
      <c r="A627" s="26" t="s">
        <v>3065</v>
      </c>
      <c r="B627" s="26" t="s">
        <v>3066</v>
      </c>
      <c r="C627" s="26" t="s">
        <v>363</v>
      </c>
      <c r="D627" s="26" t="s">
        <v>36</v>
      </c>
      <c r="E627" s="26" t="s">
        <v>155</v>
      </c>
      <c r="F627" s="26" t="s">
        <v>1292</v>
      </c>
      <c r="G627" s="26" t="s">
        <v>65</v>
      </c>
      <c r="H627" s="26" t="s">
        <v>34</v>
      </c>
      <c r="I627" s="26" t="s">
        <v>108</v>
      </c>
      <c r="J627" s="26">
        <v>3.0</v>
      </c>
      <c r="K627" s="26" t="s">
        <v>156</v>
      </c>
      <c r="L627" s="26" t="s">
        <v>15</v>
      </c>
      <c r="M627" s="26" t="s">
        <v>81</v>
      </c>
      <c r="N627" s="26" t="s">
        <v>307</v>
      </c>
      <c r="O627" s="26">
        <v>3.0</v>
      </c>
    </row>
    <row r="628" ht="15.75" customHeight="1">
      <c r="A628" s="26" t="s">
        <v>3065</v>
      </c>
      <c r="B628" s="26" t="s">
        <v>3066</v>
      </c>
      <c r="C628" s="26" t="s">
        <v>363</v>
      </c>
      <c r="D628" s="26" t="s">
        <v>36</v>
      </c>
      <c r="E628" s="26" t="s">
        <v>155</v>
      </c>
      <c r="F628" s="26" t="s">
        <v>1292</v>
      </c>
      <c r="G628" s="26" t="s">
        <v>65</v>
      </c>
      <c r="H628" s="26" t="s">
        <v>34</v>
      </c>
      <c r="I628" s="26" t="s">
        <v>108</v>
      </c>
      <c r="J628" s="26">
        <v>3.0</v>
      </c>
      <c r="K628" s="26" t="s">
        <v>136</v>
      </c>
      <c r="L628" s="26" t="s">
        <v>29</v>
      </c>
      <c r="M628" s="26" t="s">
        <v>95</v>
      </c>
      <c r="N628" s="26" t="s">
        <v>307</v>
      </c>
      <c r="O628" s="26">
        <v>3.0</v>
      </c>
    </row>
    <row r="629" ht="15.75" customHeight="1">
      <c r="A629" s="26" t="s">
        <v>3067</v>
      </c>
      <c r="B629" s="26" t="s">
        <v>3068</v>
      </c>
      <c r="C629" s="26" t="s">
        <v>892</v>
      </c>
      <c r="D629" s="26" t="s">
        <v>69</v>
      </c>
      <c r="E629" s="26" t="s">
        <v>3069</v>
      </c>
      <c r="F629" s="26" t="s">
        <v>440</v>
      </c>
      <c r="G629" s="26" t="s">
        <v>83</v>
      </c>
      <c r="H629" s="26" t="s">
        <v>46</v>
      </c>
      <c r="I629" s="26"/>
      <c r="J629" s="26">
        <v>1.0</v>
      </c>
      <c r="K629" s="26" t="s">
        <v>2470</v>
      </c>
      <c r="L629" s="26" t="s">
        <v>15</v>
      </c>
      <c r="M629" s="26" t="s">
        <v>81</v>
      </c>
      <c r="N629" s="26" t="s">
        <v>307</v>
      </c>
      <c r="O629" s="26">
        <v>3.0</v>
      </c>
    </row>
    <row r="630" ht="15.75" customHeight="1">
      <c r="A630" s="26" t="s">
        <v>3070</v>
      </c>
      <c r="B630" s="26" t="s">
        <v>3071</v>
      </c>
      <c r="C630" s="26" t="s">
        <v>363</v>
      </c>
      <c r="D630" s="26" t="s">
        <v>36</v>
      </c>
      <c r="E630" s="26" t="s">
        <v>3072</v>
      </c>
      <c r="F630" s="26" t="s">
        <v>315</v>
      </c>
      <c r="G630" s="26" t="s">
        <v>47</v>
      </c>
      <c r="H630" s="26" t="s">
        <v>34</v>
      </c>
      <c r="I630" s="26" t="s">
        <v>65</v>
      </c>
      <c r="J630" s="26">
        <v>4.0</v>
      </c>
      <c r="K630" s="26" t="s">
        <v>3073</v>
      </c>
      <c r="L630" s="26" t="s">
        <v>19</v>
      </c>
      <c r="M630" s="26" t="s">
        <v>87</v>
      </c>
      <c r="N630" s="26" t="s">
        <v>307</v>
      </c>
      <c r="O630" s="26">
        <v>2.0</v>
      </c>
    </row>
    <row r="631" ht="15.75" customHeight="1">
      <c r="A631" s="26" t="s">
        <v>3074</v>
      </c>
      <c r="B631" s="26" t="s">
        <v>3075</v>
      </c>
      <c r="C631" s="26" t="s">
        <v>429</v>
      </c>
      <c r="D631" s="26" t="s">
        <v>45</v>
      </c>
      <c r="E631" s="26" t="s">
        <v>3076</v>
      </c>
      <c r="F631" s="26" t="s">
        <v>806</v>
      </c>
      <c r="G631" s="26" t="s">
        <v>169</v>
      </c>
      <c r="H631" s="26" t="s">
        <v>52</v>
      </c>
      <c r="I631" s="26"/>
      <c r="J631" s="26">
        <v>1.0</v>
      </c>
      <c r="K631" s="26" t="s">
        <v>3077</v>
      </c>
      <c r="L631" s="26" t="s">
        <v>15</v>
      </c>
      <c r="M631" s="26" t="s">
        <v>81</v>
      </c>
      <c r="N631" s="26" t="s">
        <v>307</v>
      </c>
      <c r="O631" s="26">
        <v>3.0</v>
      </c>
    </row>
    <row r="632" ht="15.75" customHeight="1">
      <c r="A632" s="26" t="s">
        <v>3078</v>
      </c>
      <c r="B632" s="26" t="s">
        <v>3079</v>
      </c>
      <c r="C632" s="26" t="s">
        <v>363</v>
      </c>
      <c r="D632" s="26" t="s">
        <v>48</v>
      </c>
      <c r="E632" s="26" t="s">
        <v>3080</v>
      </c>
      <c r="F632" s="26" t="s">
        <v>672</v>
      </c>
      <c r="G632" s="26" t="s">
        <v>339</v>
      </c>
      <c r="H632" s="26" t="s">
        <v>49</v>
      </c>
      <c r="I632" s="26"/>
      <c r="J632" s="26">
        <v>1.0</v>
      </c>
      <c r="K632" s="26" t="s">
        <v>136</v>
      </c>
      <c r="L632" s="26" t="s">
        <v>29</v>
      </c>
      <c r="M632" s="26" t="s">
        <v>95</v>
      </c>
      <c r="N632" s="26" t="s">
        <v>307</v>
      </c>
      <c r="O632" s="26">
        <v>1.0</v>
      </c>
    </row>
    <row r="633" ht="15.75" customHeight="1">
      <c r="A633" s="26" t="s">
        <v>3081</v>
      </c>
      <c r="B633" s="26" t="s">
        <v>3082</v>
      </c>
      <c r="C633" s="26" t="s">
        <v>363</v>
      </c>
      <c r="D633" s="26" t="s">
        <v>48</v>
      </c>
      <c r="E633" s="26" t="s">
        <v>3083</v>
      </c>
      <c r="F633" s="26" t="s">
        <v>625</v>
      </c>
      <c r="G633" s="26" t="s">
        <v>313</v>
      </c>
      <c r="H633" s="26" t="s">
        <v>34</v>
      </c>
      <c r="I633" s="26" t="s">
        <v>386</v>
      </c>
      <c r="J633" s="26">
        <v>2.0</v>
      </c>
      <c r="K633" s="26" t="s">
        <v>3084</v>
      </c>
      <c r="L633" s="26" t="s">
        <v>15</v>
      </c>
      <c r="M633" s="26" t="s">
        <v>81</v>
      </c>
      <c r="N633" s="26" t="s">
        <v>307</v>
      </c>
      <c r="O633" s="26">
        <v>3.0</v>
      </c>
    </row>
    <row r="634" ht="15.75" customHeight="1">
      <c r="A634" s="26" t="s">
        <v>3085</v>
      </c>
      <c r="B634" s="26" t="s">
        <v>3086</v>
      </c>
      <c r="C634" s="26" t="s">
        <v>300</v>
      </c>
      <c r="D634" s="26" t="s">
        <v>36</v>
      </c>
      <c r="E634" s="26" t="s">
        <v>157</v>
      </c>
      <c r="F634" s="26" t="s">
        <v>1292</v>
      </c>
      <c r="G634" s="26" t="s">
        <v>65</v>
      </c>
      <c r="H634" s="26" t="s">
        <v>34</v>
      </c>
      <c r="I634" s="26" t="s">
        <v>92</v>
      </c>
      <c r="J634" s="26">
        <v>2.0</v>
      </c>
      <c r="K634" s="26" t="s">
        <v>3087</v>
      </c>
      <c r="L634" s="26" t="s">
        <v>15</v>
      </c>
      <c r="M634" s="26" t="s">
        <v>81</v>
      </c>
      <c r="N634" s="26" t="s">
        <v>307</v>
      </c>
      <c r="O634" s="26">
        <v>1.0</v>
      </c>
    </row>
    <row r="635" ht="15.75" customHeight="1">
      <c r="A635" s="26" t="s">
        <v>3088</v>
      </c>
      <c r="B635" s="26" t="s">
        <v>3089</v>
      </c>
      <c r="C635" s="26" t="s">
        <v>300</v>
      </c>
      <c r="D635" s="26" t="s">
        <v>45</v>
      </c>
      <c r="E635" s="26" t="s">
        <v>3090</v>
      </c>
      <c r="F635" s="26" t="s">
        <v>806</v>
      </c>
      <c r="G635" s="26" t="s">
        <v>169</v>
      </c>
      <c r="H635" s="26" t="s">
        <v>52</v>
      </c>
      <c r="I635" s="26"/>
      <c r="J635" s="26">
        <v>1.0</v>
      </c>
      <c r="K635" s="26" t="s">
        <v>3091</v>
      </c>
      <c r="L635" s="26" t="s">
        <v>15</v>
      </c>
      <c r="M635" s="26" t="s">
        <v>81</v>
      </c>
      <c r="N635" s="26" t="s">
        <v>307</v>
      </c>
      <c r="O635" s="26">
        <v>3.0</v>
      </c>
    </row>
    <row r="636" ht="15.75" customHeight="1">
      <c r="A636" s="26" t="s">
        <v>3092</v>
      </c>
      <c r="B636" s="26" t="s">
        <v>3093</v>
      </c>
      <c r="C636" s="26" t="s">
        <v>429</v>
      </c>
      <c r="D636" s="26" t="s">
        <v>68</v>
      </c>
      <c r="E636" s="26" t="s">
        <v>1318</v>
      </c>
      <c r="F636" s="26" t="s">
        <v>894</v>
      </c>
      <c r="G636" s="26" t="s">
        <v>70</v>
      </c>
      <c r="H636" s="26" t="s">
        <v>53</v>
      </c>
      <c r="I636" s="26" t="s">
        <v>1078</v>
      </c>
      <c r="J636" s="26">
        <v>2.0</v>
      </c>
      <c r="K636" s="26" t="s">
        <v>1316</v>
      </c>
      <c r="L636" s="26" t="s">
        <v>15</v>
      </c>
      <c r="M636" s="26" t="s">
        <v>81</v>
      </c>
      <c r="N636" s="26" t="s">
        <v>307</v>
      </c>
      <c r="O636" s="26">
        <v>2.0</v>
      </c>
    </row>
    <row r="637" ht="15.75" customHeight="1">
      <c r="A637" s="26" t="s">
        <v>3094</v>
      </c>
      <c r="B637" s="26" t="s">
        <v>3095</v>
      </c>
      <c r="C637" s="26" t="s">
        <v>300</v>
      </c>
      <c r="D637" s="26" t="s">
        <v>68</v>
      </c>
      <c r="E637" s="26" t="s">
        <v>3096</v>
      </c>
      <c r="F637" s="26" t="s">
        <v>894</v>
      </c>
      <c r="G637" s="26" t="s">
        <v>70</v>
      </c>
      <c r="H637" s="26" t="s">
        <v>53</v>
      </c>
      <c r="I637" s="26" t="s">
        <v>1078</v>
      </c>
      <c r="J637" s="26">
        <v>2.0</v>
      </c>
      <c r="K637" s="26" t="s">
        <v>1316</v>
      </c>
      <c r="L637" s="26" t="s">
        <v>15</v>
      </c>
      <c r="M637" s="26" t="s">
        <v>81</v>
      </c>
      <c r="N637" s="26" t="s">
        <v>307</v>
      </c>
      <c r="O637" s="26">
        <v>1.0</v>
      </c>
    </row>
    <row r="638" ht="15.75" customHeight="1">
      <c r="A638" s="26" t="s">
        <v>3097</v>
      </c>
      <c r="B638" s="26" t="s">
        <v>3098</v>
      </c>
      <c r="C638" s="26" t="s">
        <v>363</v>
      </c>
      <c r="D638" s="26" t="s">
        <v>45</v>
      </c>
      <c r="E638" s="26" t="s">
        <v>408</v>
      </c>
      <c r="F638" s="26" t="s">
        <v>3099</v>
      </c>
      <c r="G638" s="26" t="s">
        <v>226</v>
      </c>
      <c r="H638" s="26" t="s">
        <v>34</v>
      </c>
      <c r="I638" s="26"/>
      <c r="J638" s="26">
        <v>1.0</v>
      </c>
      <c r="K638" s="26" t="s">
        <v>136</v>
      </c>
      <c r="L638" s="26" t="s">
        <v>29</v>
      </c>
      <c r="M638" s="26" t="s">
        <v>95</v>
      </c>
      <c r="N638" s="26" t="s">
        <v>307</v>
      </c>
      <c r="O638" s="26">
        <v>2.0</v>
      </c>
    </row>
    <row r="639" ht="15.75" customHeight="1">
      <c r="A639" s="26" t="s">
        <v>3100</v>
      </c>
      <c r="B639" s="26" t="s">
        <v>3101</v>
      </c>
      <c r="C639" s="26" t="s">
        <v>300</v>
      </c>
      <c r="D639" s="26" t="s">
        <v>48</v>
      </c>
      <c r="E639" s="26" t="s">
        <v>582</v>
      </c>
      <c r="F639" s="26" t="s">
        <v>1684</v>
      </c>
      <c r="G639" s="26" t="s">
        <v>401</v>
      </c>
      <c r="H639" s="26" t="s">
        <v>61</v>
      </c>
      <c r="I639" s="26"/>
      <c r="J639" s="26">
        <v>1.0</v>
      </c>
      <c r="K639" s="26" t="s">
        <v>583</v>
      </c>
      <c r="L639" s="26" t="s">
        <v>15</v>
      </c>
      <c r="M639" s="26" t="s">
        <v>81</v>
      </c>
      <c r="N639" s="26" t="s">
        <v>307</v>
      </c>
      <c r="O639" s="26">
        <v>3.0</v>
      </c>
    </row>
    <row r="640" ht="15.75" customHeight="1">
      <c r="A640" s="26" t="s">
        <v>3097</v>
      </c>
      <c r="B640" s="26" t="s">
        <v>3098</v>
      </c>
      <c r="C640" s="26" t="s">
        <v>363</v>
      </c>
      <c r="D640" s="26" t="s">
        <v>45</v>
      </c>
      <c r="E640" s="26" t="s">
        <v>408</v>
      </c>
      <c r="F640" s="26" t="s">
        <v>3099</v>
      </c>
      <c r="G640" s="26" t="s">
        <v>226</v>
      </c>
      <c r="H640" s="26" t="s">
        <v>34</v>
      </c>
      <c r="I640" s="26"/>
      <c r="J640" s="26">
        <v>1.0</v>
      </c>
      <c r="K640" s="26" t="s">
        <v>3102</v>
      </c>
      <c r="L640" s="26" t="s">
        <v>15</v>
      </c>
      <c r="M640" s="26" t="s">
        <v>81</v>
      </c>
      <c r="N640" s="26" t="s">
        <v>307</v>
      </c>
      <c r="O640" s="26">
        <v>2.0</v>
      </c>
    </row>
    <row r="641" ht="15.75" customHeight="1">
      <c r="A641" s="26" t="s">
        <v>3103</v>
      </c>
      <c r="B641" s="26" t="s">
        <v>3104</v>
      </c>
      <c r="C641" s="26" t="s">
        <v>312</v>
      </c>
      <c r="D641" s="26" t="s">
        <v>48</v>
      </c>
      <c r="E641" s="26" t="s">
        <v>605</v>
      </c>
      <c r="F641" s="26" t="s">
        <v>3105</v>
      </c>
      <c r="G641" s="26" t="s">
        <v>110</v>
      </c>
      <c r="H641" s="26" t="s">
        <v>71</v>
      </c>
      <c r="I641" s="26"/>
      <c r="J641" s="26">
        <v>1.0</v>
      </c>
      <c r="K641" s="26" t="s">
        <v>607</v>
      </c>
      <c r="L641" s="26" t="s">
        <v>19</v>
      </c>
      <c r="M641" s="26" t="s">
        <v>66</v>
      </c>
      <c r="N641" s="26" t="s">
        <v>307</v>
      </c>
      <c r="O641" s="26">
        <v>3.0</v>
      </c>
    </row>
    <row r="642" ht="15.75" customHeight="1">
      <c r="A642" s="26" t="s">
        <v>3106</v>
      </c>
      <c r="B642" s="26" t="s">
        <v>3107</v>
      </c>
      <c r="C642" s="26" t="s">
        <v>322</v>
      </c>
      <c r="D642" s="26" t="s">
        <v>48</v>
      </c>
      <c r="E642" s="26" t="s">
        <v>3108</v>
      </c>
      <c r="F642" s="26" t="s">
        <v>366</v>
      </c>
      <c r="G642" s="26" t="s">
        <v>258</v>
      </c>
      <c r="H642" s="26" t="s">
        <v>61</v>
      </c>
      <c r="I642" s="26"/>
      <c r="J642" s="26">
        <v>1.0</v>
      </c>
      <c r="K642" s="26" t="s">
        <v>136</v>
      </c>
      <c r="L642" s="26" t="s">
        <v>29</v>
      </c>
      <c r="M642" s="26" t="s">
        <v>95</v>
      </c>
      <c r="N642" s="26" t="s">
        <v>307</v>
      </c>
      <c r="O642" s="26">
        <v>5.0</v>
      </c>
    </row>
    <row r="643" ht="15.75" customHeight="1">
      <c r="A643" s="26" t="s">
        <v>3109</v>
      </c>
      <c r="B643" s="26" t="s">
        <v>3110</v>
      </c>
      <c r="C643" s="26" t="s">
        <v>312</v>
      </c>
      <c r="D643" s="26" t="s">
        <v>48</v>
      </c>
      <c r="E643" s="26" t="s">
        <v>3111</v>
      </c>
      <c r="F643" s="26" t="s">
        <v>984</v>
      </c>
      <c r="G643" s="26" t="s">
        <v>265</v>
      </c>
      <c r="H643" s="26" t="s">
        <v>34</v>
      </c>
      <c r="I643" s="26" t="s">
        <v>413</v>
      </c>
      <c r="J643" s="26">
        <v>2.0</v>
      </c>
      <c r="K643" s="26" t="s">
        <v>3112</v>
      </c>
      <c r="L643" s="26" t="s">
        <v>15</v>
      </c>
      <c r="M643" s="26" t="s">
        <v>81</v>
      </c>
      <c r="N643" s="26" t="s">
        <v>307</v>
      </c>
      <c r="O643" s="26">
        <v>5.0</v>
      </c>
    </row>
    <row r="644" ht="15.75" customHeight="1">
      <c r="A644" s="26" t="s">
        <v>3113</v>
      </c>
      <c r="B644" s="26" t="s">
        <v>3114</v>
      </c>
      <c r="C644" s="26" t="s">
        <v>312</v>
      </c>
      <c r="D644" s="26" t="s">
        <v>45</v>
      </c>
      <c r="E644" s="26" t="s">
        <v>3115</v>
      </c>
      <c r="F644" s="26" t="s">
        <v>303</v>
      </c>
      <c r="G644" s="26" t="s">
        <v>140</v>
      </c>
      <c r="H644" s="26" t="s">
        <v>34</v>
      </c>
      <c r="I644" s="26" t="s">
        <v>143</v>
      </c>
      <c r="J644" s="26">
        <v>2.0</v>
      </c>
      <c r="K644" s="26" t="s">
        <v>3116</v>
      </c>
      <c r="L644" s="26" t="s">
        <v>15</v>
      </c>
      <c r="M644" s="26" t="s">
        <v>81</v>
      </c>
      <c r="N644" s="26" t="s">
        <v>307</v>
      </c>
      <c r="O644" s="26">
        <v>2.0</v>
      </c>
    </row>
    <row r="645" ht="15.75" customHeight="1">
      <c r="A645" s="26" t="s">
        <v>3117</v>
      </c>
      <c r="B645" s="26" t="s">
        <v>3118</v>
      </c>
      <c r="C645" s="26" t="s">
        <v>300</v>
      </c>
      <c r="D645" s="26" t="s">
        <v>68</v>
      </c>
      <c r="E645" s="26" t="s">
        <v>1314</v>
      </c>
      <c r="F645" s="26" t="s">
        <v>894</v>
      </c>
      <c r="G645" s="26" t="s">
        <v>70</v>
      </c>
      <c r="H645" s="26" t="s">
        <v>53</v>
      </c>
      <c r="I645" s="26" t="s">
        <v>1078</v>
      </c>
      <c r="J645" s="26">
        <v>2.0</v>
      </c>
      <c r="K645" s="26" t="s">
        <v>1316</v>
      </c>
      <c r="L645" s="26" t="s">
        <v>15</v>
      </c>
      <c r="M645" s="26" t="s">
        <v>81</v>
      </c>
      <c r="N645" s="26" t="s">
        <v>307</v>
      </c>
      <c r="O645" s="26">
        <v>0.0</v>
      </c>
    </row>
    <row r="646" ht="15.75" customHeight="1">
      <c r="A646" s="26" t="s">
        <v>3119</v>
      </c>
      <c r="B646" s="26" t="s">
        <v>3120</v>
      </c>
      <c r="C646" s="26" t="s">
        <v>363</v>
      </c>
      <c r="D646" s="26" t="s">
        <v>48</v>
      </c>
      <c r="E646" s="26" t="s">
        <v>3121</v>
      </c>
      <c r="F646" s="26" t="s">
        <v>1014</v>
      </c>
      <c r="G646" s="26" t="s">
        <v>248</v>
      </c>
      <c r="H646" s="26" t="s">
        <v>46</v>
      </c>
      <c r="I646" s="26"/>
      <c r="J646" s="26">
        <v>1.0</v>
      </c>
      <c r="K646" s="26" t="s">
        <v>3122</v>
      </c>
      <c r="L646" s="26" t="s">
        <v>15</v>
      </c>
      <c r="M646" s="26" t="s">
        <v>81</v>
      </c>
      <c r="N646" s="26" t="s">
        <v>307</v>
      </c>
      <c r="O646" s="26">
        <v>3.0</v>
      </c>
    </row>
    <row r="647" ht="15.75" customHeight="1">
      <c r="A647" s="26" t="s">
        <v>3123</v>
      </c>
      <c r="B647" s="26" t="s">
        <v>3124</v>
      </c>
      <c r="C647" s="26" t="s">
        <v>429</v>
      </c>
      <c r="D647" s="26" t="s">
        <v>45</v>
      </c>
      <c r="E647" s="26" t="s">
        <v>3125</v>
      </c>
      <c r="F647" s="26" t="s">
        <v>1403</v>
      </c>
      <c r="G647" s="26" t="s">
        <v>143</v>
      </c>
      <c r="H647" s="26" t="s">
        <v>46</v>
      </c>
      <c r="I647" s="26" t="s">
        <v>169</v>
      </c>
      <c r="J647" s="26">
        <v>2.0</v>
      </c>
      <c r="K647" s="26" t="s">
        <v>3126</v>
      </c>
      <c r="L647" s="26" t="s">
        <v>15</v>
      </c>
      <c r="M647" s="26" t="s">
        <v>81</v>
      </c>
      <c r="N647" s="26" t="s">
        <v>307</v>
      </c>
      <c r="O647" s="26">
        <v>5.0</v>
      </c>
    </row>
    <row r="648" ht="15.75" customHeight="1">
      <c r="A648" s="26" t="s">
        <v>3127</v>
      </c>
      <c r="B648" s="26" t="s">
        <v>3128</v>
      </c>
      <c r="C648" s="26" t="s">
        <v>300</v>
      </c>
      <c r="D648" s="26" t="s">
        <v>68</v>
      </c>
      <c r="E648" s="26" t="s">
        <v>1335</v>
      </c>
      <c r="F648" s="26" t="s">
        <v>1623</v>
      </c>
      <c r="G648" s="26" t="s">
        <v>1078</v>
      </c>
      <c r="H648" s="26" t="s">
        <v>53</v>
      </c>
      <c r="I648" s="26"/>
      <c r="J648" s="26">
        <v>1.0</v>
      </c>
      <c r="K648" s="26" t="s">
        <v>1336</v>
      </c>
      <c r="L648" s="26" t="s">
        <v>15</v>
      </c>
      <c r="M648" s="26" t="s">
        <v>81</v>
      </c>
      <c r="N648" s="26" t="s">
        <v>307</v>
      </c>
      <c r="O648" s="26">
        <v>1.0</v>
      </c>
    </row>
    <row r="649" ht="15.75" customHeight="1">
      <c r="A649" s="26" t="s">
        <v>3129</v>
      </c>
      <c r="B649" s="26" t="s">
        <v>3130</v>
      </c>
      <c r="C649" s="26" t="s">
        <v>312</v>
      </c>
      <c r="D649" s="26" t="s">
        <v>36</v>
      </c>
      <c r="E649" s="26" t="s">
        <v>3131</v>
      </c>
      <c r="F649" s="26" t="s">
        <v>3132</v>
      </c>
      <c r="G649" s="26" t="s">
        <v>77</v>
      </c>
      <c r="H649" s="26" t="s">
        <v>46</v>
      </c>
      <c r="I649" s="26"/>
      <c r="J649" s="26">
        <v>0.0</v>
      </c>
      <c r="K649" s="26" t="s">
        <v>3133</v>
      </c>
      <c r="L649" s="26" t="s">
        <v>15</v>
      </c>
      <c r="M649" s="26" t="s">
        <v>81</v>
      </c>
      <c r="N649" s="26" t="s">
        <v>307</v>
      </c>
      <c r="O649" s="26">
        <v>2.0</v>
      </c>
    </row>
    <row r="650" ht="15.75" customHeight="1">
      <c r="A650" s="26" t="s">
        <v>3134</v>
      </c>
      <c r="B650" s="26" t="s">
        <v>3135</v>
      </c>
      <c r="C650" s="26" t="s">
        <v>312</v>
      </c>
      <c r="D650" s="26" t="s">
        <v>36</v>
      </c>
      <c r="E650" s="26" t="s">
        <v>3136</v>
      </c>
      <c r="F650" s="26" t="s">
        <v>485</v>
      </c>
      <c r="G650" s="26" t="s">
        <v>92</v>
      </c>
      <c r="H650" s="26" t="s">
        <v>52</v>
      </c>
      <c r="I650" s="26"/>
      <c r="J650" s="26">
        <v>1.0</v>
      </c>
      <c r="K650" s="26" t="s">
        <v>3133</v>
      </c>
      <c r="L650" s="26" t="s">
        <v>15</v>
      </c>
      <c r="M650" s="26" t="s">
        <v>81</v>
      </c>
      <c r="N650" s="26" t="s">
        <v>307</v>
      </c>
      <c r="O650" s="26">
        <v>2.0</v>
      </c>
    </row>
    <row r="651" ht="15.75" customHeight="1">
      <c r="A651" s="26" t="s">
        <v>3137</v>
      </c>
      <c r="B651" s="26" t="s">
        <v>3138</v>
      </c>
      <c r="C651" s="26" t="s">
        <v>363</v>
      </c>
      <c r="D651" s="26" t="s">
        <v>50</v>
      </c>
      <c r="E651" s="26" t="s">
        <v>3139</v>
      </c>
      <c r="F651" s="26" t="s">
        <v>1309</v>
      </c>
      <c r="G651" s="26" t="s">
        <v>245</v>
      </c>
      <c r="H651" s="26" t="s">
        <v>57</v>
      </c>
      <c r="I651" s="26" t="s">
        <v>581</v>
      </c>
      <c r="J651" s="26">
        <v>2.0</v>
      </c>
      <c r="K651" s="26" t="s">
        <v>3140</v>
      </c>
      <c r="L651" s="26" t="s">
        <v>15</v>
      </c>
      <c r="M651" s="26" t="s">
        <v>81</v>
      </c>
      <c r="N651" s="26" t="s">
        <v>307</v>
      </c>
      <c r="O651" s="26">
        <v>2.0</v>
      </c>
    </row>
    <row r="652" ht="15.75" customHeight="1">
      <c r="A652" s="26" t="s">
        <v>3141</v>
      </c>
      <c r="B652" s="26" t="s">
        <v>3142</v>
      </c>
      <c r="C652" s="26" t="s">
        <v>363</v>
      </c>
      <c r="D652" s="26" t="s">
        <v>48</v>
      </c>
      <c r="E652" s="26" t="s">
        <v>3143</v>
      </c>
      <c r="F652" s="26" t="s">
        <v>1014</v>
      </c>
      <c r="G652" s="26" t="s">
        <v>248</v>
      </c>
      <c r="H652" s="26" t="s">
        <v>46</v>
      </c>
      <c r="I652" s="26"/>
      <c r="J652" s="26">
        <v>1.0</v>
      </c>
      <c r="K652" s="26" t="s">
        <v>136</v>
      </c>
      <c r="L652" s="26" t="s">
        <v>29</v>
      </c>
      <c r="M652" s="26" t="s">
        <v>95</v>
      </c>
      <c r="N652" s="26" t="s">
        <v>307</v>
      </c>
      <c r="O652" s="26">
        <v>2.0</v>
      </c>
    </row>
    <row r="653" ht="15.75" customHeight="1">
      <c r="A653" s="26" t="s">
        <v>3144</v>
      </c>
      <c r="B653" s="26" t="s">
        <v>3145</v>
      </c>
      <c r="C653" s="26" t="s">
        <v>300</v>
      </c>
      <c r="D653" s="26" t="s">
        <v>45</v>
      </c>
      <c r="E653" s="26" t="s">
        <v>285</v>
      </c>
      <c r="F653" s="26" t="s">
        <v>2178</v>
      </c>
      <c r="G653" s="26" t="s">
        <v>161</v>
      </c>
      <c r="H653" s="26" t="s">
        <v>57</v>
      </c>
      <c r="I653" s="26"/>
      <c r="J653" s="26">
        <v>1.0</v>
      </c>
      <c r="K653" s="26" t="s">
        <v>136</v>
      </c>
      <c r="L653" s="26" t="s">
        <v>29</v>
      </c>
      <c r="M653" s="26" t="s">
        <v>95</v>
      </c>
      <c r="N653" s="26" t="s">
        <v>307</v>
      </c>
      <c r="O653" s="26">
        <v>6.0</v>
      </c>
    </row>
    <row r="654" ht="15.75" customHeight="1">
      <c r="A654" s="26" t="s">
        <v>3146</v>
      </c>
      <c r="B654" s="26" t="s">
        <v>3147</v>
      </c>
      <c r="C654" s="26" t="s">
        <v>363</v>
      </c>
      <c r="D654" s="26" t="s">
        <v>69</v>
      </c>
      <c r="E654" s="26" t="s">
        <v>3148</v>
      </c>
      <c r="F654" s="26" t="s">
        <v>2870</v>
      </c>
      <c r="G654" s="26" t="s">
        <v>115</v>
      </c>
      <c r="H654" s="26" t="s">
        <v>53</v>
      </c>
      <c r="I654" s="26"/>
      <c r="J654" s="26">
        <v>1.0</v>
      </c>
      <c r="K654" s="26" t="s">
        <v>3149</v>
      </c>
      <c r="L654" s="26" t="s">
        <v>19</v>
      </c>
      <c r="M654" s="26" t="s">
        <v>66</v>
      </c>
      <c r="N654" s="26" t="s">
        <v>307</v>
      </c>
      <c r="O654" s="26">
        <v>4.0</v>
      </c>
    </row>
    <row r="655" ht="15.75" customHeight="1">
      <c r="A655" s="26" t="s">
        <v>3150</v>
      </c>
      <c r="B655" s="26" t="s">
        <v>3151</v>
      </c>
      <c r="C655" s="26" t="s">
        <v>363</v>
      </c>
      <c r="D655" s="26" t="s">
        <v>45</v>
      </c>
      <c r="E655" s="26" t="s">
        <v>3152</v>
      </c>
      <c r="F655" s="26" t="s">
        <v>799</v>
      </c>
      <c r="G655" s="26" t="s">
        <v>130</v>
      </c>
      <c r="H655" s="26" t="s">
        <v>34</v>
      </c>
      <c r="I655" s="26" t="s">
        <v>82</v>
      </c>
      <c r="J655" s="26">
        <v>2.0</v>
      </c>
      <c r="K655" s="26" t="s">
        <v>2910</v>
      </c>
      <c r="L655" s="26" t="s">
        <v>15</v>
      </c>
      <c r="M655" s="26" t="s">
        <v>81</v>
      </c>
      <c r="N655" s="26" t="s">
        <v>307</v>
      </c>
      <c r="O655" s="26">
        <v>2.0</v>
      </c>
    </row>
    <row r="656" ht="15.75" customHeight="1">
      <c r="A656" s="26" t="s">
        <v>3153</v>
      </c>
      <c r="B656" s="26" t="s">
        <v>3154</v>
      </c>
      <c r="C656" s="26" t="s">
        <v>312</v>
      </c>
      <c r="D656" s="26" t="s">
        <v>45</v>
      </c>
      <c r="E656" s="26" t="s">
        <v>3155</v>
      </c>
      <c r="F656" s="26" t="s">
        <v>303</v>
      </c>
      <c r="G656" s="26" t="s">
        <v>140</v>
      </c>
      <c r="H656" s="26" t="s">
        <v>34</v>
      </c>
      <c r="I656" s="26" t="s">
        <v>166</v>
      </c>
      <c r="J656" s="26">
        <v>4.0</v>
      </c>
      <c r="K656" s="26" t="s">
        <v>3156</v>
      </c>
      <c r="L656" s="26" t="s">
        <v>15</v>
      </c>
      <c r="M656" s="26" t="s">
        <v>81</v>
      </c>
      <c r="N656" s="26" t="s">
        <v>307</v>
      </c>
      <c r="O656" s="26">
        <v>1.0</v>
      </c>
    </row>
    <row r="657" ht="15.75" customHeight="1">
      <c r="A657" s="26" t="s">
        <v>3157</v>
      </c>
      <c r="B657" s="26" t="s">
        <v>3158</v>
      </c>
      <c r="C657" s="26" t="s">
        <v>363</v>
      </c>
      <c r="D657" s="26" t="s">
        <v>79</v>
      </c>
      <c r="E657" s="26" t="s">
        <v>1252</v>
      </c>
      <c r="F657" s="26" t="s">
        <v>1895</v>
      </c>
      <c r="G657" s="26" t="s">
        <v>255</v>
      </c>
      <c r="H657" s="26" t="s">
        <v>49</v>
      </c>
      <c r="I657" s="26" t="s">
        <v>1305</v>
      </c>
      <c r="J657" s="26">
        <v>2.0</v>
      </c>
      <c r="K657" s="26" t="s">
        <v>136</v>
      </c>
      <c r="L657" s="26" t="s">
        <v>29</v>
      </c>
      <c r="M657" s="26" t="s">
        <v>95</v>
      </c>
      <c r="N657" s="26" t="s">
        <v>307</v>
      </c>
      <c r="O657" s="26">
        <v>1.0</v>
      </c>
    </row>
    <row r="658" ht="15.75" customHeight="1">
      <c r="A658" s="26" t="s">
        <v>3159</v>
      </c>
      <c r="B658" s="26" t="s">
        <v>3160</v>
      </c>
      <c r="C658" s="26" t="s">
        <v>322</v>
      </c>
      <c r="D658" s="26" t="s">
        <v>62</v>
      </c>
      <c r="E658" s="26" t="s">
        <v>3161</v>
      </c>
      <c r="F658" s="26" t="s">
        <v>1813</v>
      </c>
      <c r="G658" s="26" t="s">
        <v>107</v>
      </c>
      <c r="H658" s="26" t="s">
        <v>46</v>
      </c>
      <c r="I658" s="26" t="s">
        <v>119</v>
      </c>
      <c r="J658" s="26">
        <v>3.0</v>
      </c>
      <c r="K658" s="26" t="s">
        <v>136</v>
      </c>
      <c r="L658" s="26" t="s">
        <v>29</v>
      </c>
      <c r="M658" s="26" t="s">
        <v>95</v>
      </c>
      <c r="N658" s="26" t="s">
        <v>307</v>
      </c>
      <c r="O658" s="26">
        <v>3.0</v>
      </c>
    </row>
    <row r="659" ht="15.75" customHeight="1">
      <c r="A659" s="26" t="s">
        <v>3162</v>
      </c>
      <c r="B659" s="26" t="s">
        <v>3163</v>
      </c>
      <c r="C659" s="26" t="s">
        <v>363</v>
      </c>
      <c r="D659" s="26" t="s">
        <v>48</v>
      </c>
      <c r="E659" s="26" t="s">
        <v>3164</v>
      </c>
      <c r="F659" s="26" t="s">
        <v>984</v>
      </c>
      <c r="G659" s="26" t="s">
        <v>265</v>
      </c>
      <c r="H659" s="26" t="s">
        <v>34</v>
      </c>
      <c r="I659" s="26"/>
      <c r="J659" s="26">
        <v>1.0</v>
      </c>
      <c r="K659" s="26" t="s">
        <v>3165</v>
      </c>
      <c r="L659" s="26" t="s">
        <v>15</v>
      </c>
      <c r="M659" s="26" t="s">
        <v>81</v>
      </c>
      <c r="N659" s="26" t="s">
        <v>307</v>
      </c>
      <c r="O659" s="26">
        <v>3.0</v>
      </c>
    </row>
    <row r="660" ht="15.75" customHeight="1">
      <c r="A660" s="26" t="s">
        <v>3166</v>
      </c>
      <c r="B660" s="26" t="s">
        <v>3167</v>
      </c>
      <c r="C660" s="26" t="s">
        <v>300</v>
      </c>
      <c r="D660" s="26" t="s">
        <v>62</v>
      </c>
      <c r="E660" s="26" t="s">
        <v>3168</v>
      </c>
      <c r="F660" s="26" t="s">
        <v>1245</v>
      </c>
      <c r="G660" s="26" t="s">
        <v>119</v>
      </c>
      <c r="H660" s="26" t="s">
        <v>57</v>
      </c>
      <c r="I660" s="26"/>
      <c r="J660" s="26">
        <v>1.0</v>
      </c>
      <c r="K660" s="26" t="s">
        <v>3169</v>
      </c>
      <c r="L660" s="26" t="s">
        <v>15</v>
      </c>
      <c r="M660" s="26" t="s">
        <v>81</v>
      </c>
      <c r="N660" s="26" t="s">
        <v>307</v>
      </c>
      <c r="O660" s="26">
        <v>5.0</v>
      </c>
    </row>
    <row r="661" ht="15.75" customHeight="1">
      <c r="A661" s="26" t="s">
        <v>3170</v>
      </c>
      <c r="B661" s="26" t="s">
        <v>3171</v>
      </c>
      <c r="C661" s="26" t="s">
        <v>312</v>
      </c>
      <c r="D661" s="26" t="s">
        <v>45</v>
      </c>
      <c r="E661" s="26" t="s">
        <v>3172</v>
      </c>
      <c r="F661" s="26" t="s">
        <v>799</v>
      </c>
      <c r="G661" s="26" t="s">
        <v>130</v>
      </c>
      <c r="H661" s="26" t="s">
        <v>34</v>
      </c>
      <c r="I661" s="26" t="s">
        <v>82</v>
      </c>
      <c r="J661" s="26">
        <v>2.0</v>
      </c>
      <c r="K661" s="26" t="s">
        <v>3126</v>
      </c>
      <c r="L661" s="26" t="s">
        <v>15</v>
      </c>
      <c r="M661" s="26" t="s">
        <v>81</v>
      </c>
      <c r="N661" s="26" t="s">
        <v>307</v>
      </c>
      <c r="O661" s="26">
        <v>5.0</v>
      </c>
    </row>
    <row r="662" ht="15.75" customHeight="1">
      <c r="A662" s="26" t="s">
        <v>3173</v>
      </c>
      <c r="B662" s="26" t="s">
        <v>3174</v>
      </c>
      <c r="C662" s="26" t="s">
        <v>300</v>
      </c>
      <c r="D662" s="26" t="s">
        <v>54</v>
      </c>
      <c r="E662" s="26" t="s">
        <v>3175</v>
      </c>
      <c r="F662" s="26" t="s">
        <v>432</v>
      </c>
      <c r="G662" s="26" t="s">
        <v>182</v>
      </c>
      <c r="H662" s="26" t="s">
        <v>34</v>
      </c>
      <c r="I662" s="26" t="s">
        <v>217</v>
      </c>
      <c r="J662" s="26">
        <v>2.0</v>
      </c>
      <c r="K662" s="26" t="s">
        <v>3176</v>
      </c>
      <c r="L662" s="26" t="s">
        <v>15</v>
      </c>
      <c r="M662" s="26" t="s">
        <v>81</v>
      </c>
      <c r="N662" s="26" t="s">
        <v>307</v>
      </c>
      <c r="O662" s="26">
        <v>5.0</v>
      </c>
    </row>
    <row r="663" ht="15.75" customHeight="1">
      <c r="A663" s="26" t="s">
        <v>3177</v>
      </c>
      <c r="B663" s="26" t="s">
        <v>3178</v>
      </c>
      <c r="C663" s="26" t="s">
        <v>363</v>
      </c>
      <c r="D663" s="26" t="s">
        <v>79</v>
      </c>
      <c r="E663" s="26" t="s">
        <v>1254</v>
      </c>
      <c r="F663" s="26" t="s">
        <v>1895</v>
      </c>
      <c r="G663" s="26" t="s">
        <v>255</v>
      </c>
      <c r="H663" s="26" t="s">
        <v>49</v>
      </c>
      <c r="I663" s="26"/>
      <c r="J663" s="26">
        <v>1.0</v>
      </c>
      <c r="K663" s="26" t="s">
        <v>1255</v>
      </c>
      <c r="L663" s="26" t="s">
        <v>15</v>
      </c>
      <c r="M663" s="26" t="s">
        <v>81</v>
      </c>
      <c r="N663" s="26" t="s">
        <v>307</v>
      </c>
      <c r="O663" s="26">
        <v>4.0</v>
      </c>
    </row>
    <row r="664" ht="15.75" customHeight="1">
      <c r="A664" s="26" t="s">
        <v>3179</v>
      </c>
      <c r="B664" s="26" t="s">
        <v>3180</v>
      </c>
      <c r="C664" s="26" t="s">
        <v>312</v>
      </c>
      <c r="D664" s="26" t="s">
        <v>45</v>
      </c>
      <c r="E664" s="26" t="s">
        <v>3181</v>
      </c>
      <c r="F664" s="26" t="s">
        <v>799</v>
      </c>
      <c r="G664" s="26" t="s">
        <v>130</v>
      </c>
      <c r="H664" s="26" t="s">
        <v>34</v>
      </c>
      <c r="I664" s="26" t="s">
        <v>140</v>
      </c>
      <c r="J664" s="26">
        <v>5.0</v>
      </c>
      <c r="K664" s="26" t="s">
        <v>3077</v>
      </c>
      <c r="L664" s="26" t="s">
        <v>15</v>
      </c>
      <c r="M664" s="26" t="s">
        <v>81</v>
      </c>
      <c r="N664" s="26" t="s">
        <v>307</v>
      </c>
      <c r="O664" s="26">
        <v>4.0</v>
      </c>
    </row>
    <row r="665" ht="15.75" customHeight="1">
      <c r="A665" s="26" t="s">
        <v>3182</v>
      </c>
      <c r="B665" s="26" t="s">
        <v>3183</v>
      </c>
      <c r="C665" s="26" t="s">
        <v>363</v>
      </c>
      <c r="D665" s="26" t="s">
        <v>59</v>
      </c>
      <c r="E665" s="26" t="s">
        <v>3184</v>
      </c>
      <c r="F665" s="26" t="s">
        <v>423</v>
      </c>
      <c r="G665" s="26" t="s">
        <v>117</v>
      </c>
      <c r="H665" s="26" t="s">
        <v>34</v>
      </c>
      <c r="I665" s="26"/>
      <c r="J665" s="26">
        <v>1.0</v>
      </c>
      <c r="K665" s="26" t="s">
        <v>136</v>
      </c>
      <c r="L665" s="26" t="s">
        <v>29</v>
      </c>
      <c r="M665" s="26" t="s">
        <v>95</v>
      </c>
      <c r="N665" s="26" t="s">
        <v>307</v>
      </c>
      <c r="O665" s="26">
        <v>5.0</v>
      </c>
    </row>
    <row r="666" ht="15.75" customHeight="1">
      <c r="A666" s="26" t="s">
        <v>3185</v>
      </c>
      <c r="B666" s="26" t="s">
        <v>3186</v>
      </c>
      <c r="C666" s="26" t="s">
        <v>300</v>
      </c>
      <c r="D666" s="26" t="s">
        <v>76</v>
      </c>
      <c r="E666" s="26" t="s">
        <v>3187</v>
      </c>
      <c r="F666" s="26" t="s">
        <v>1201</v>
      </c>
      <c r="G666" s="26" t="s">
        <v>222</v>
      </c>
      <c r="H666" s="26" t="s">
        <v>34</v>
      </c>
      <c r="I666" s="26"/>
      <c r="J666" s="26">
        <v>1.0</v>
      </c>
      <c r="K666" s="26" t="s">
        <v>3188</v>
      </c>
      <c r="L666" s="26" t="s">
        <v>15</v>
      </c>
      <c r="M666" s="26" t="s">
        <v>81</v>
      </c>
      <c r="N666" s="26" t="s">
        <v>307</v>
      </c>
      <c r="O666" s="26">
        <v>1.0</v>
      </c>
    </row>
    <row r="667" ht="15.75" customHeight="1">
      <c r="A667" s="26" t="s">
        <v>3189</v>
      </c>
      <c r="B667" s="26" t="s">
        <v>3190</v>
      </c>
      <c r="C667" s="26" t="s">
        <v>363</v>
      </c>
      <c r="D667" s="26" t="s">
        <v>36</v>
      </c>
      <c r="E667" s="26" t="s">
        <v>3191</v>
      </c>
      <c r="F667" s="26" t="s">
        <v>681</v>
      </c>
      <c r="G667" s="26" t="s">
        <v>58</v>
      </c>
      <c r="H667" s="26" t="s">
        <v>49</v>
      </c>
      <c r="I667" s="26" t="s">
        <v>88</v>
      </c>
      <c r="J667" s="26">
        <v>3.0</v>
      </c>
      <c r="K667" s="26" t="s">
        <v>3192</v>
      </c>
      <c r="L667" s="26" t="s">
        <v>15</v>
      </c>
      <c r="M667" s="26" t="s">
        <v>81</v>
      </c>
      <c r="N667" s="26" t="s">
        <v>307</v>
      </c>
      <c r="O667" s="26">
        <v>3.0</v>
      </c>
    </row>
    <row r="668" ht="15.75" customHeight="1">
      <c r="A668" s="26" t="s">
        <v>3193</v>
      </c>
      <c r="B668" s="26" t="s">
        <v>3194</v>
      </c>
      <c r="C668" s="26" t="s">
        <v>300</v>
      </c>
      <c r="D668" s="26" t="s">
        <v>48</v>
      </c>
      <c r="E668" s="26" t="s">
        <v>3195</v>
      </c>
      <c r="F668" s="26" t="s">
        <v>1819</v>
      </c>
      <c r="G668" s="26" t="s">
        <v>386</v>
      </c>
      <c r="H668" s="26" t="s">
        <v>46</v>
      </c>
      <c r="I668" s="26"/>
      <c r="J668" s="26">
        <v>1.0</v>
      </c>
      <c r="K668" s="26" t="s">
        <v>3196</v>
      </c>
      <c r="L668" s="26" t="s">
        <v>15</v>
      </c>
      <c r="M668" s="26" t="s">
        <v>81</v>
      </c>
      <c r="N668" s="26" t="s">
        <v>307</v>
      </c>
      <c r="O668" s="26">
        <v>1.0</v>
      </c>
    </row>
    <row r="669" ht="15.75" customHeight="1">
      <c r="A669" s="26" t="s">
        <v>3197</v>
      </c>
      <c r="B669" s="26" t="s">
        <v>3198</v>
      </c>
      <c r="C669" s="26" t="s">
        <v>300</v>
      </c>
      <c r="D669" s="26" t="s">
        <v>36</v>
      </c>
      <c r="E669" s="26" t="s">
        <v>3199</v>
      </c>
      <c r="F669" s="26" t="s">
        <v>315</v>
      </c>
      <c r="G669" s="26" t="s">
        <v>47</v>
      </c>
      <c r="H669" s="26" t="s">
        <v>34</v>
      </c>
      <c r="I669" s="26" t="s">
        <v>65</v>
      </c>
      <c r="J669" s="26">
        <v>4.0</v>
      </c>
      <c r="K669" s="26" t="s">
        <v>136</v>
      </c>
      <c r="L669" s="26" t="s">
        <v>29</v>
      </c>
      <c r="M669" s="26" t="s">
        <v>95</v>
      </c>
      <c r="N669" s="26" t="s">
        <v>307</v>
      </c>
      <c r="O669" s="26">
        <v>4.0</v>
      </c>
    </row>
    <row r="670" ht="15.75" customHeight="1">
      <c r="A670" s="26" t="s">
        <v>3200</v>
      </c>
      <c r="B670" s="26" t="s">
        <v>3201</v>
      </c>
      <c r="C670" s="26" t="s">
        <v>300</v>
      </c>
      <c r="D670" s="26" t="s">
        <v>50</v>
      </c>
      <c r="E670" s="26" t="s">
        <v>658</v>
      </c>
      <c r="F670" s="26" t="s">
        <v>1877</v>
      </c>
      <c r="G670" s="26" t="s">
        <v>311</v>
      </c>
      <c r="H670" s="26" t="s">
        <v>34</v>
      </c>
      <c r="I670" s="26" t="s">
        <v>328</v>
      </c>
      <c r="J670" s="26">
        <v>2.0</v>
      </c>
      <c r="K670" s="26" t="s">
        <v>132</v>
      </c>
      <c r="L670" s="26" t="s">
        <v>15</v>
      </c>
      <c r="M670" s="26" t="s">
        <v>87</v>
      </c>
      <c r="N670" s="26" t="s">
        <v>307</v>
      </c>
      <c r="O670" s="26">
        <v>4.0</v>
      </c>
    </row>
    <row r="671" ht="15.75" customHeight="1">
      <c r="A671" s="26" t="s">
        <v>3202</v>
      </c>
      <c r="B671" s="26" t="s">
        <v>3203</v>
      </c>
      <c r="C671" s="26" t="s">
        <v>300</v>
      </c>
      <c r="D671" s="26" t="s">
        <v>54</v>
      </c>
      <c r="E671" s="26" t="s">
        <v>3204</v>
      </c>
      <c r="F671" s="26" t="s">
        <v>432</v>
      </c>
      <c r="G671" s="26" t="s">
        <v>182</v>
      </c>
      <c r="H671" s="26" t="s">
        <v>34</v>
      </c>
      <c r="I671" s="26" t="s">
        <v>520</v>
      </c>
      <c r="J671" s="26">
        <v>3.0</v>
      </c>
      <c r="K671" s="26" t="s">
        <v>3205</v>
      </c>
      <c r="L671" s="26" t="s">
        <v>15</v>
      </c>
      <c r="M671" s="26" t="s">
        <v>87</v>
      </c>
      <c r="N671" s="26" t="s">
        <v>307</v>
      </c>
      <c r="O671" s="26">
        <v>4.0</v>
      </c>
    </row>
    <row r="672" ht="15.75" customHeight="1">
      <c r="A672" s="26" t="s">
        <v>3206</v>
      </c>
      <c r="B672" s="26" t="s">
        <v>3207</v>
      </c>
      <c r="C672" s="26" t="s">
        <v>429</v>
      </c>
      <c r="D672" s="26" t="s">
        <v>45</v>
      </c>
      <c r="E672" s="26" t="s">
        <v>3208</v>
      </c>
      <c r="F672" s="26" t="s">
        <v>303</v>
      </c>
      <c r="G672" s="26" t="s">
        <v>140</v>
      </c>
      <c r="H672" s="26" t="s">
        <v>34</v>
      </c>
      <c r="I672" s="26" t="s">
        <v>161</v>
      </c>
      <c r="J672" s="26">
        <v>3.0</v>
      </c>
      <c r="K672" s="26" t="s">
        <v>3209</v>
      </c>
      <c r="L672" s="26" t="s">
        <v>15</v>
      </c>
      <c r="M672" s="26" t="s">
        <v>81</v>
      </c>
      <c r="N672" s="26" t="s">
        <v>307</v>
      </c>
      <c r="O672" s="26">
        <v>3.0</v>
      </c>
    </row>
    <row r="673" ht="15.75" customHeight="1">
      <c r="A673" s="26" t="s">
        <v>3210</v>
      </c>
      <c r="B673" s="26" t="s">
        <v>3211</v>
      </c>
      <c r="C673" s="26" t="s">
        <v>300</v>
      </c>
      <c r="D673" s="26" t="s">
        <v>48</v>
      </c>
      <c r="E673" s="26" t="s">
        <v>3212</v>
      </c>
      <c r="F673" s="26" t="s">
        <v>625</v>
      </c>
      <c r="G673" s="26" t="s">
        <v>313</v>
      </c>
      <c r="H673" s="26" t="s">
        <v>34</v>
      </c>
      <c r="I673" s="26" t="s">
        <v>386</v>
      </c>
      <c r="J673" s="26">
        <v>2.0</v>
      </c>
      <c r="K673" s="26" t="s">
        <v>3213</v>
      </c>
      <c r="L673" s="26" t="s">
        <v>15</v>
      </c>
      <c r="M673" s="26" t="s">
        <v>81</v>
      </c>
      <c r="N673" s="26" t="s">
        <v>307</v>
      </c>
      <c r="O673" s="26">
        <v>5.0</v>
      </c>
    </row>
    <row r="674" ht="15.75" customHeight="1">
      <c r="A674" s="26" t="s">
        <v>3214</v>
      </c>
      <c r="B674" s="26" t="s">
        <v>3215</v>
      </c>
      <c r="C674" s="26" t="s">
        <v>363</v>
      </c>
      <c r="D674" s="26" t="s">
        <v>79</v>
      </c>
      <c r="E674" s="26" t="s">
        <v>1257</v>
      </c>
      <c r="F674" s="26" t="s">
        <v>1895</v>
      </c>
      <c r="G674" s="26" t="s">
        <v>255</v>
      </c>
      <c r="H674" s="26" t="s">
        <v>49</v>
      </c>
      <c r="I674" s="26"/>
      <c r="J674" s="26">
        <v>1.0</v>
      </c>
      <c r="K674" s="26" t="s">
        <v>1259</v>
      </c>
      <c r="L674" s="26" t="s">
        <v>15</v>
      </c>
      <c r="M674" s="26" t="s">
        <v>81</v>
      </c>
      <c r="N674" s="26" t="s">
        <v>307</v>
      </c>
      <c r="O674" s="26">
        <v>2.0</v>
      </c>
    </row>
    <row r="675" ht="15.75" customHeight="1">
      <c r="A675" s="26" t="s">
        <v>3216</v>
      </c>
      <c r="B675" s="26" t="s">
        <v>3217</v>
      </c>
      <c r="C675" s="26" t="s">
        <v>300</v>
      </c>
      <c r="D675" s="26" t="s">
        <v>76</v>
      </c>
      <c r="E675" s="26" t="s">
        <v>3218</v>
      </c>
      <c r="F675" s="26" t="s">
        <v>493</v>
      </c>
      <c r="G675" s="26" t="s">
        <v>494</v>
      </c>
      <c r="H675" s="26" t="s">
        <v>34</v>
      </c>
      <c r="I675" s="26" t="s">
        <v>1243</v>
      </c>
      <c r="J675" s="26">
        <v>2.0</v>
      </c>
      <c r="K675" s="26" t="s">
        <v>3219</v>
      </c>
      <c r="L675" s="26" t="s">
        <v>23</v>
      </c>
      <c r="M675" s="26" t="s">
        <v>94</v>
      </c>
      <c r="N675" s="26" t="s">
        <v>307</v>
      </c>
      <c r="O675" s="26">
        <v>1.0</v>
      </c>
    </row>
    <row r="676" ht="15.75" customHeight="1">
      <c r="A676" s="26" t="s">
        <v>3220</v>
      </c>
      <c r="B676" s="26" t="s">
        <v>3221</v>
      </c>
      <c r="C676" s="26" t="s">
        <v>429</v>
      </c>
      <c r="D676" s="26" t="s">
        <v>50</v>
      </c>
      <c r="E676" s="26" t="s">
        <v>3222</v>
      </c>
      <c r="F676" s="26" t="s">
        <v>336</v>
      </c>
      <c r="G676" s="26" t="s">
        <v>75</v>
      </c>
      <c r="H676" s="26" t="s">
        <v>53</v>
      </c>
      <c r="I676" s="26" t="s">
        <v>328</v>
      </c>
      <c r="J676" s="26">
        <v>2.0</v>
      </c>
      <c r="K676" s="26" t="s">
        <v>3223</v>
      </c>
      <c r="L676" s="26" t="s">
        <v>15</v>
      </c>
      <c r="M676" s="26" t="s">
        <v>81</v>
      </c>
      <c r="N676" s="26" t="s">
        <v>307</v>
      </c>
      <c r="O676" s="26">
        <v>5.0</v>
      </c>
    </row>
    <row r="677" ht="15.75" customHeight="1">
      <c r="A677" s="26" t="s">
        <v>3224</v>
      </c>
      <c r="B677" s="26" t="s">
        <v>3225</v>
      </c>
      <c r="C677" s="26" t="s">
        <v>312</v>
      </c>
      <c r="D677" s="26" t="s">
        <v>48</v>
      </c>
      <c r="E677" s="26" t="s">
        <v>3226</v>
      </c>
      <c r="F677" s="26" t="s">
        <v>1014</v>
      </c>
      <c r="G677" s="26" t="s">
        <v>248</v>
      </c>
      <c r="H677" s="26" t="s">
        <v>46</v>
      </c>
      <c r="I677" s="26" t="s">
        <v>386</v>
      </c>
      <c r="J677" s="26">
        <v>2.0</v>
      </c>
      <c r="K677" s="26" t="s">
        <v>3227</v>
      </c>
      <c r="L677" s="26" t="s">
        <v>15</v>
      </c>
      <c r="M677" s="26" t="s">
        <v>81</v>
      </c>
      <c r="N677" s="26" t="s">
        <v>307</v>
      </c>
      <c r="O677" s="26">
        <v>5.0</v>
      </c>
    </row>
    <row r="678" ht="15.75" customHeight="1">
      <c r="A678" s="26" t="s">
        <v>3228</v>
      </c>
      <c r="B678" s="26" t="s">
        <v>3229</v>
      </c>
      <c r="C678" s="26" t="s">
        <v>312</v>
      </c>
      <c r="D678" s="26" t="s">
        <v>45</v>
      </c>
      <c r="E678" s="26" t="s">
        <v>3230</v>
      </c>
      <c r="F678" s="26" t="s">
        <v>768</v>
      </c>
      <c r="G678" s="26" t="s">
        <v>183</v>
      </c>
      <c r="H678" s="26" t="s">
        <v>46</v>
      </c>
      <c r="I678" s="26"/>
      <c r="J678" s="26">
        <v>0.0</v>
      </c>
      <c r="K678" s="26" t="s">
        <v>3231</v>
      </c>
      <c r="L678" s="26" t="s">
        <v>19</v>
      </c>
      <c r="M678" s="26" t="s">
        <v>87</v>
      </c>
      <c r="N678" s="26" t="s">
        <v>307</v>
      </c>
      <c r="O678" s="26">
        <v>2.0</v>
      </c>
    </row>
    <row r="679" ht="15.75" customHeight="1">
      <c r="A679" s="26" t="s">
        <v>3232</v>
      </c>
      <c r="B679" s="26" t="s">
        <v>3233</v>
      </c>
      <c r="C679" s="26" t="s">
        <v>363</v>
      </c>
      <c r="D679" s="26" t="s">
        <v>50</v>
      </c>
      <c r="E679" s="26" t="s">
        <v>3234</v>
      </c>
      <c r="F679" s="26" t="s">
        <v>1309</v>
      </c>
      <c r="G679" s="26" t="s">
        <v>245</v>
      </c>
      <c r="H679" s="26" t="s">
        <v>57</v>
      </c>
      <c r="I679" s="26" t="s">
        <v>328</v>
      </c>
      <c r="J679" s="26">
        <v>2.0</v>
      </c>
      <c r="K679" s="26" t="s">
        <v>136</v>
      </c>
      <c r="L679" s="26" t="s">
        <v>29</v>
      </c>
      <c r="M679" s="26" t="s">
        <v>95</v>
      </c>
      <c r="N679" s="26" t="s">
        <v>307</v>
      </c>
      <c r="O679" s="26">
        <v>5.0</v>
      </c>
    </row>
    <row r="680" ht="15.75" customHeight="1">
      <c r="A680" s="26" t="s">
        <v>3235</v>
      </c>
      <c r="B680" s="26" t="s">
        <v>3236</v>
      </c>
      <c r="C680" s="26" t="s">
        <v>363</v>
      </c>
      <c r="D680" s="26" t="s">
        <v>45</v>
      </c>
      <c r="E680" s="26" t="s">
        <v>3237</v>
      </c>
      <c r="F680" s="26" t="s">
        <v>799</v>
      </c>
      <c r="G680" s="26" t="s">
        <v>130</v>
      </c>
      <c r="H680" s="26" t="s">
        <v>34</v>
      </c>
      <c r="I680" s="26" t="s">
        <v>143</v>
      </c>
      <c r="J680" s="26">
        <v>2.0</v>
      </c>
      <c r="K680" s="26" t="s">
        <v>3077</v>
      </c>
      <c r="L680" s="26" t="s">
        <v>15</v>
      </c>
      <c r="M680" s="26" t="s">
        <v>81</v>
      </c>
      <c r="N680" s="26" t="s">
        <v>307</v>
      </c>
      <c r="O680" s="26">
        <v>2.0</v>
      </c>
    </row>
    <row r="681" ht="15.75" customHeight="1">
      <c r="A681" s="26" t="s">
        <v>3238</v>
      </c>
      <c r="B681" s="26" t="s">
        <v>3239</v>
      </c>
      <c r="C681" s="26" t="s">
        <v>363</v>
      </c>
      <c r="D681" s="26" t="s">
        <v>62</v>
      </c>
      <c r="E681" s="26" t="s">
        <v>3240</v>
      </c>
      <c r="F681" s="26" t="s">
        <v>383</v>
      </c>
      <c r="G681" s="26" t="s">
        <v>111</v>
      </c>
      <c r="H681" s="26" t="s">
        <v>49</v>
      </c>
      <c r="I681" s="26"/>
      <c r="J681" s="26">
        <v>1.0</v>
      </c>
      <c r="K681" s="26" t="s">
        <v>3241</v>
      </c>
      <c r="L681" s="26" t="s">
        <v>15</v>
      </c>
      <c r="M681" s="26" t="s">
        <v>81</v>
      </c>
      <c r="N681" s="26" t="s">
        <v>307</v>
      </c>
      <c r="O681" s="26">
        <v>4.0</v>
      </c>
    </row>
    <row r="682" ht="15.75" customHeight="1">
      <c r="A682" s="26" t="s">
        <v>3242</v>
      </c>
      <c r="B682" s="26" t="s">
        <v>3243</v>
      </c>
      <c r="C682" s="26" t="s">
        <v>429</v>
      </c>
      <c r="D682" s="26" t="s">
        <v>54</v>
      </c>
      <c r="E682" s="26" t="s">
        <v>3244</v>
      </c>
      <c r="F682" s="26" t="s">
        <v>432</v>
      </c>
      <c r="G682" s="26" t="s">
        <v>182</v>
      </c>
      <c r="H682" s="26" t="s">
        <v>34</v>
      </c>
      <c r="I682" s="26"/>
      <c r="J682" s="26">
        <v>1.0</v>
      </c>
      <c r="K682" s="26" t="s">
        <v>3245</v>
      </c>
      <c r="L682" s="26" t="s">
        <v>19</v>
      </c>
      <c r="M682" s="26" t="s">
        <v>66</v>
      </c>
      <c r="N682" s="26" t="s">
        <v>307</v>
      </c>
      <c r="O682" s="26">
        <v>3.0</v>
      </c>
    </row>
    <row r="683" ht="15.75" customHeight="1">
      <c r="A683" s="26" t="s">
        <v>3246</v>
      </c>
      <c r="B683" s="26" t="s">
        <v>3247</v>
      </c>
      <c r="C683" s="26" t="s">
        <v>363</v>
      </c>
      <c r="D683" s="26" t="s">
        <v>72</v>
      </c>
      <c r="E683" s="26" t="s">
        <v>1165</v>
      </c>
      <c r="F683" s="26" t="s">
        <v>1277</v>
      </c>
      <c r="G683" s="26" t="s">
        <v>1162</v>
      </c>
      <c r="H683" s="26" t="s">
        <v>46</v>
      </c>
      <c r="I683" s="26"/>
      <c r="J683" s="26">
        <v>1.0</v>
      </c>
      <c r="K683" s="26" t="s">
        <v>3248</v>
      </c>
      <c r="L683" s="26" t="s">
        <v>19</v>
      </c>
      <c r="M683" s="26" t="s">
        <v>66</v>
      </c>
      <c r="N683" s="26" t="s">
        <v>307</v>
      </c>
      <c r="O683" s="26">
        <v>3.0</v>
      </c>
    </row>
    <row r="684" ht="15.75" customHeight="1">
      <c r="A684" s="26" t="s">
        <v>3249</v>
      </c>
      <c r="B684" s="26" t="s">
        <v>3250</v>
      </c>
      <c r="C684" s="26" t="s">
        <v>300</v>
      </c>
      <c r="D684" s="26" t="s">
        <v>76</v>
      </c>
      <c r="E684" s="26" t="s">
        <v>1191</v>
      </c>
      <c r="F684" s="26" t="s">
        <v>1201</v>
      </c>
      <c r="G684" s="26" t="s">
        <v>222</v>
      </c>
      <c r="H684" s="26" t="s">
        <v>34</v>
      </c>
      <c r="I684" s="26"/>
      <c r="J684" s="26">
        <v>1.0</v>
      </c>
      <c r="K684" s="26" t="s">
        <v>1192</v>
      </c>
      <c r="L684" s="26" t="s">
        <v>23</v>
      </c>
      <c r="M684" s="26" t="s">
        <v>94</v>
      </c>
      <c r="N684" s="26" t="s">
        <v>307</v>
      </c>
      <c r="O684" s="26">
        <v>4.0</v>
      </c>
    </row>
    <row r="685" ht="15.75" customHeight="1">
      <c r="A685" s="26" t="s">
        <v>3251</v>
      </c>
      <c r="B685" s="26" t="s">
        <v>3252</v>
      </c>
      <c r="C685" s="26" t="s">
        <v>312</v>
      </c>
      <c r="D685" s="26" t="s">
        <v>36</v>
      </c>
      <c r="E685" s="26" t="s">
        <v>3253</v>
      </c>
      <c r="F685" s="26" t="s">
        <v>3254</v>
      </c>
      <c r="G685" s="26" t="s">
        <v>108</v>
      </c>
      <c r="H685" s="26" t="s">
        <v>57</v>
      </c>
      <c r="I685" s="26"/>
      <c r="J685" s="26">
        <v>1.0</v>
      </c>
      <c r="K685" s="26" t="s">
        <v>3255</v>
      </c>
      <c r="L685" s="26" t="s">
        <v>15</v>
      </c>
      <c r="M685" s="26" t="s">
        <v>81</v>
      </c>
      <c r="N685" s="26" t="s">
        <v>307</v>
      </c>
      <c r="O685" s="26">
        <v>4.0</v>
      </c>
    </row>
    <row r="686" ht="15.75" customHeight="1">
      <c r="A686" s="26" t="s">
        <v>3256</v>
      </c>
      <c r="B686" s="26" t="s">
        <v>3257</v>
      </c>
      <c r="C686" s="26" t="s">
        <v>363</v>
      </c>
      <c r="D686" s="26" t="s">
        <v>48</v>
      </c>
      <c r="E686" s="26" t="s">
        <v>3258</v>
      </c>
      <c r="F686" s="26" t="s">
        <v>834</v>
      </c>
      <c r="G686" s="26" t="s">
        <v>267</v>
      </c>
      <c r="H686" s="26" t="s">
        <v>34</v>
      </c>
      <c r="I686" s="26"/>
      <c r="J686" s="26">
        <v>1.0</v>
      </c>
      <c r="K686" s="26" t="s">
        <v>3259</v>
      </c>
      <c r="L686" s="26" t="s">
        <v>15</v>
      </c>
      <c r="M686" s="26" t="s">
        <v>81</v>
      </c>
      <c r="N686" s="26" t="s">
        <v>307</v>
      </c>
      <c r="O686" s="26">
        <v>4.0</v>
      </c>
    </row>
    <row r="687" ht="15.75" customHeight="1">
      <c r="A687" s="26" t="s">
        <v>3260</v>
      </c>
      <c r="B687" s="26" t="s">
        <v>3261</v>
      </c>
      <c r="C687" s="26" t="s">
        <v>363</v>
      </c>
      <c r="D687" s="26" t="s">
        <v>36</v>
      </c>
      <c r="E687" s="26" t="s">
        <v>3262</v>
      </c>
      <c r="F687" s="26" t="s">
        <v>315</v>
      </c>
      <c r="G687" s="26" t="s">
        <v>47</v>
      </c>
      <c r="H687" s="26" t="s">
        <v>34</v>
      </c>
      <c r="I687" s="26" t="s">
        <v>65</v>
      </c>
      <c r="J687" s="26">
        <v>3.0</v>
      </c>
      <c r="K687" s="26" t="s">
        <v>3263</v>
      </c>
      <c r="L687" s="26" t="s">
        <v>19</v>
      </c>
      <c r="M687" s="26" t="s">
        <v>81</v>
      </c>
      <c r="N687" s="26" t="s">
        <v>307</v>
      </c>
      <c r="O687" s="26">
        <v>4.0</v>
      </c>
    </row>
    <row r="688" ht="15.75" customHeight="1">
      <c r="A688" s="26" t="s">
        <v>3264</v>
      </c>
      <c r="B688" s="26" t="s">
        <v>3265</v>
      </c>
      <c r="C688" s="26" t="s">
        <v>429</v>
      </c>
      <c r="D688" s="26" t="s">
        <v>62</v>
      </c>
      <c r="E688" s="26" t="s">
        <v>3266</v>
      </c>
      <c r="F688" s="26" t="s">
        <v>3267</v>
      </c>
      <c r="G688" s="26" t="s">
        <v>940</v>
      </c>
      <c r="H688" s="26" t="s">
        <v>61</v>
      </c>
      <c r="I688" s="26"/>
      <c r="J688" s="26">
        <v>1.0</v>
      </c>
      <c r="K688" s="26" t="s">
        <v>3268</v>
      </c>
      <c r="L688" s="26" t="s">
        <v>15</v>
      </c>
      <c r="M688" s="26" t="s">
        <v>81</v>
      </c>
      <c r="N688" s="26" t="s">
        <v>307</v>
      </c>
      <c r="O688" s="26">
        <v>3.0</v>
      </c>
    </row>
    <row r="689" ht="15.75" customHeight="1">
      <c r="A689" s="26" t="s">
        <v>3269</v>
      </c>
      <c r="B689" s="26" t="s">
        <v>3270</v>
      </c>
      <c r="C689" s="26" t="s">
        <v>312</v>
      </c>
      <c r="D689" s="26" t="s">
        <v>62</v>
      </c>
      <c r="E689" s="26" t="s">
        <v>3271</v>
      </c>
      <c r="F689" s="26" t="s">
        <v>1539</v>
      </c>
      <c r="G689" s="26" t="s">
        <v>212</v>
      </c>
      <c r="H689" s="26" t="s">
        <v>34</v>
      </c>
      <c r="I689" s="26" t="s">
        <v>119</v>
      </c>
      <c r="J689" s="26">
        <v>2.0</v>
      </c>
      <c r="K689" s="26" t="s">
        <v>3272</v>
      </c>
      <c r="L689" s="26" t="s">
        <v>15</v>
      </c>
      <c r="M689" s="26" t="s">
        <v>81</v>
      </c>
      <c r="N689" s="26" t="s">
        <v>307</v>
      </c>
      <c r="O689" s="26">
        <v>4.0</v>
      </c>
    </row>
    <row r="690" ht="15.75" customHeight="1">
      <c r="A690" s="26" t="s">
        <v>3273</v>
      </c>
      <c r="B690" s="26" t="s">
        <v>3274</v>
      </c>
      <c r="C690" s="26" t="s">
        <v>429</v>
      </c>
      <c r="D690" s="26" t="s">
        <v>62</v>
      </c>
      <c r="E690" s="26" t="s">
        <v>3275</v>
      </c>
      <c r="F690" s="26" t="s">
        <v>1245</v>
      </c>
      <c r="G690" s="26" t="s">
        <v>119</v>
      </c>
      <c r="H690" s="26" t="s">
        <v>57</v>
      </c>
      <c r="I690" s="26"/>
      <c r="J690" s="26">
        <v>1.0</v>
      </c>
      <c r="K690" s="26" t="s">
        <v>3276</v>
      </c>
      <c r="L690" s="26" t="s">
        <v>15</v>
      </c>
      <c r="M690" s="26" t="s">
        <v>81</v>
      </c>
      <c r="N690" s="26" t="s">
        <v>307</v>
      </c>
      <c r="O690" s="26">
        <v>5.0</v>
      </c>
    </row>
    <row r="691" ht="15.75" customHeight="1">
      <c r="A691" s="26" t="s">
        <v>3277</v>
      </c>
      <c r="B691" s="26" t="s">
        <v>3278</v>
      </c>
      <c r="C691" s="26" t="s">
        <v>363</v>
      </c>
      <c r="D691" s="26" t="s">
        <v>50</v>
      </c>
      <c r="E691" s="26" t="s">
        <v>3279</v>
      </c>
      <c r="F691" s="26" t="s">
        <v>847</v>
      </c>
      <c r="G691" s="26" t="s">
        <v>328</v>
      </c>
      <c r="H691" s="26" t="s">
        <v>49</v>
      </c>
      <c r="I691" s="26" t="s">
        <v>566</v>
      </c>
      <c r="J691" s="26">
        <v>2.0</v>
      </c>
      <c r="K691" s="26" t="s">
        <v>3280</v>
      </c>
      <c r="L691" s="26" t="s">
        <v>15</v>
      </c>
      <c r="M691" s="26" t="s">
        <v>81</v>
      </c>
      <c r="N691" s="26" t="s">
        <v>307</v>
      </c>
      <c r="O691" s="26">
        <v>4.0</v>
      </c>
    </row>
    <row r="692" ht="15.75" customHeight="1">
      <c r="A692" s="26" t="s">
        <v>3281</v>
      </c>
      <c r="B692" s="26" t="s">
        <v>3282</v>
      </c>
      <c r="C692" s="26" t="s">
        <v>300</v>
      </c>
      <c r="D692" s="26" t="s">
        <v>45</v>
      </c>
      <c r="E692" s="26" t="s">
        <v>3283</v>
      </c>
      <c r="F692" s="26" t="s">
        <v>799</v>
      </c>
      <c r="G692" s="26" t="s">
        <v>130</v>
      </c>
      <c r="H692" s="26" t="s">
        <v>34</v>
      </c>
      <c r="I692" s="26" t="s">
        <v>140</v>
      </c>
      <c r="J692" s="26">
        <v>3.0</v>
      </c>
      <c r="K692" s="26" t="s">
        <v>3284</v>
      </c>
      <c r="L692" s="26" t="s">
        <v>15</v>
      </c>
      <c r="M692" s="26" t="s">
        <v>81</v>
      </c>
      <c r="N692" s="26" t="s">
        <v>307</v>
      </c>
      <c r="O692" s="26">
        <v>3.0</v>
      </c>
    </row>
    <row r="693" ht="15.75" customHeight="1">
      <c r="A693" s="26" t="s">
        <v>3285</v>
      </c>
      <c r="B693" s="26" t="s">
        <v>3286</v>
      </c>
      <c r="C693" s="26" t="s">
        <v>312</v>
      </c>
      <c r="D693" s="26" t="s">
        <v>45</v>
      </c>
      <c r="E693" s="26" t="s">
        <v>3287</v>
      </c>
      <c r="F693" s="26" t="s">
        <v>799</v>
      </c>
      <c r="G693" s="26" t="s">
        <v>130</v>
      </c>
      <c r="H693" s="26" t="s">
        <v>34</v>
      </c>
      <c r="I693" s="26" t="s">
        <v>140</v>
      </c>
      <c r="J693" s="26">
        <v>4.0</v>
      </c>
      <c r="K693" s="26" t="s">
        <v>3284</v>
      </c>
      <c r="L693" s="26" t="s">
        <v>15</v>
      </c>
      <c r="M693" s="26" t="s">
        <v>81</v>
      </c>
      <c r="N693" s="26" t="s">
        <v>307</v>
      </c>
      <c r="O693" s="26">
        <v>3.0</v>
      </c>
    </row>
    <row r="694" ht="15.75" customHeight="1">
      <c r="A694" s="26" t="s">
        <v>3288</v>
      </c>
      <c r="B694" s="26" t="s">
        <v>3289</v>
      </c>
      <c r="C694" s="26" t="s">
        <v>363</v>
      </c>
      <c r="D694" s="26" t="s">
        <v>45</v>
      </c>
      <c r="E694" s="26" t="s">
        <v>3290</v>
      </c>
      <c r="F694" s="26" t="s">
        <v>799</v>
      </c>
      <c r="G694" s="26" t="s">
        <v>130</v>
      </c>
      <c r="H694" s="26" t="s">
        <v>34</v>
      </c>
      <c r="I694" s="26" t="s">
        <v>140</v>
      </c>
      <c r="J694" s="26">
        <v>3.0</v>
      </c>
      <c r="K694" s="26" t="s">
        <v>3284</v>
      </c>
      <c r="L694" s="26" t="s">
        <v>15</v>
      </c>
      <c r="M694" s="26" t="s">
        <v>81</v>
      </c>
      <c r="N694" s="26" t="s">
        <v>307</v>
      </c>
      <c r="O694" s="26">
        <v>3.0</v>
      </c>
    </row>
    <row r="695" ht="15.75" customHeight="1">
      <c r="A695" s="26" t="s">
        <v>3291</v>
      </c>
      <c r="B695" s="26" t="s">
        <v>3292</v>
      </c>
      <c r="C695" s="26" t="s">
        <v>429</v>
      </c>
      <c r="D695" s="26" t="s">
        <v>45</v>
      </c>
      <c r="E695" s="26" t="s">
        <v>3293</v>
      </c>
      <c r="F695" s="26" t="s">
        <v>1647</v>
      </c>
      <c r="G695" s="26" t="s">
        <v>82</v>
      </c>
      <c r="H695" s="26" t="s">
        <v>34</v>
      </c>
      <c r="I695" s="26"/>
      <c r="J695" s="26">
        <v>1.0</v>
      </c>
      <c r="K695" s="26" t="s">
        <v>3284</v>
      </c>
      <c r="L695" s="26" t="s">
        <v>15</v>
      </c>
      <c r="M695" s="26" t="s">
        <v>81</v>
      </c>
      <c r="N695" s="26" t="s">
        <v>307</v>
      </c>
      <c r="O695" s="26">
        <v>3.0</v>
      </c>
    </row>
    <row r="696" ht="15.75" customHeight="1">
      <c r="A696" s="26" t="s">
        <v>3294</v>
      </c>
      <c r="B696" s="26" t="s">
        <v>3295</v>
      </c>
      <c r="C696" s="26" t="s">
        <v>300</v>
      </c>
      <c r="D696" s="26" t="s">
        <v>50</v>
      </c>
      <c r="E696" s="26" t="s">
        <v>3296</v>
      </c>
      <c r="F696" s="26" t="s">
        <v>336</v>
      </c>
      <c r="G696" s="26" t="s">
        <v>75</v>
      </c>
      <c r="H696" s="26" t="s">
        <v>53</v>
      </c>
      <c r="I696" s="26" t="s">
        <v>328</v>
      </c>
      <c r="J696" s="26">
        <v>3.0</v>
      </c>
      <c r="K696" s="26" t="s">
        <v>3297</v>
      </c>
      <c r="L696" s="26" t="s">
        <v>19</v>
      </c>
      <c r="M696" s="26" t="s">
        <v>66</v>
      </c>
      <c r="N696" s="26" t="s">
        <v>307</v>
      </c>
      <c r="O696" s="26">
        <v>3.0</v>
      </c>
    </row>
    <row r="697" ht="15.75" customHeight="1">
      <c r="A697" s="26" t="s">
        <v>3298</v>
      </c>
      <c r="B697" s="26" t="s">
        <v>3299</v>
      </c>
      <c r="C697" s="26" t="s">
        <v>363</v>
      </c>
      <c r="D697" s="26" t="s">
        <v>48</v>
      </c>
      <c r="E697" s="26" t="s">
        <v>3300</v>
      </c>
      <c r="F697" s="26" t="s">
        <v>1727</v>
      </c>
      <c r="G697" s="26" t="s">
        <v>284</v>
      </c>
      <c r="H697" s="26" t="s">
        <v>46</v>
      </c>
      <c r="I697" s="26"/>
      <c r="J697" s="26">
        <v>0.0</v>
      </c>
      <c r="K697" s="26" t="s">
        <v>2250</v>
      </c>
      <c r="L697" s="26" t="s">
        <v>15</v>
      </c>
      <c r="M697" s="26" t="s">
        <v>81</v>
      </c>
      <c r="N697" s="26" t="s">
        <v>307</v>
      </c>
      <c r="O697" s="26">
        <v>3.0</v>
      </c>
    </row>
    <row r="698" ht="15.75" customHeight="1">
      <c r="A698" s="26" t="s">
        <v>3301</v>
      </c>
      <c r="B698" s="26" t="s">
        <v>3302</v>
      </c>
      <c r="C698" s="26" t="s">
        <v>429</v>
      </c>
      <c r="D698" s="26" t="s">
        <v>36</v>
      </c>
      <c r="E698" s="26" t="s">
        <v>3303</v>
      </c>
      <c r="F698" s="26" t="s">
        <v>1292</v>
      </c>
      <c r="G698" s="26" t="s">
        <v>65</v>
      </c>
      <c r="H698" s="26" t="s">
        <v>34</v>
      </c>
      <c r="I698" s="26" t="s">
        <v>92</v>
      </c>
      <c r="J698" s="26">
        <v>2.0</v>
      </c>
      <c r="K698" s="26" t="s">
        <v>3304</v>
      </c>
      <c r="L698" s="26" t="s">
        <v>15</v>
      </c>
      <c r="M698" s="26" t="s">
        <v>81</v>
      </c>
      <c r="N698" s="26" t="s">
        <v>307</v>
      </c>
      <c r="O698" s="26">
        <v>3.0</v>
      </c>
    </row>
    <row r="699" ht="15.75" customHeight="1">
      <c r="A699" s="26" t="s">
        <v>3305</v>
      </c>
      <c r="B699" s="26" t="s">
        <v>3306</v>
      </c>
      <c r="C699" s="26" t="s">
        <v>363</v>
      </c>
      <c r="D699" s="26" t="s">
        <v>72</v>
      </c>
      <c r="E699" s="26" t="s">
        <v>3307</v>
      </c>
      <c r="F699" s="26" t="s">
        <v>2261</v>
      </c>
      <c r="G699" s="26" t="s">
        <v>1133</v>
      </c>
      <c r="H699" s="26" t="s">
        <v>46</v>
      </c>
      <c r="I699" s="26" t="s">
        <v>3308</v>
      </c>
      <c r="J699" s="26">
        <v>2.0</v>
      </c>
      <c r="K699" s="26" t="s">
        <v>3309</v>
      </c>
      <c r="L699" s="26" t="s">
        <v>15</v>
      </c>
      <c r="M699" s="26" t="s">
        <v>81</v>
      </c>
      <c r="N699" s="26" t="s">
        <v>307</v>
      </c>
      <c r="O699" s="26">
        <v>2.0</v>
      </c>
    </row>
    <row r="700" ht="15.75" customHeight="1">
      <c r="A700" s="26" t="s">
        <v>3310</v>
      </c>
      <c r="B700" s="26" t="s">
        <v>3311</v>
      </c>
      <c r="C700" s="26" t="s">
        <v>363</v>
      </c>
      <c r="D700" s="26" t="s">
        <v>69</v>
      </c>
      <c r="E700" s="26" t="s">
        <v>3312</v>
      </c>
      <c r="F700" s="26" t="s">
        <v>537</v>
      </c>
      <c r="G700" s="26" t="s">
        <v>197</v>
      </c>
      <c r="H700" s="26" t="s">
        <v>34</v>
      </c>
      <c r="I700" s="26" t="s">
        <v>83</v>
      </c>
      <c r="J700" s="26">
        <v>2.0</v>
      </c>
      <c r="K700" s="26" t="s">
        <v>136</v>
      </c>
      <c r="L700" s="26" t="s">
        <v>29</v>
      </c>
      <c r="M700" s="26" t="s">
        <v>95</v>
      </c>
      <c r="N700" s="26" t="s">
        <v>307</v>
      </c>
      <c r="O700" s="26">
        <v>3.0</v>
      </c>
    </row>
    <row r="701" ht="15.75" customHeight="1">
      <c r="A701" s="26" t="s">
        <v>3313</v>
      </c>
      <c r="B701" s="26" t="s">
        <v>3314</v>
      </c>
      <c r="C701" s="26" t="s">
        <v>363</v>
      </c>
      <c r="D701" s="26" t="s">
        <v>48</v>
      </c>
      <c r="E701" s="26" t="s">
        <v>495</v>
      </c>
      <c r="F701" s="26" t="s">
        <v>973</v>
      </c>
      <c r="G701" s="26" t="s">
        <v>299</v>
      </c>
      <c r="H701" s="26" t="s">
        <v>34</v>
      </c>
      <c r="I701" s="26"/>
      <c r="J701" s="26">
        <v>1.0</v>
      </c>
      <c r="K701" s="26" t="s">
        <v>497</v>
      </c>
      <c r="L701" s="26" t="s">
        <v>15</v>
      </c>
      <c r="M701" s="26" t="s">
        <v>81</v>
      </c>
      <c r="N701" s="26" t="s">
        <v>307</v>
      </c>
      <c r="O701" s="26">
        <v>5.0</v>
      </c>
    </row>
    <row r="702" ht="15.75" customHeight="1">
      <c r="A702" s="26" t="s">
        <v>3315</v>
      </c>
      <c r="B702" s="26" t="s">
        <v>3316</v>
      </c>
      <c r="C702" s="26" t="s">
        <v>363</v>
      </c>
      <c r="D702" s="26" t="s">
        <v>45</v>
      </c>
      <c r="E702" s="26" t="s">
        <v>381</v>
      </c>
      <c r="F702" s="26" t="s">
        <v>937</v>
      </c>
      <c r="G702" s="26" t="s">
        <v>204</v>
      </c>
      <c r="H702" s="26" t="s">
        <v>49</v>
      </c>
      <c r="I702" s="26"/>
      <c r="J702" s="26">
        <v>1.0</v>
      </c>
      <c r="K702" s="26" t="s">
        <v>136</v>
      </c>
      <c r="L702" s="26" t="s">
        <v>29</v>
      </c>
      <c r="M702" s="26" t="s">
        <v>95</v>
      </c>
      <c r="N702" s="26" t="s">
        <v>307</v>
      </c>
      <c r="O702" s="26">
        <v>3.0</v>
      </c>
    </row>
    <row r="703" ht="15.75" customHeight="1">
      <c r="A703" s="26" t="s">
        <v>3317</v>
      </c>
      <c r="B703" s="26" t="s">
        <v>3318</v>
      </c>
      <c r="C703" s="26" t="s">
        <v>300</v>
      </c>
      <c r="D703" s="26" t="s">
        <v>50</v>
      </c>
      <c r="E703" s="26" t="s">
        <v>705</v>
      </c>
      <c r="F703" s="26" t="s">
        <v>2741</v>
      </c>
      <c r="G703" s="26" t="s">
        <v>110</v>
      </c>
      <c r="H703" s="26" t="s">
        <v>71</v>
      </c>
      <c r="I703" s="26"/>
      <c r="J703" s="26">
        <v>1.0</v>
      </c>
      <c r="K703" s="26" t="s">
        <v>136</v>
      </c>
      <c r="L703" s="26" t="s">
        <v>29</v>
      </c>
      <c r="M703" s="26" t="s">
        <v>95</v>
      </c>
      <c r="N703" s="26" t="s">
        <v>307</v>
      </c>
      <c r="O703" s="26">
        <v>2.0</v>
      </c>
    </row>
    <row r="704" ht="15.75" customHeight="1">
      <c r="A704" s="26" t="s">
        <v>3319</v>
      </c>
      <c r="B704" s="26" t="s">
        <v>3320</v>
      </c>
      <c r="C704" s="26" t="s">
        <v>300</v>
      </c>
      <c r="D704" s="26" t="s">
        <v>50</v>
      </c>
      <c r="E704" s="26" t="s">
        <v>3321</v>
      </c>
      <c r="F704" s="26" t="s">
        <v>336</v>
      </c>
      <c r="G704" s="26" t="s">
        <v>75</v>
      </c>
      <c r="H704" s="26" t="s">
        <v>53</v>
      </c>
      <c r="I704" s="26" t="s">
        <v>328</v>
      </c>
      <c r="J704" s="26">
        <v>4.0</v>
      </c>
      <c r="K704" s="26" t="s">
        <v>358</v>
      </c>
      <c r="L704" s="26" t="s">
        <v>19</v>
      </c>
      <c r="M704" s="26" t="s">
        <v>66</v>
      </c>
      <c r="N704" s="26" t="s">
        <v>307</v>
      </c>
      <c r="O704" s="26">
        <v>2.0</v>
      </c>
    </row>
    <row r="705" ht="15.75" customHeight="1">
      <c r="A705" s="26" t="s">
        <v>3322</v>
      </c>
      <c r="B705" s="26" t="s">
        <v>3323</v>
      </c>
      <c r="C705" s="26" t="s">
        <v>429</v>
      </c>
      <c r="D705" s="26" t="s">
        <v>54</v>
      </c>
      <c r="E705" s="26" t="s">
        <v>778</v>
      </c>
      <c r="F705" s="26" t="s">
        <v>1575</v>
      </c>
      <c r="G705" s="26" t="s">
        <v>572</v>
      </c>
      <c r="H705" s="26" t="s">
        <v>46</v>
      </c>
      <c r="I705" s="26"/>
      <c r="J705" s="26">
        <v>1.0</v>
      </c>
      <c r="K705" s="26" t="s">
        <v>3324</v>
      </c>
      <c r="L705" s="26" t="s">
        <v>19</v>
      </c>
      <c r="M705" s="26" t="s">
        <v>87</v>
      </c>
      <c r="N705" s="26" t="s">
        <v>307</v>
      </c>
      <c r="O705" s="26">
        <v>3.0</v>
      </c>
    </row>
    <row r="706" ht="15.75" customHeight="1">
      <c r="A706" s="26" t="s">
        <v>3325</v>
      </c>
      <c r="B706" s="26" t="s">
        <v>3326</v>
      </c>
      <c r="C706" s="26" t="s">
        <v>363</v>
      </c>
      <c r="D706" s="26" t="s">
        <v>48</v>
      </c>
      <c r="E706" s="26" t="s">
        <v>3327</v>
      </c>
      <c r="F706" s="26" t="s">
        <v>834</v>
      </c>
      <c r="G706" s="26" t="s">
        <v>267</v>
      </c>
      <c r="H706" s="26" t="s">
        <v>34</v>
      </c>
      <c r="I706" s="26"/>
      <c r="J706" s="26">
        <v>1.0</v>
      </c>
      <c r="K706" s="26" t="s">
        <v>3328</v>
      </c>
      <c r="L706" s="26" t="s">
        <v>15</v>
      </c>
      <c r="M706" s="26" t="s">
        <v>81</v>
      </c>
      <c r="N706" s="26" t="s">
        <v>307</v>
      </c>
      <c r="O706" s="26">
        <v>2.0</v>
      </c>
    </row>
    <row r="707" ht="15.75" customHeight="1">
      <c r="A707" s="26" t="s">
        <v>3329</v>
      </c>
      <c r="B707" s="26" t="s">
        <v>3330</v>
      </c>
      <c r="C707" s="26" t="s">
        <v>363</v>
      </c>
      <c r="D707" s="26" t="s">
        <v>45</v>
      </c>
      <c r="E707" s="26" t="s">
        <v>3331</v>
      </c>
      <c r="F707" s="26" t="s">
        <v>744</v>
      </c>
      <c r="G707" s="26" t="s">
        <v>148</v>
      </c>
      <c r="H707" s="26" t="s">
        <v>34</v>
      </c>
      <c r="I707" s="26" t="s">
        <v>220</v>
      </c>
      <c r="J707" s="26">
        <v>3.0</v>
      </c>
      <c r="K707" s="26" t="s">
        <v>3332</v>
      </c>
      <c r="L707" s="26" t="s">
        <v>15</v>
      </c>
      <c r="M707" s="26" t="s">
        <v>81</v>
      </c>
      <c r="N707" s="26" t="s">
        <v>307</v>
      </c>
      <c r="O707" s="26">
        <v>1.0</v>
      </c>
    </row>
    <row r="708" ht="15.75" customHeight="1">
      <c r="A708" s="26" t="s">
        <v>3333</v>
      </c>
      <c r="B708" s="26" t="s">
        <v>3334</v>
      </c>
      <c r="C708" s="26" t="s">
        <v>300</v>
      </c>
      <c r="D708" s="26" t="s">
        <v>68</v>
      </c>
      <c r="E708" s="26" t="s">
        <v>3335</v>
      </c>
      <c r="F708" s="26" t="s">
        <v>894</v>
      </c>
      <c r="G708" s="26" t="s">
        <v>70</v>
      </c>
      <c r="H708" s="26" t="s">
        <v>53</v>
      </c>
      <c r="I708" s="26" t="s">
        <v>895</v>
      </c>
      <c r="J708" s="26">
        <v>2.0</v>
      </c>
      <c r="K708" s="26" t="s">
        <v>358</v>
      </c>
      <c r="L708" s="26" t="s">
        <v>19</v>
      </c>
      <c r="M708" s="26" t="s">
        <v>66</v>
      </c>
      <c r="N708" s="26" t="s">
        <v>307</v>
      </c>
      <c r="O708" s="26">
        <v>1.0</v>
      </c>
    </row>
    <row r="709" ht="15.75" customHeight="1">
      <c r="A709" s="26" t="s">
        <v>3336</v>
      </c>
      <c r="B709" s="26" t="s">
        <v>3337</v>
      </c>
      <c r="C709" s="26" t="s">
        <v>312</v>
      </c>
      <c r="D709" s="26" t="s">
        <v>50</v>
      </c>
      <c r="E709" s="26" t="s">
        <v>3338</v>
      </c>
      <c r="F709" s="26" t="s">
        <v>847</v>
      </c>
      <c r="G709" s="26" t="s">
        <v>328</v>
      </c>
      <c r="H709" s="26" t="s">
        <v>49</v>
      </c>
      <c r="I709" s="26"/>
      <c r="J709" s="26">
        <v>1.0</v>
      </c>
      <c r="K709" s="26" t="s">
        <v>3339</v>
      </c>
      <c r="L709" s="26" t="s">
        <v>15</v>
      </c>
      <c r="M709" s="26" t="s">
        <v>81</v>
      </c>
      <c r="N709" s="26" t="s">
        <v>307</v>
      </c>
      <c r="O709" s="26">
        <v>1.0</v>
      </c>
    </row>
    <row r="710" ht="15.75" customHeight="1">
      <c r="A710" s="26" t="s">
        <v>3340</v>
      </c>
      <c r="B710" s="26" t="s">
        <v>3341</v>
      </c>
      <c r="C710" s="26" t="s">
        <v>363</v>
      </c>
      <c r="D710" s="26" t="s">
        <v>36</v>
      </c>
      <c r="E710" s="26" t="s">
        <v>3342</v>
      </c>
      <c r="F710" s="26" t="s">
        <v>2381</v>
      </c>
      <c r="G710" s="26" t="s">
        <v>88</v>
      </c>
      <c r="H710" s="26" t="s">
        <v>46</v>
      </c>
      <c r="I710" s="26"/>
      <c r="J710" s="26">
        <v>1.0</v>
      </c>
      <c r="K710" s="26" t="s">
        <v>3343</v>
      </c>
      <c r="L710" s="26" t="s">
        <v>15</v>
      </c>
      <c r="M710" s="26" t="s">
        <v>81</v>
      </c>
      <c r="N710" s="26" t="s">
        <v>307</v>
      </c>
      <c r="O710" s="26">
        <v>1.0</v>
      </c>
    </row>
    <row r="711" ht="15.75" customHeight="1">
      <c r="A711" s="26" t="s">
        <v>3344</v>
      </c>
      <c r="B711" s="26" t="s">
        <v>3345</v>
      </c>
      <c r="C711" s="26" t="s">
        <v>300</v>
      </c>
      <c r="D711" s="26" t="s">
        <v>36</v>
      </c>
      <c r="E711" s="26" t="s">
        <v>184</v>
      </c>
      <c r="F711" s="26" t="s">
        <v>2116</v>
      </c>
      <c r="G711" s="26" t="s">
        <v>84</v>
      </c>
      <c r="H711" s="26" t="s">
        <v>34</v>
      </c>
      <c r="I711" s="26"/>
      <c r="J711" s="26">
        <v>1.0</v>
      </c>
      <c r="K711" s="26" t="s">
        <v>185</v>
      </c>
      <c r="L711" s="26" t="s">
        <v>15</v>
      </c>
      <c r="M711" s="26" t="s">
        <v>81</v>
      </c>
      <c r="N711" s="26" t="s">
        <v>307</v>
      </c>
      <c r="O711" s="26">
        <v>3.0</v>
      </c>
    </row>
    <row r="712" ht="15.75" customHeight="1">
      <c r="A712" s="26" t="s">
        <v>3346</v>
      </c>
      <c r="B712" s="26" t="s">
        <v>3347</v>
      </c>
      <c r="C712" s="26" t="s">
        <v>300</v>
      </c>
      <c r="D712" s="26" t="s">
        <v>45</v>
      </c>
      <c r="E712" s="26" t="s">
        <v>294</v>
      </c>
      <c r="F712" s="26" t="s">
        <v>2178</v>
      </c>
      <c r="G712" s="26" t="s">
        <v>161</v>
      </c>
      <c r="H712" s="26" t="s">
        <v>57</v>
      </c>
      <c r="I712" s="26" t="s">
        <v>143</v>
      </c>
      <c r="J712" s="26">
        <v>3.0</v>
      </c>
      <c r="K712" s="26" t="s">
        <v>3348</v>
      </c>
      <c r="L712" s="26" t="s">
        <v>15</v>
      </c>
      <c r="M712" s="26" t="s">
        <v>81</v>
      </c>
      <c r="N712" s="26" t="s">
        <v>307</v>
      </c>
      <c r="O712" s="26">
        <v>3.0</v>
      </c>
    </row>
    <row r="713" ht="15.75" customHeight="1">
      <c r="A713" s="26" t="s">
        <v>3349</v>
      </c>
      <c r="B713" s="26" t="s">
        <v>3350</v>
      </c>
      <c r="C713" s="26" t="s">
        <v>363</v>
      </c>
      <c r="D713" s="26" t="s">
        <v>69</v>
      </c>
      <c r="E713" s="26" t="s">
        <v>3351</v>
      </c>
      <c r="F713" s="26" t="s">
        <v>537</v>
      </c>
      <c r="G713" s="26" t="s">
        <v>197</v>
      </c>
      <c r="H713" s="26" t="s">
        <v>34</v>
      </c>
      <c r="I713" s="26"/>
      <c r="J713" s="26">
        <v>1.0</v>
      </c>
      <c r="K713" s="26" t="s">
        <v>3352</v>
      </c>
      <c r="L713" s="26" t="s">
        <v>15</v>
      </c>
      <c r="M713" s="26" t="s">
        <v>81</v>
      </c>
      <c r="N713" s="26" t="s">
        <v>307</v>
      </c>
      <c r="O713" s="26">
        <v>3.0</v>
      </c>
    </row>
    <row r="714" ht="15.75" customHeight="1">
      <c r="A714" s="26" t="s">
        <v>3353</v>
      </c>
      <c r="B714" s="26" t="s">
        <v>3354</v>
      </c>
      <c r="C714" s="26" t="s">
        <v>322</v>
      </c>
      <c r="D714" s="26" t="s">
        <v>54</v>
      </c>
      <c r="E714" s="26" t="s">
        <v>3355</v>
      </c>
      <c r="F714" s="26" t="s">
        <v>432</v>
      </c>
      <c r="G714" s="26" t="s">
        <v>182</v>
      </c>
      <c r="H714" s="26" t="s">
        <v>34</v>
      </c>
      <c r="I714" s="26" t="s">
        <v>217</v>
      </c>
      <c r="J714" s="26">
        <v>2.0</v>
      </c>
      <c r="K714" s="26" t="s">
        <v>793</v>
      </c>
      <c r="L714" s="26" t="s">
        <v>15</v>
      </c>
      <c r="M714" s="26" t="s">
        <v>81</v>
      </c>
      <c r="N714" s="26" t="s">
        <v>307</v>
      </c>
      <c r="O714" s="26">
        <v>1.0</v>
      </c>
    </row>
    <row r="715" ht="15.75" customHeight="1">
      <c r="A715" s="26" t="s">
        <v>3356</v>
      </c>
      <c r="B715" s="26" t="s">
        <v>3357</v>
      </c>
      <c r="C715" s="26" t="s">
        <v>300</v>
      </c>
      <c r="D715" s="26" t="s">
        <v>62</v>
      </c>
      <c r="E715" s="26" t="s">
        <v>957</v>
      </c>
      <c r="F715" s="26" t="s">
        <v>471</v>
      </c>
      <c r="G715" s="26" t="s">
        <v>105</v>
      </c>
      <c r="H715" s="26" t="s">
        <v>46</v>
      </c>
      <c r="I715" s="26"/>
      <c r="J715" s="26">
        <v>1.0</v>
      </c>
      <c r="K715" s="26" t="s">
        <v>958</v>
      </c>
      <c r="L715" s="26" t="s">
        <v>15</v>
      </c>
      <c r="M715" s="26" t="s">
        <v>81</v>
      </c>
      <c r="N715" s="26" t="s">
        <v>307</v>
      </c>
      <c r="O715" s="26">
        <v>5.0</v>
      </c>
    </row>
    <row r="716" ht="15.75" customHeight="1">
      <c r="A716" s="26" t="s">
        <v>3358</v>
      </c>
      <c r="B716" s="26" t="s">
        <v>3359</v>
      </c>
      <c r="C716" s="26" t="s">
        <v>363</v>
      </c>
      <c r="D716" s="26" t="s">
        <v>50</v>
      </c>
      <c r="E716" s="26" t="s">
        <v>3360</v>
      </c>
      <c r="F716" s="26" t="s">
        <v>336</v>
      </c>
      <c r="G716" s="26" t="s">
        <v>75</v>
      </c>
      <c r="H716" s="26" t="s">
        <v>53</v>
      </c>
      <c r="I716" s="26" t="s">
        <v>245</v>
      </c>
      <c r="J716" s="26">
        <v>4.0</v>
      </c>
      <c r="K716" s="26" t="s">
        <v>3361</v>
      </c>
      <c r="L716" s="26" t="s">
        <v>15</v>
      </c>
      <c r="M716" s="26" t="s">
        <v>81</v>
      </c>
      <c r="N716" s="26" t="s">
        <v>307</v>
      </c>
      <c r="O716" s="26">
        <v>3.0</v>
      </c>
    </row>
    <row r="717" ht="15.75" customHeight="1">
      <c r="A717" s="26" t="s">
        <v>3362</v>
      </c>
      <c r="B717" s="26" t="s">
        <v>3363</v>
      </c>
      <c r="C717" s="26" t="s">
        <v>322</v>
      </c>
      <c r="D717" s="26" t="s">
        <v>68</v>
      </c>
      <c r="E717" s="26" t="s">
        <v>3364</v>
      </c>
      <c r="F717" s="26" t="s">
        <v>894</v>
      </c>
      <c r="G717" s="26" t="s">
        <v>70</v>
      </c>
      <c r="H717" s="26" t="s">
        <v>53</v>
      </c>
      <c r="I717" s="26" t="s">
        <v>895</v>
      </c>
      <c r="J717" s="26">
        <v>4.0</v>
      </c>
      <c r="K717" s="26" t="s">
        <v>3365</v>
      </c>
      <c r="L717" s="26" t="s">
        <v>19</v>
      </c>
      <c r="M717" s="26" t="s">
        <v>66</v>
      </c>
      <c r="N717" s="26" t="s">
        <v>307</v>
      </c>
      <c r="O717" s="26">
        <v>0.0</v>
      </c>
    </row>
    <row r="718" ht="15.75" customHeight="1">
      <c r="A718" s="26" t="s">
        <v>3366</v>
      </c>
      <c r="B718" s="26" t="s">
        <v>3367</v>
      </c>
      <c r="C718" s="26" t="s">
        <v>312</v>
      </c>
      <c r="D718" s="26" t="s">
        <v>45</v>
      </c>
      <c r="E718" s="26" t="s">
        <v>3368</v>
      </c>
      <c r="F718" s="26" t="s">
        <v>799</v>
      </c>
      <c r="G718" s="26" t="s">
        <v>130</v>
      </c>
      <c r="H718" s="26" t="s">
        <v>34</v>
      </c>
      <c r="I718" s="26" t="s">
        <v>166</v>
      </c>
      <c r="J718" s="26">
        <v>2.0</v>
      </c>
      <c r="K718" s="26" t="s">
        <v>3369</v>
      </c>
      <c r="L718" s="26" t="s">
        <v>15</v>
      </c>
      <c r="M718" s="26" t="s">
        <v>81</v>
      </c>
      <c r="N718" s="26" t="s">
        <v>307</v>
      </c>
      <c r="O718" s="26">
        <v>2.0</v>
      </c>
    </row>
    <row r="719" ht="15.75" customHeight="1">
      <c r="A719" s="26" t="s">
        <v>3370</v>
      </c>
      <c r="B719" s="26" t="s">
        <v>3371</v>
      </c>
      <c r="C719" s="26" t="s">
        <v>363</v>
      </c>
      <c r="D719" s="26" t="s">
        <v>79</v>
      </c>
      <c r="E719" s="26" t="s">
        <v>1263</v>
      </c>
      <c r="F719" s="26" t="s">
        <v>2863</v>
      </c>
      <c r="G719" s="26" t="s">
        <v>1260</v>
      </c>
      <c r="H719" s="26" t="s">
        <v>34</v>
      </c>
      <c r="I719" s="26"/>
      <c r="J719" s="26">
        <v>1.0</v>
      </c>
      <c r="K719" s="26" t="s">
        <v>1264</v>
      </c>
      <c r="L719" s="26" t="s">
        <v>15</v>
      </c>
      <c r="M719" s="26" t="s">
        <v>81</v>
      </c>
      <c r="N719" s="26" t="s">
        <v>307</v>
      </c>
      <c r="O719" s="26">
        <v>3.0</v>
      </c>
    </row>
    <row r="720" ht="15.75" customHeight="1">
      <c r="A720" s="26" t="s">
        <v>3372</v>
      </c>
      <c r="B720" s="26" t="s">
        <v>3373</v>
      </c>
      <c r="C720" s="26" t="s">
        <v>363</v>
      </c>
      <c r="D720" s="26" t="s">
        <v>59</v>
      </c>
      <c r="E720" s="26" t="s">
        <v>3374</v>
      </c>
      <c r="F720" s="26" t="s">
        <v>423</v>
      </c>
      <c r="G720" s="26" t="s">
        <v>117</v>
      </c>
      <c r="H720" s="26" t="s">
        <v>34</v>
      </c>
      <c r="I720" s="26" t="s">
        <v>3375</v>
      </c>
      <c r="J720" s="26">
        <v>2.0</v>
      </c>
      <c r="K720" s="26" t="s">
        <v>136</v>
      </c>
      <c r="L720" s="26" t="s">
        <v>29</v>
      </c>
      <c r="M720" s="26" t="s">
        <v>95</v>
      </c>
      <c r="N720" s="26" t="s">
        <v>307</v>
      </c>
      <c r="O720" s="26">
        <v>6.0</v>
      </c>
    </row>
    <row r="721" ht="15.75" customHeight="1">
      <c r="A721" s="26" t="s">
        <v>3376</v>
      </c>
      <c r="B721" s="26" t="s">
        <v>3377</v>
      </c>
      <c r="C721" s="26" t="s">
        <v>363</v>
      </c>
      <c r="D721" s="26" t="s">
        <v>36</v>
      </c>
      <c r="E721" s="26" t="s">
        <v>3378</v>
      </c>
      <c r="F721" s="26" t="s">
        <v>315</v>
      </c>
      <c r="G721" s="26" t="s">
        <v>47</v>
      </c>
      <c r="H721" s="26" t="s">
        <v>34</v>
      </c>
      <c r="I721" s="26" t="s">
        <v>88</v>
      </c>
      <c r="J721" s="26">
        <v>3.0</v>
      </c>
      <c r="K721" s="26" t="s">
        <v>3379</v>
      </c>
      <c r="L721" s="26" t="s">
        <v>19</v>
      </c>
      <c r="M721" s="26" t="s">
        <v>81</v>
      </c>
      <c r="N721" s="26" t="s">
        <v>307</v>
      </c>
      <c r="O721" s="26">
        <v>3.0</v>
      </c>
    </row>
    <row r="722" ht="15.75" customHeight="1">
      <c r="A722" s="26" t="s">
        <v>3380</v>
      </c>
      <c r="B722" s="26" t="s">
        <v>3381</v>
      </c>
      <c r="C722" s="26" t="s">
        <v>429</v>
      </c>
      <c r="D722" s="26" t="s">
        <v>48</v>
      </c>
      <c r="E722" s="26" t="s">
        <v>3382</v>
      </c>
      <c r="F722" s="26" t="s">
        <v>672</v>
      </c>
      <c r="G722" s="26" t="s">
        <v>339</v>
      </c>
      <c r="H722" s="26" t="s">
        <v>49</v>
      </c>
      <c r="I722" s="26" t="s">
        <v>378</v>
      </c>
      <c r="J722" s="26">
        <v>3.0</v>
      </c>
      <c r="K722" s="26" t="s">
        <v>3383</v>
      </c>
      <c r="L722" s="26" t="s">
        <v>19</v>
      </c>
      <c r="M722" s="26" t="s">
        <v>81</v>
      </c>
      <c r="N722" s="26" t="s">
        <v>307</v>
      </c>
      <c r="O722" s="26">
        <v>7.0</v>
      </c>
    </row>
    <row r="723" ht="15.75" customHeight="1">
      <c r="A723" s="26" t="s">
        <v>3384</v>
      </c>
      <c r="B723" s="26" t="s">
        <v>3385</v>
      </c>
      <c r="C723" s="26" t="s">
        <v>363</v>
      </c>
      <c r="D723" s="26" t="s">
        <v>36</v>
      </c>
      <c r="E723" s="26" t="s">
        <v>3386</v>
      </c>
      <c r="F723" s="26" t="s">
        <v>2381</v>
      </c>
      <c r="G723" s="26" t="s">
        <v>88</v>
      </c>
      <c r="H723" s="26" t="s">
        <v>46</v>
      </c>
      <c r="I723" s="26" t="s">
        <v>73</v>
      </c>
      <c r="J723" s="26">
        <v>4.0</v>
      </c>
      <c r="K723" s="26" t="s">
        <v>136</v>
      </c>
      <c r="L723" s="26" t="s">
        <v>29</v>
      </c>
      <c r="M723" s="26" t="s">
        <v>95</v>
      </c>
      <c r="N723" s="26" t="s">
        <v>307</v>
      </c>
      <c r="O723" s="26">
        <v>2.0</v>
      </c>
    </row>
    <row r="724" ht="15.75" customHeight="1">
      <c r="A724" s="26" t="s">
        <v>3387</v>
      </c>
      <c r="B724" s="26" t="s">
        <v>3388</v>
      </c>
      <c r="C724" s="26" t="s">
        <v>363</v>
      </c>
      <c r="D724" s="26" t="s">
        <v>50</v>
      </c>
      <c r="E724" s="26" t="s">
        <v>3389</v>
      </c>
      <c r="F724" s="26" t="s">
        <v>1877</v>
      </c>
      <c r="G724" s="26" t="s">
        <v>311</v>
      </c>
      <c r="H724" s="26" t="s">
        <v>34</v>
      </c>
      <c r="I724" s="26" t="s">
        <v>245</v>
      </c>
      <c r="J724" s="26">
        <v>5.0</v>
      </c>
      <c r="K724" s="26" t="s">
        <v>3390</v>
      </c>
      <c r="L724" s="26" t="s">
        <v>15</v>
      </c>
      <c r="M724" s="26" t="s">
        <v>81</v>
      </c>
      <c r="N724" s="26" t="s">
        <v>307</v>
      </c>
      <c r="O724" s="26">
        <v>2.0</v>
      </c>
    </row>
    <row r="725" ht="15.75" customHeight="1">
      <c r="A725" s="26" t="s">
        <v>3391</v>
      </c>
      <c r="B725" s="26" t="s">
        <v>3392</v>
      </c>
      <c r="C725" s="26" t="s">
        <v>363</v>
      </c>
      <c r="D725" s="26" t="s">
        <v>36</v>
      </c>
      <c r="E725" s="26" t="s">
        <v>3393</v>
      </c>
      <c r="F725" s="26" t="s">
        <v>3132</v>
      </c>
      <c r="G725" s="26" t="s">
        <v>77</v>
      </c>
      <c r="H725" s="26" t="s">
        <v>46</v>
      </c>
      <c r="I725" s="26"/>
      <c r="J725" s="26">
        <v>0.0</v>
      </c>
      <c r="K725" s="26" t="s">
        <v>136</v>
      </c>
      <c r="L725" s="26" t="s">
        <v>29</v>
      </c>
      <c r="M725" s="26" t="s">
        <v>95</v>
      </c>
      <c r="N725" s="26" t="s">
        <v>307</v>
      </c>
      <c r="O725" s="26">
        <v>2.0</v>
      </c>
    </row>
    <row r="726" ht="15.75" customHeight="1">
      <c r="A726" s="26" t="s">
        <v>3394</v>
      </c>
      <c r="B726" s="26" t="s">
        <v>3395</v>
      </c>
      <c r="C726" s="26" t="s">
        <v>363</v>
      </c>
      <c r="D726" s="26" t="s">
        <v>36</v>
      </c>
      <c r="E726" s="26" t="s">
        <v>224</v>
      </c>
      <c r="F726" s="26" t="s">
        <v>3254</v>
      </c>
      <c r="G726" s="26" t="s">
        <v>108</v>
      </c>
      <c r="H726" s="26" t="s">
        <v>57</v>
      </c>
      <c r="I726" s="26"/>
      <c r="J726" s="26">
        <v>1.0</v>
      </c>
      <c r="K726" s="26" t="s">
        <v>225</v>
      </c>
      <c r="L726" s="26" t="s">
        <v>15</v>
      </c>
      <c r="M726" s="26" t="s">
        <v>81</v>
      </c>
      <c r="N726" s="26" t="s">
        <v>307</v>
      </c>
      <c r="O726" s="26">
        <v>2.0</v>
      </c>
    </row>
    <row r="727" ht="15.75" customHeight="1">
      <c r="A727" s="26" t="s">
        <v>3396</v>
      </c>
      <c r="B727" s="26" t="s">
        <v>3397</v>
      </c>
      <c r="C727" s="26" t="s">
        <v>363</v>
      </c>
      <c r="D727" s="26" t="s">
        <v>45</v>
      </c>
      <c r="E727" s="26" t="s">
        <v>3398</v>
      </c>
      <c r="F727" s="26" t="s">
        <v>744</v>
      </c>
      <c r="G727" s="26" t="s">
        <v>148</v>
      </c>
      <c r="H727" s="26" t="s">
        <v>34</v>
      </c>
      <c r="I727" s="26" t="s">
        <v>143</v>
      </c>
      <c r="J727" s="26">
        <v>3.0</v>
      </c>
      <c r="K727" s="26" t="s">
        <v>3399</v>
      </c>
      <c r="L727" s="26" t="s">
        <v>19</v>
      </c>
      <c r="M727" s="26" t="s">
        <v>81</v>
      </c>
      <c r="N727" s="26" t="s">
        <v>307</v>
      </c>
      <c r="O727" s="26">
        <v>3.0</v>
      </c>
    </row>
    <row r="728" ht="15.75" customHeight="1">
      <c r="A728" s="26" t="s">
        <v>3400</v>
      </c>
      <c r="B728" s="26" t="s">
        <v>3401</v>
      </c>
      <c r="C728" s="26" t="s">
        <v>363</v>
      </c>
      <c r="D728" s="26" t="s">
        <v>36</v>
      </c>
      <c r="E728" s="26" t="s">
        <v>3402</v>
      </c>
      <c r="F728" s="26" t="s">
        <v>663</v>
      </c>
      <c r="G728" s="26" t="s">
        <v>44</v>
      </c>
      <c r="H728" s="26" t="s">
        <v>34</v>
      </c>
      <c r="I728" s="26" t="s">
        <v>82</v>
      </c>
      <c r="J728" s="26">
        <v>2.0</v>
      </c>
      <c r="K728" s="26" t="s">
        <v>3403</v>
      </c>
      <c r="L728" s="26" t="s">
        <v>15</v>
      </c>
      <c r="M728" s="26" t="s">
        <v>81</v>
      </c>
      <c r="N728" s="26" t="s">
        <v>307</v>
      </c>
      <c r="O728" s="26">
        <v>1.0</v>
      </c>
    </row>
    <row r="729" ht="15.75" customHeight="1">
      <c r="A729" s="26" t="s">
        <v>3404</v>
      </c>
      <c r="B729" s="26" t="s">
        <v>3405</v>
      </c>
      <c r="C729" s="26" t="s">
        <v>312</v>
      </c>
      <c r="D729" s="26" t="s">
        <v>45</v>
      </c>
      <c r="E729" s="26" t="s">
        <v>3406</v>
      </c>
      <c r="F729" s="26" t="s">
        <v>2435</v>
      </c>
      <c r="G729" s="26" t="s">
        <v>196</v>
      </c>
      <c r="H729" s="26" t="s">
        <v>52</v>
      </c>
      <c r="I729" s="26" t="s">
        <v>82</v>
      </c>
      <c r="J729" s="26">
        <v>2.0</v>
      </c>
      <c r="K729" s="26" t="s">
        <v>136</v>
      </c>
      <c r="L729" s="26" t="s">
        <v>29</v>
      </c>
      <c r="M729" s="26" t="s">
        <v>95</v>
      </c>
      <c r="N729" s="26" t="s">
        <v>307</v>
      </c>
      <c r="O729" s="26">
        <v>3.0</v>
      </c>
    </row>
    <row r="730" ht="15.75" customHeight="1">
      <c r="A730" s="26" t="s">
        <v>3407</v>
      </c>
      <c r="B730" s="26" t="s">
        <v>3408</v>
      </c>
      <c r="C730" s="26" t="s">
        <v>312</v>
      </c>
      <c r="D730" s="26" t="s">
        <v>54</v>
      </c>
      <c r="E730" s="26" t="s">
        <v>3409</v>
      </c>
      <c r="F730" s="26" t="s">
        <v>432</v>
      </c>
      <c r="G730" s="26" t="s">
        <v>182</v>
      </c>
      <c r="H730" s="26" t="s">
        <v>34</v>
      </c>
      <c r="I730" s="26" t="s">
        <v>572</v>
      </c>
      <c r="J730" s="26">
        <v>3.0</v>
      </c>
      <c r="K730" s="26" t="s">
        <v>3410</v>
      </c>
      <c r="L730" s="26" t="s">
        <v>15</v>
      </c>
      <c r="M730" s="26" t="s">
        <v>87</v>
      </c>
      <c r="N730" s="26" t="s">
        <v>307</v>
      </c>
      <c r="O730" s="26">
        <v>2.0</v>
      </c>
    </row>
    <row r="731" ht="15.75" customHeight="1">
      <c r="A731" s="26" t="s">
        <v>3411</v>
      </c>
      <c r="B731" s="26" t="s">
        <v>3412</v>
      </c>
      <c r="C731" s="26" t="s">
        <v>300</v>
      </c>
      <c r="D731" s="26" t="s">
        <v>48</v>
      </c>
      <c r="E731" s="26" t="s">
        <v>3413</v>
      </c>
      <c r="F731" s="26" t="s">
        <v>1684</v>
      </c>
      <c r="G731" s="26" t="s">
        <v>401</v>
      </c>
      <c r="H731" s="26" t="s">
        <v>61</v>
      </c>
      <c r="I731" s="26"/>
      <c r="J731" s="26">
        <v>1.0</v>
      </c>
      <c r="K731" s="26" t="s">
        <v>593</v>
      </c>
      <c r="L731" s="26" t="s">
        <v>19</v>
      </c>
      <c r="M731" s="26" t="s">
        <v>66</v>
      </c>
      <c r="N731" s="26" t="s">
        <v>307</v>
      </c>
      <c r="O731" s="26">
        <v>3.0</v>
      </c>
    </row>
    <row r="732" ht="15.75" customHeight="1">
      <c r="A732" s="26" t="s">
        <v>3414</v>
      </c>
      <c r="B732" s="26" t="s">
        <v>3415</v>
      </c>
      <c r="C732" s="26" t="s">
        <v>363</v>
      </c>
      <c r="D732" s="26" t="s">
        <v>45</v>
      </c>
      <c r="E732" s="26" t="s">
        <v>3416</v>
      </c>
      <c r="F732" s="26" t="s">
        <v>303</v>
      </c>
      <c r="G732" s="26" t="s">
        <v>140</v>
      </c>
      <c r="H732" s="26" t="s">
        <v>34</v>
      </c>
      <c r="I732" s="26" t="s">
        <v>169</v>
      </c>
      <c r="J732" s="26">
        <v>2.0</v>
      </c>
      <c r="K732" s="26" t="s">
        <v>3417</v>
      </c>
      <c r="L732" s="26" t="s">
        <v>15</v>
      </c>
      <c r="M732" s="26" t="s">
        <v>81</v>
      </c>
      <c r="N732" s="26" t="s">
        <v>307</v>
      </c>
      <c r="O732" s="26">
        <v>2.0</v>
      </c>
    </row>
    <row r="733" ht="15.75" customHeight="1">
      <c r="A733" s="26" t="s">
        <v>3418</v>
      </c>
      <c r="B733" s="26" t="s">
        <v>3419</v>
      </c>
      <c r="C733" s="26" t="s">
        <v>322</v>
      </c>
      <c r="D733" s="26" t="s">
        <v>45</v>
      </c>
      <c r="E733" s="26" t="s">
        <v>3420</v>
      </c>
      <c r="F733" s="26" t="s">
        <v>303</v>
      </c>
      <c r="G733" s="26" t="s">
        <v>140</v>
      </c>
      <c r="H733" s="26" t="s">
        <v>34</v>
      </c>
      <c r="I733" s="26" t="s">
        <v>166</v>
      </c>
      <c r="J733" s="26">
        <v>2.0</v>
      </c>
      <c r="K733" s="26" t="s">
        <v>3421</v>
      </c>
      <c r="L733" s="26" t="s">
        <v>15</v>
      </c>
      <c r="M733" s="26" t="s">
        <v>81</v>
      </c>
      <c r="N733" s="26" t="s">
        <v>307</v>
      </c>
      <c r="O733" s="26">
        <v>1.0</v>
      </c>
    </row>
    <row r="734" ht="15.75" customHeight="1">
      <c r="A734" s="26" t="s">
        <v>3422</v>
      </c>
      <c r="B734" s="26" t="s">
        <v>3423</v>
      </c>
      <c r="C734" s="26" t="s">
        <v>300</v>
      </c>
      <c r="D734" s="26" t="s">
        <v>59</v>
      </c>
      <c r="E734" s="26" t="s">
        <v>880</v>
      </c>
      <c r="F734" s="26" t="s">
        <v>3424</v>
      </c>
      <c r="G734" s="26" t="s">
        <v>656</v>
      </c>
      <c r="H734" s="26" t="s">
        <v>57</v>
      </c>
      <c r="I734" s="26"/>
      <c r="J734" s="26">
        <v>1.0</v>
      </c>
      <c r="K734" s="26" t="s">
        <v>881</v>
      </c>
      <c r="L734" s="26" t="s">
        <v>15</v>
      </c>
      <c r="M734" s="26" t="s">
        <v>81</v>
      </c>
      <c r="N734" s="26" t="s">
        <v>307</v>
      </c>
      <c r="O734" s="26">
        <v>5.0</v>
      </c>
    </row>
    <row r="735" ht="15.75" customHeight="1">
      <c r="A735" s="26" t="s">
        <v>3425</v>
      </c>
      <c r="B735" s="26" t="s">
        <v>3426</v>
      </c>
      <c r="C735" s="26" t="s">
        <v>300</v>
      </c>
      <c r="D735" s="26" t="s">
        <v>36</v>
      </c>
      <c r="E735" s="26" t="s">
        <v>3427</v>
      </c>
      <c r="F735" s="26" t="s">
        <v>663</v>
      </c>
      <c r="G735" s="26" t="s">
        <v>44</v>
      </c>
      <c r="H735" s="26" t="s">
        <v>34</v>
      </c>
      <c r="I735" s="26" t="s">
        <v>51</v>
      </c>
      <c r="J735" s="26">
        <v>5.0</v>
      </c>
      <c r="K735" s="26" t="s">
        <v>3428</v>
      </c>
      <c r="L735" s="26" t="s">
        <v>15</v>
      </c>
      <c r="M735" s="26" t="s">
        <v>81</v>
      </c>
      <c r="N735" s="26" t="s">
        <v>307</v>
      </c>
      <c r="O735" s="26">
        <v>2.0</v>
      </c>
    </row>
    <row r="736" ht="15.75" customHeight="1">
      <c r="A736" s="26" t="s">
        <v>3429</v>
      </c>
      <c r="B736" s="26" t="s">
        <v>3430</v>
      </c>
      <c r="C736" s="26" t="s">
        <v>363</v>
      </c>
      <c r="D736" s="26" t="s">
        <v>45</v>
      </c>
      <c r="E736" s="26" t="s">
        <v>3431</v>
      </c>
      <c r="F736" s="26" t="s">
        <v>744</v>
      </c>
      <c r="G736" s="26" t="s">
        <v>148</v>
      </c>
      <c r="H736" s="26" t="s">
        <v>34</v>
      </c>
      <c r="I736" s="26" t="s">
        <v>82</v>
      </c>
      <c r="J736" s="26">
        <v>2.0</v>
      </c>
      <c r="K736" s="26" t="s">
        <v>3432</v>
      </c>
      <c r="L736" s="26" t="s">
        <v>15</v>
      </c>
      <c r="M736" s="26" t="s">
        <v>81</v>
      </c>
      <c r="N736" s="26" t="s">
        <v>307</v>
      </c>
      <c r="O736" s="26">
        <v>1.0</v>
      </c>
    </row>
    <row r="737" ht="15.75" customHeight="1">
      <c r="A737" s="26" t="s">
        <v>3433</v>
      </c>
      <c r="B737" s="26" t="s">
        <v>3434</v>
      </c>
      <c r="C737" s="26" t="s">
        <v>300</v>
      </c>
      <c r="D737" s="26" t="s">
        <v>45</v>
      </c>
      <c r="E737" s="26" t="s">
        <v>3435</v>
      </c>
      <c r="F737" s="26" t="s">
        <v>2178</v>
      </c>
      <c r="G737" s="26" t="s">
        <v>161</v>
      </c>
      <c r="H737" s="26" t="s">
        <v>57</v>
      </c>
      <c r="I737" s="26"/>
      <c r="J737" s="26">
        <v>1.0</v>
      </c>
      <c r="K737" s="26" t="s">
        <v>3436</v>
      </c>
      <c r="L737" s="26" t="s">
        <v>23</v>
      </c>
      <c r="M737" s="26" t="s">
        <v>94</v>
      </c>
      <c r="N737" s="26" t="s">
        <v>307</v>
      </c>
      <c r="O737" s="26">
        <v>0.0</v>
      </c>
    </row>
    <row r="738" ht="15.75" customHeight="1">
      <c r="A738" s="26" t="s">
        <v>3437</v>
      </c>
      <c r="B738" s="26" t="s">
        <v>3438</v>
      </c>
      <c r="C738" s="26" t="s">
        <v>322</v>
      </c>
      <c r="D738" s="26" t="s">
        <v>45</v>
      </c>
      <c r="E738" s="26" t="s">
        <v>259</v>
      </c>
      <c r="F738" s="26" t="s">
        <v>799</v>
      </c>
      <c r="G738" s="26" t="s">
        <v>130</v>
      </c>
      <c r="H738" s="26" t="s">
        <v>34</v>
      </c>
      <c r="I738" s="26"/>
      <c r="J738" s="26">
        <v>1.0</v>
      </c>
      <c r="K738" s="26" t="s">
        <v>136</v>
      </c>
      <c r="L738" s="26" t="s">
        <v>29</v>
      </c>
      <c r="M738" s="26" t="s">
        <v>95</v>
      </c>
      <c r="N738" s="26" t="s">
        <v>307</v>
      </c>
      <c r="O738" s="26">
        <v>2.0</v>
      </c>
    </row>
    <row r="739" ht="15.75" customHeight="1">
      <c r="A739" s="26" t="s">
        <v>3439</v>
      </c>
      <c r="B739" s="26" t="s">
        <v>3440</v>
      </c>
      <c r="C739" s="26" t="s">
        <v>300</v>
      </c>
      <c r="D739" s="26" t="s">
        <v>62</v>
      </c>
      <c r="E739" s="26" t="s">
        <v>3441</v>
      </c>
      <c r="F739" s="26" t="s">
        <v>1813</v>
      </c>
      <c r="G739" s="26" t="s">
        <v>107</v>
      </c>
      <c r="H739" s="26" t="s">
        <v>46</v>
      </c>
      <c r="I739" s="26"/>
      <c r="J739" s="26">
        <v>1.0</v>
      </c>
      <c r="K739" s="26" t="s">
        <v>3442</v>
      </c>
      <c r="L739" s="26" t="s">
        <v>15</v>
      </c>
      <c r="M739" s="26" t="s">
        <v>81</v>
      </c>
      <c r="N739" s="26" t="s">
        <v>307</v>
      </c>
      <c r="O739" s="26">
        <v>5.0</v>
      </c>
    </row>
    <row r="740" ht="15.75" customHeight="1">
      <c r="A740" s="26" t="s">
        <v>3443</v>
      </c>
      <c r="B740" s="26" t="s">
        <v>3444</v>
      </c>
      <c r="C740" s="26" t="s">
        <v>429</v>
      </c>
      <c r="D740" s="26" t="s">
        <v>50</v>
      </c>
      <c r="E740" s="26" t="s">
        <v>639</v>
      </c>
      <c r="F740" s="26" t="s">
        <v>1309</v>
      </c>
      <c r="G740" s="26" t="s">
        <v>245</v>
      </c>
      <c r="H740" s="26" t="s">
        <v>57</v>
      </c>
      <c r="I740" s="26" t="s">
        <v>328</v>
      </c>
      <c r="J740" s="26">
        <v>2.0</v>
      </c>
      <c r="K740" s="26" t="s">
        <v>640</v>
      </c>
      <c r="L740" s="26" t="s">
        <v>15</v>
      </c>
      <c r="M740" s="26" t="s">
        <v>81</v>
      </c>
      <c r="N740" s="26" t="s">
        <v>307</v>
      </c>
      <c r="O740" s="26">
        <v>3.0</v>
      </c>
    </row>
    <row r="741" ht="15.75" customHeight="1">
      <c r="A741" s="26" t="s">
        <v>3445</v>
      </c>
      <c r="B741" s="26" t="s">
        <v>3446</v>
      </c>
      <c r="C741" s="26" t="s">
        <v>429</v>
      </c>
      <c r="D741" s="26" t="s">
        <v>50</v>
      </c>
      <c r="E741" s="26" t="s">
        <v>3447</v>
      </c>
      <c r="F741" s="26" t="s">
        <v>847</v>
      </c>
      <c r="G741" s="26" t="s">
        <v>328</v>
      </c>
      <c r="H741" s="26" t="s">
        <v>49</v>
      </c>
      <c r="I741" s="26"/>
      <c r="J741" s="26">
        <v>1.0</v>
      </c>
      <c r="K741" s="26" t="s">
        <v>136</v>
      </c>
      <c r="L741" s="26" t="s">
        <v>29</v>
      </c>
      <c r="M741" s="26" t="s">
        <v>95</v>
      </c>
      <c r="N741" s="26" t="s">
        <v>307</v>
      </c>
      <c r="O741" s="26">
        <v>3.0</v>
      </c>
    </row>
    <row r="742" ht="15.75" customHeight="1">
      <c r="A742" s="26" t="s">
        <v>3448</v>
      </c>
      <c r="B742" s="26" t="s">
        <v>3449</v>
      </c>
      <c r="C742" s="26" t="s">
        <v>363</v>
      </c>
      <c r="D742" s="26" t="s">
        <v>45</v>
      </c>
      <c r="E742" s="26" t="s">
        <v>3450</v>
      </c>
      <c r="F742" s="26" t="s">
        <v>799</v>
      </c>
      <c r="G742" s="26" t="s">
        <v>130</v>
      </c>
      <c r="H742" s="26" t="s">
        <v>34</v>
      </c>
      <c r="I742" s="26" t="s">
        <v>140</v>
      </c>
      <c r="J742" s="26">
        <v>4.0</v>
      </c>
      <c r="K742" s="26" t="s">
        <v>3451</v>
      </c>
      <c r="L742" s="26" t="s">
        <v>15</v>
      </c>
      <c r="M742" s="26" t="s">
        <v>81</v>
      </c>
      <c r="N742" s="26" t="s">
        <v>307</v>
      </c>
      <c r="O742" s="26">
        <v>4.0</v>
      </c>
    </row>
    <row r="743" ht="15.75" customHeight="1">
      <c r="A743" s="26" t="s">
        <v>3452</v>
      </c>
      <c r="B743" s="26" t="s">
        <v>3453</v>
      </c>
      <c r="C743" s="26" t="s">
        <v>300</v>
      </c>
      <c r="D743" s="26" t="s">
        <v>68</v>
      </c>
      <c r="E743" s="26" t="s">
        <v>1310</v>
      </c>
      <c r="F743" s="26" t="s">
        <v>894</v>
      </c>
      <c r="G743" s="26" t="s">
        <v>70</v>
      </c>
      <c r="H743" s="26" t="s">
        <v>53</v>
      </c>
      <c r="I743" s="26"/>
      <c r="J743" s="26">
        <v>1.0</v>
      </c>
      <c r="K743" s="26" t="s">
        <v>1312</v>
      </c>
      <c r="L743" s="26" t="s">
        <v>19</v>
      </c>
      <c r="M743" s="26" t="s">
        <v>66</v>
      </c>
      <c r="N743" s="26" t="s">
        <v>307</v>
      </c>
      <c r="O743" s="26">
        <v>3.0</v>
      </c>
    </row>
    <row r="744" ht="15.75" customHeight="1">
      <c r="A744" s="26" t="s">
        <v>3454</v>
      </c>
      <c r="B744" s="26" t="s">
        <v>3455</v>
      </c>
      <c r="C744" s="26" t="s">
        <v>322</v>
      </c>
      <c r="D744" s="26" t="s">
        <v>48</v>
      </c>
      <c r="E744" s="26" t="s">
        <v>3456</v>
      </c>
      <c r="F744" s="26" t="s">
        <v>973</v>
      </c>
      <c r="G744" s="26" t="s">
        <v>299</v>
      </c>
      <c r="H744" s="26" t="s">
        <v>34</v>
      </c>
      <c r="I744" s="26"/>
      <c r="J744" s="26">
        <v>1.0</v>
      </c>
      <c r="K744" s="26" t="s">
        <v>3457</v>
      </c>
      <c r="L744" s="26" t="s">
        <v>15</v>
      </c>
      <c r="M744" s="26" t="s">
        <v>81</v>
      </c>
      <c r="N744" s="26" t="s">
        <v>307</v>
      </c>
      <c r="O744" s="26">
        <v>2.0</v>
      </c>
    </row>
    <row r="745" ht="15.75" customHeight="1">
      <c r="A745" s="26" t="s">
        <v>3458</v>
      </c>
      <c r="B745" s="26" t="s">
        <v>3459</v>
      </c>
      <c r="C745" s="26" t="s">
        <v>300</v>
      </c>
      <c r="D745" s="26" t="s">
        <v>50</v>
      </c>
      <c r="E745" s="26" t="s">
        <v>3460</v>
      </c>
      <c r="F745" s="26" t="s">
        <v>1877</v>
      </c>
      <c r="G745" s="26" t="s">
        <v>311</v>
      </c>
      <c r="H745" s="26" t="s">
        <v>34</v>
      </c>
      <c r="I745" s="26" t="s">
        <v>328</v>
      </c>
      <c r="J745" s="26">
        <v>3.0</v>
      </c>
      <c r="K745" s="26" t="s">
        <v>3461</v>
      </c>
      <c r="L745" s="26" t="s">
        <v>15</v>
      </c>
      <c r="M745" s="26" t="s">
        <v>81</v>
      </c>
      <c r="N745" s="26" t="s">
        <v>307</v>
      </c>
      <c r="O745" s="26">
        <v>2.0</v>
      </c>
    </row>
    <row r="746" ht="15.75" customHeight="1">
      <c r="A746" s="26" t="s">
        <v>3462</v>
      </c>
      <c r="B746" s="26" t="s">
        <v>3463</v>
      </c>
      <c r="C746" s="26" t="s">
        <v>312</v>
      </c>
      <c r="D746" s="26" t="s">
        <v>45</v>
      </c>
      <c r="E746" s="26" t="s">
        <v>3464</v>
      </c>
      <c r="F746" s="26" t="s">
        <v>799</v>
      </c>
      <c r="G746" s="26" t="s">
        <v>130</v>
      </c>
      <c r="H746" s="26" t="s">
        <v>34</v>
      </c>
      <c r="I746" s="26" t="s">
        <v>166</v>
      </c>
      <c r="J746" s="26">
        <v>3.0</v>
      </c>
      <c r="K746" s="26" t="s">
        <v>3451</v>
      </c>
      <c r="L746" s="26" t="s">
        <v>15</v>
      </c>
      <c r="M746" s="26" t="s">
        <v>81</v>
      </c>
      <c r="N746" s="26" t="s">
        <v>307</v>
      </c>
      <c r="O746" s="26">
        <v>2.0</v>
      </c>
    </row>
    <row r="747" ht="15.75" customHeight="1">
      <c r="A747" s="26" t="s">
        <v>3465</v>
      </c>
      <c r="B747" s="26" t="s">
        <v>3466</v>
      </c>
      <c r="C747" s="26" t="s">
        <v>363</v>
      </c>
      <c r="D747" s="26" t="s">
        <v>45</v>
      </c>
      <c r="E747" s="26" t="s">
        <v>388</v>
      </c>
      <c r="F747" s="26" t="s">
        <v>1285</v>
      </c>
      <c r="G747" s="26" t="s">
        <v>118</v>
      </c>
      <c r="H747" s="26" t="s">
        <v>46</v>
      </c>
      <c r="I747" s="26"/>
      <c r="J747" s="26">
        <v>0.0</v>
      </c>
      <c r="K747" s="26" t="s">
        <v>3467</v>
      </c>
      <c r="L747" s="26" t="s">
        <v>15</v>
      </c>
      <c r="M747" s="26" t="s">
        <v>81</v>
      </c>
      <c r="N747" s="26" t="s">
        <v>307</v>
      </c>
      <c r="O747" s="26">
        <v>2.0</v>
      </c>
    </row>
    <row r="748" ht="15.75" customHeight="1">
      <c r="A748" s="26" t="s">
        <v>3468</v>
      </c>
      <c r="B748" s="26" t="s">
        <v>3469</v>
      </c>
      <c r="C748" s="26" t="s">
        <v>429</v>
      </c>
      <c r="D748" s="26" t="s">
        <v>54</v>
      </c>
      <c r="E748" s="26" t="s">
        <v>3470</v>
      </c>
      <c r="F748" s="26" t="s">
        <v>432</v>
      </c>
      <c r="G748" s="26" t="s">
        <v>182</v>
      </c>
      <c r="H748" s="26" t="s">
        <v>34</v>
      </c>
      <c r="I748" s="26" t="s">
        <v>572</v>
      </c>
      <c r="J748" s="26">
        <v>4.0</v>
      </c>
      <c r="K748" s="26" t="s">
        <v>3471</v>
      </c>
      <c r="L748" s="26" t="s">
        <v>15</v>
      </c>
      <c r="M748" s="26" t="s">
        <v>81</v>
      </c>
      <c r="N748" s="26" t="s">
        <v>307</v>
      </c>
      <c r="O748" s="26">
        <v>2.0</v>
      </c>
    </row>
    <row r="749" ht="15.75" customHeight="1">
      <c r="A749" s="26" t="s">
        <v>3472</v>
      </c>
      <c r="B749" s="26" t="s">
        <v>3473</v>
      </c>
      <c r="C749" s="26" t="s">
        <v>363</v>
      </c>
      <c r="D749" s="26" t="s">
        <v>48</v>
      </c>
      <c r="E749" s="26" t="s">
        <v>3474</v>
      </c>
      <c r="F749" s="26" t="s">
        <v>834</v>
      </c>
      <c r="G749" s="26" t="s">
        <v>267</v>
      </c>
      <c r="H749" s="26" t="s">
        <v>34</v>
      </c>
      <c r="I749" s="26"/>
      <c r="J749" s="26">
        <v>1.0</v>
      </c>
      <c r="K749" s="26" t="s">
        <v>3475</v>
      </c>
      <c r="L749" s="26" t="s">
        <v>15</v>
      </c>
      <c r="M749" s="26" t="s">
        <v>81</v>
      </c>
      <c r="N749" s="26" t="s">
        <v>307</v>
      </c>
      <c r="O749" s="26">
        <v>2.0</v>
      </c>
    </row>
    <row r="750" ht="15.75" customHeight="1">
      <c r="A750" s="26" t="s">
        <v>3476</v>
      </c>
      <c r="B750" s="26" t="s">
        <v>3477</v>
      </c>
      <c r="C750" s="26" t="s">
        <v>363</v>
      </c>
      <c r="D750" s="26" t="s">
        <v>54</v>
      </c>
      <c r="E750" s="26" t="s">
        <v>3478</v>
      </c>
      <c r="F750" s="26" t="s">
        <v>432</v>
      </c>
      <c r="G750" s="26" t="s">
        <v>182</v>
      </c>
      <c r="H750" s="26" t="s">
        <v>34</v>
      </c>
      <c r="I750" s="26" t="s">
        <v>217</v>
      </c>
      <c r="J750" s="26">
        <v>3.0</v>
      </c>
      <c r="K750" s="26" t="s">
        <v>3479</v>
      </c>
      <c r="L750" s="26" t="s">
        <v>15</v>
      </c>
      <c r="M750" s="26" t="s">
        <v>81</v>
      </c>
      <c r="N750" s="26" t="s">
        <v>307</v>
      </c>
      <c r="O750" s="26">
        <v>2.0</v>
      </c>
    </row>
    <row r="751" ht="15.75" customHeight="1">
      <c r="A751" s="26" t="s">
        <v>3480</v>
      </c>
      <c r="B751" s="26" t="s">
        <v>3481</v>
      </c>
      <c r="C751" s="26" t="s">
        <v>312</v>
      </c>
      <c r="D751" s="26" t="s">
        <v>36</v>
      </c>
      <c r="E751" s="26" t="s">
        <v>3482</v>
      </c>
      <c r="F751" s="26" t="s">
        <v>663</v>
      </c>
      <c r="G751" s="26" t="s">
        <v>44</v>
      </c>
      <c r="H751" s="26" t="s">
        <v>34</v>
      </c>
      <c r="I751" s="26" t="s">
        <v>47</v>
      </c>
      <c r="J751" s="26">
        <v>4.0</v>
      </c>
      <c r="K751" s="26" t="s">
        <v>3483</v>
      </c>
      <c r="L751" s="26" t="s">
        <v>19</v>
      </c>
      <c r="M751" s="26" t="s">
        <v>81</v>
      </c>
      <c r="N751" s="26" t="s">
        <v>307</v>
      </c>
      <c r="O751" s="26">
        <v>1.0</v>
      </c>
    </row>
    <row r="752" ht="15.75" customHeight="1">
      <c r="A752" s="26" t="s">
        <v>3484</v>
      </c>
      <c r="B752" s="26" t="s">
        <v>3485</v>
      </c>
      <c r="C752" s="26" t="s">
        <v>312</v>
      </c>
      <c r="D752" s="26" t="s">
        <v>76</v>
      </c>
      <c r="E752" s="26" t="s">
        <v>3486</v>
      </c>
      <c r="F752" s="26" t="s">
        <v>1201</v>
      </c>
      <c r="G752" s="26" t="s">
        <v>222</v>
      </c>
      <c r="H752" s="26" t="s">
        <v>34</v>
      </c>
      <c r="I752" s="26" t="s">
        <v>1205</v>
      </c>
      <c r="J752" s="26">
        <v>3.0</v>
      </c>
      <c r="K752" s="26" t="s">
        <v>3487</v>
      </c>
      <c r="L752" s="26" t="s">
        <v>19</v>
      </c>
      <c r="M752" s="26" t="s">
        <v>81</v>
      </c>
      <c r="N752" s="26" t="s">
        <v>307</v>
      </c>
      <c r="O752" s="26">
        <v>1.0</v>
      </c>
    </row>
    <row r="753" ht="15.75" customHeight="1">
      <c r="A753" s="26" t="s">
        <v>3488</v>
      </c>
      <c r="B753" s="26" t="s">
        <v>3489</v>
      </c>
      <c r="C753" s="26" t="s">
        <v>363</v>
      </c>
      <c r="D753" s="26" t="s">
        <v>36</v>
      </c>
      <c r="E753" s="26" t="s">
        <v>3490</v>
      </c>
      <c r="F753" s="26" t="s">
        <v>663</v>
      </c>
      <c r="G753" s="26" t="s">
        <v>44</v>
      </c>
      <c r="H753" s="26" t="s">
        <v>34</v>
      </c>
      <c r="I753" s="26" t="s">
        <v>101</v>
      </c>
      <c r="J753" s="26">
        <v>2.0</v>
      </c>
      <c r="K753" s="26" t="s">
        <v>3491</v>
      </c>
      <c r="L753" s="26" t="s">
        <v>15</v>
      </c>
      <c r="M753" s="26" t="s">
        <v>81</v>
      </c>
      <c r="N753" s="26" t="s">
        <v>307</v>
      </c>
      <c r="O753" s="26">
        <v>1.0</v>
      </c>
    </row>
    <row r="754" ht="15.75" customHeight="1">
      <c r="A754" s="26" t="s">
        <v>3492</v>
      </c>
      <c r="B754" s="26" t="s">
        <v>3493</v>
      </c>
      <c r="C754" s="26" t="s">
        <v>322</v>
      </c>
      <c r="D754" s="26" t="s">
        <v>54</v>
      </c>
      <c r="E754" s="26" t="s">
        <v>3494</v>
      </c>
      <c r="F754" s="26" t="s">
        <v>432</v>
      </c>
      <c r="G754" s="26" t="s">
        <v>182</v>
      </c>
      <c r="H754" s="26" t="s">
        <v>34</v>
      </c>
      <c r="I754" s="26" t="s">
        <v>217</v>
      </c>
      <c r="J754" s="26">
        <v>2.0</v>
      </c>
      <c r="K754" s="26" t="s">
        <v>3495</v>
      </c>
      <c r="L754" s="26" t="s">
        <v>15</v>
      </c>
      <c r="M754" s="26" t="s">
        <v>81</v>
      </c>
      <c r="N754" s="26" t="s">
        <v>307</v>
      </c>
      <c r="O754" s="26">
        <v>2.0</v>
      </c>
    </row>
    <row r="755" ht="15.75" customHeight="1">
      <c r="A755" s="26" t="s">
        <v>3496</v>
      </c>
      <c r="B755" s="26" t="s">
        <v>3497</v>
      </c>
      <c r="C755" s="26" t="s">
        <v>322</v>
      </c>
      <c r="D755" s="26" t="s">
        <v>45</v>
      </c>
      <c r="E755" s="26" t="s">
        <v>3498</v>
      </c>
      <c r="F755" s="26" t="s">
        <v>806</v>
      </c>
      <c r="G755" s="26" t="s">
        <v>169</v>
      </c>
      <c r="H755" s="26" t="s">
        <v>52</v>
      </c>
      <c r="I755" s="26"/>
      <c r="J755" s="26">
        <v>1.0</v>
      </c>
      <c r="K755" s="26" t="s">
        <v>3499</v>
      </c>
      <c r="L755" s="26" t="s">
        <v>15</v>
      </c>
      <c r="M755" s="26" t="s">
        <v>81</v>
      </c>
      <c r="N755" s="26" t="s">
        <v>307</v>
      </c>
      <c r="O755" s="26">
        <v>3.0</v>
      </c>
    </row>
    <row r="756" ht="15.75" customHeight="1">
      <c r="A756" s="26" t="s">
        <v>3500</v>
      </c>
      <c r="B756" s="26" t="s">
        <v>3501</v>
      </c>
      <c r="C756" s="26" t="s">
        <v>312</v>
      </c>
      <c r="D756" s="26" t="s">
        <v>36</v>
      </c>
      <c r="E756" s="26" t="s">
        <v>3502</v>
      </c>
      <c r="F756" s="26" t="s">
        <v>663</v>
      </c>
      <c r="G756" s="26" t="s">
        <v>44</v>
      </c>
      <c r="H756" s="26" t="s">
        <v>34</v>
      </c>
      <c r="I756" s="26" t="s">
        <v>101</v>
      </c>
      <c r="J756" s="26">
        <v>3.0</v>
      </c>
      <c r="K756" s="26" t="s">
        <v>3491</v>
      </c>
      <c r="L756" s="26" t="s">
        <v>19</v>
      </c>
      <c r="M756" s="26" t="s">
        <v>81</v>
      </c>
      <c r="N756" s="26" t="s">
        <v>307</v>
      </c>
      <c r="O756" s="26">
        <v>1.0</v>
      </c>
    </row>
    <row r="757" ht="15.75" customHeight="1">
      <c r="A757" s="26" t="s">
        <v>3503</v>
      </c>
      <c r="B757" s="26" t="s">
        <v>3504</v>
      </c>
      <c r="C757" s="26" t="s">
        <v>363</v>
      </c>
      <c r="D757" s="26" t="s">
        <v>36</v>
      </c>
      <c r="E757" s="26" t="s">
        <v>3505</v>
      </c>
      <c r="F757" s="26" t="s">
        <v>760</v>
      </c>
      <c r="G757" s="26" t="s">
        <v>51</v>
      </c>
      <c r="H757" s="26" t="s">
        <v>52</v>
      </c>
      <c r="I757" s="26" t="s">
        <v>82</v>
      </c>
      <c r="J757" s="26">
        <v>2.0</v>
      </c>
      <c r="K757" s="26" t="s">
        <v>132</v>
      </c>
      <c r="L757" s="26" t="s">
        <v>15</v>
      </c>
      <c r="M757" s="26" t="s">
        <v>87</v>
      </c>
      <c r="N757" s="26" t="s">
        <v>307</v>
      </c>
      <c r="O757" s="26">
        <v>0.0</v>
      </c>
    </row>
    <row r="758" ht="15.75" customHeight="1">
      <c r="A758" s="26" t="s">
        <v>3506</v>
      </c>
      <c r="B758" s="26" t="s">
        <v>3507</v>
      </c>
      <c r="C758" s="26" t="s">
        <v>892</v>
      </c>
      <c r="D758" s="26" t="s">
        <v>45</v>
      </c>
      <c r="E758" s="26" t="s">
        <v>3508</v>
      </c>
      <c r="F758" s="26" t="s">
        <v>303</v>
      </c>
      <c r="G758" s="26" t="s">
        <v>140</v>
      </c>
      <c r="H758" s="26" t="s">
        <v>34</v>
      </c>
      <c r="I758" s="26" t="s">
        <v>169</v>
      </c>
      <c r="J758" s="26">
        <v>3.0</v>
      </c>
      <c r="K758" s="26" t="s">
        <v>3509</v>
      </c>
      <c r="L758" s="26" t="s">
        <v>15</v>
      </c>
      <c r="M758" s="26" t="s">
        <v>81</v>
      </c>
      <c r="N758" s="26" t="s">
        <v>307</v>
      </c>
      <c r="O758" s="26">
        <v>2.0</v>
      </c>
    </row>
    <row r="759" ht="15.75" customHeight="1">
      <c r="A759" s="26" t="s">
        <v>3510</v>
      </c>
      <c r="B759" s="26" t="s">
        <v>3511</v>
      </c>
      <c r="C759" s="26" t="s">
        <v>312</v>
      </c>
      <c r="D759" s="26" t="s">
        <v>72</v>
      </c>
      <c r="E759" s="26" t="s">
        <v>1118</v>
      </c>
      <c r="F759" s="26" t="s">
        <v>2422</v>
      </c>
      <c r="G759" s="26" t="s">
        <v>90</v>
      </c>
      <c r="H759" s="26" t="s">
        <v>34</v>
      </c>
      <c r="I759" s="26"/>
      <c r="J759" s="26">
        <v>1.0</v>
      </c>
      <c r="K759" s="26" t="s">
        <v>1119</v>
      </c>
      <c r="L759" s="26" t="s">
        <v>15</v>
      </c>
      <c r="M759" s="26" t="s">
        <v>81</v>
      </c>
      <c r="N759" s="26" t="s">
        <v>307</v>
      </c>
      <c r="O759" s="26">
        <v>2.0</v>
      </c>
    </row>
    <row r="760" ht="15.75" customHeight="1">
      <c r="A760" s="26" t="s">
        <v>3512</v>
      </c>
      <c r="B760" s="26" t="s">
        <v>3513</v>
      </c>
      <c r="C760" s="26" t="s">
        <v>363</v>
      </c>
      <c r="D760" s="26" t="s">
        <v>54</v>
      </c>
      <c r="E760" s="26" t="s">
        <v>3514</v>
      </c>
      <c r="F760" s="26" t="s">
        <v>432</v>
      </c>
      <c r="G760" s="26" t="s">
        <v>182</v>
      </c>
      <c r="H760" s="26" t="s">
        <v>34</v>
      </c>
      <c r="I760" s="26" t="s">
        <v>217</v>
      </c>
      <c r="J760" s="26">
        <v>2.0</v>
      </c>
      <c r="K760" s="26" t="s">
        <v>3515</v>
      </c>
      <c r="L760" s="26" t="s">
        <v>15</v>
      </c>
      <c r="M760" s="26" t="s">
        <v>81</v>
      </c>
      <c r="N760" s="26" t="s">
        <v>307</v>
      </c>
      <c r="O760" s="26">
        <v>1.0</v>
      </c>
    </row>
    <row r="761" ht="15.75" customHeight="1">
      <c r="A761" s="26" t="s">
        <v>3516</v>
      </c>
      <c r="B761" s="26" t="s">
        <v>3517</v>
      </c>
      <c r="C761" s="26" t="s">
        <v>363</v>
      </c>
      <c r="D761" s="26" t="s">
        <v>79</v>
      </c>
      <c r="E761" s="26" t="s">
        <v>1275</v>
      </c>
      <c r="F761" s="26" t="s">
        <v>1269</v>
      </c>
      <c r="G761" s="26" t="s">
        <v>1271</v>
      </c>
      <c r="H761" s="26" t="s">
        <v>34</v>
      </c>
      <c r="I761" s="26" t="s">
        <v>255</v>
      </c>
      <c r="J761" s="26">
        <v>2.0</v>
      </c>
      <c r="K761" s="26" t="s">
        <v>1276</v>
      </c>
      <c r="L761" s="26" t="s">
        <v>15</v>
      </c>
      <c r="M761" s="26" t="s">
        <v>81</v>
      </c>
      <c r="N761" s="26" t="s">
        <v>307</v>
      </c>
      <c r="O761" s="26">
        <v>3.0</v>
      </c>
    </row>
    <row r="762" ht="15.75" customHeight="1">
      <c r="A762" s="26" t="s">
        <v>3518</v>
      </c>
      <c r="B762" s="26" t="s">
        <v>3519</v>
      </c>
      <c r="C762" s="26" t="s">
        <v>363</v>
      </c>
      <c r="D762" s="26" t="s">
        <v>48</v>
      </c>
      <c r="E762" s="26" t="s">
        <v>563</v>
      </c>
      <c r="F762" s="26" t="s">
        <v>2089</v>
      </c>
      <c r="G762" s="26" t="s">
        <v>378</v>
      </c>
      <c r="H762" s="26" t="s">
        <v>34</v>
      </c>
      <c r="I762" s="26" t="s">
        <v>386</v>
      </c>
      <c r="J762" s="26">
        <v>2.0</v>
      </c>
      <c r="K762" s="26" t="s">
        <v>564</v>
      </c>
      <c r="L762" s="26" t="s">
        <v>15</v>
      </c>
      <c r="M762" s="26" t="s">
        <v>81</v>
      </c>
      <c r="N762" s="26" t="s">
        <v>307</v>
      </c>
      <c r="O762" s="26">
        <v>66.0</v>
      </c>
    </row>
    <row r="763" ht="15.75" customHeight="1">
      <c r="A763" s="26" t="s">
        <v>3520</v>
      </c>
      <c r="B763" s="26" t="s">
        <v>3521</v>
      </c>
      <c r="C763" s="26" t="s">
        <v>892</v>
      </c>
      <c r="D763" s="26" t="s">
        <v>36</v>
      </c>
      <c r="E763" s="26" t="s">
        <v>3522</v>
      </c>
      <c r="F763" s="26" t="s">
        <v>663</v>
      </c>
      <c r="G763" s="26" t="s">
        <v>44</v>
      </c>
      <c r="H763" s="26" t="s">
        <v>34</v>
      </c>
      <c r="I763" s="26" t="s">
        <v>82</v>
      </c>
      <c r="J763" s="26">
        <v>2.0</v>
      </c>
      <c r="K763" s="26" t="s">
        <v>3523</v>
      </c>
      <c r="L763" s="26" t="s">
        <v>15</v>
      </c>
      <c r="M763" s="26" t="s">
        <v>81</v>
      </c>
      <c r="N763" s="26" t="s">
        <v>307</v>
      </c>
      <c r="O763" s="26">
        <v>4.0</v>
      </c>
    </row>
    <row r="764" ht="15.75" customHeight="1">
      <c r="A764" s="26" t="s">
        <v>3524</v>
      </c>
      <c r="B764" s="26" t="s">
        <v>3525</v>
      </c>
      <c r="C764" s="26" t="s">
        <v>363</v>
      </c>
      <c r="D764" s="26" t="s">
        <v>79</v>
      </c>
      <c r="E764" s="26" t="s">
        <v>1278</v>
      </c>
      <c r="F764" s="26" t="s">
        <v>1269</v>
      </c>
      <c r="G764" s="26" t="s">
        <v>1271</v>
      </c>
      <c r="H764" s="26" t="s">
        <v>34</v>
      </c>
      <c r="I764" s="26" t="s">
        <v>255</v>
      </c>
      <c r="J764" s="26">
        <v>2.0</v>
      </c>
      <c r="K764" s="26" t="s">
        <v>1279</v>
      </c>
      <c r="L764" s="26" t="s">
        <v>15</v>
      </c>
      <c r="M764" s="26" t="s">
        <v>81</v>
      </c>
      <c r="N764" s="26" t="s">
        <v>307</v>
      </c>
      <c r="O764" s="26">
        <v>2.0</v>
      </c>
    </row>
    <row r="765" ht="15.75" customHeight="1">
      <c r="A765" s="26" t="s">
        <v>3526</v>
      </c>
      <c r="B765" s="26" t="s">
        <v>3527</v>
      </c>
      <c r="C765" s="26" t="s">
        <v>312</v>
      </c>
      <c r="D765" s="26" t="s">
        <v>36</v>
      </c>
      <c r="E765" s="26" t="s">
        <v>3528</v>
      </c>
      <c r="F765" s="26" t="s">
        <v>315</v>
      </c>
      <c r="G765" s="26" t="s">
        <v>47</v>
      </c>
      <c r="H765" s="26" t="s">
        <v>34</v>
      </c>
      <c r="I765" s="26"/>
      <c r="J765" s="26">
        <v>1.0</v>
      </c>
      <c r="K765" s="26" t="s">
        <v>132</v>
      </c>
      <c r="L765" s="26" t="s">
        <v>15</v>
      </c>
      <c r="M765" s="26" t="s">
        <v>87</v>
      </c>
      <c r="N765" s="26" t="s">
        <v>307</v>
      </c>
      <c r="O765" s="26">
        <v>4.0</v>
      </c>
    </row>
    <row r="766" ht="15.75" customHeight="1">
      <c r="A766" s="26" t="s">
        <v>3529</v>
      </c>
      <c r="B766" s="26" t="s">
        <v>3530</v>
      </c>
      <c r="C766" s="26" t="s">
        <v>363</v>
      </c>
      <c r="D766" s="26" t="s">
        <v>48</v>
      </c>
      <c r="E766" s="26" t="s">
        <v>3531</v>
      </c>
      <c r="F766" s="26" t="s">
        <v>984</v>
      </c>
      <c r="G766" s="26" t="s">
        <v>265</v>
      </c>
      <c r="H766" s="26" t="s">
        <v>34</v>
      </c>
      <c r="I766" s="26" t="s">
        <v>258</v>
      </c>
      <c r="J766" s="26">
        <v>3.0</v>
      </c>
      <c r="K766" s="26" t="s">
        <v>3532</v>
      </c>
      <c r="L766" s="26" t="s">
        <v>15</v>
      </c>
      <c r="M766" s="26" t="s">
        <v>81</v>
      </c>
      <c r="N766" s="26" t="s">
        <v>307</v>
      </c>
      <c r="O766" s="26">
        <v>66.0</v>
      </c>
    </row>
    <row r="767" ht="15.75" customHeight="1">
      <c r="A767" s="26" t="s">
        <v>3533</v>
      </c>
      <c r="B767" s="26" t="s">
        <v>3534</v>
      </c>
      <c r="C767" s="26" t="s">
        <v>429</v>
      </c>
      <c r="D767" s="26" t="s">
        <v>48</v>
      </c>
      <c r="E767" s="26" t="s">
        <v>3535</v>
      </c>
      <c r="F767" s="26" t="s">
        <v>1727</v>
      </c>
      <c r="G767" s="26" t="s">
        <v>284</v>
      </c>
      <c r="H767" s="26" t="s">
        <v>46</v>
      </c>
      <c r="I767" s="26"/>
      <c r="J767" s="26">
        <v>0.0</v>
      </c>
      <c r="K767" s="26" t="s">
        <v>3536</v>
      </c>
      <c r="L767" s="26" t="s">
        <v>15</v>
      </c>
      <c r="M767" s="26" t="s">
        <v>81</v>
      </c>
      <c r="N767" s="26" t="s">
        <v>307</v>
      </c>
      <c r="O767" s="26">
        <v>65.0</v>
      </c>
    </row>
    <row r="768" ht="15.75" customHeight="1">
      <c r="A768" s="26" t="s">
        <v>3524</v>
      </c>
      <c r="B768" s="26" t="s">
        <v>3525</v>
      </c>
      <c r="C768" s="26" t="s">
        <v>363</v>
      </c>
      <c r="D768" s="26" t="s">
        <v>79</v>
      </c>
      <c r="E768" s="26" t="s">
        <v>1278</v>
      </c>
      <c r="F768" s="26" t="s">
        <v>1269</v>
      </c>
      <c r="G768" s="26" t="s">
        <v>1271</v>
      </c>
      <c r="H768" s="26" t="s">
        <v>34</v>
      </c>
      <c r="I768" s="26" t="s">
        <v>255</v>
      </c>
      <c r="J768" s="26">
        <v>2.0</v>
      </c>
      <c r="K768" s="26" t="s">
        <v>1279</v>
      </c>
      <c r="L768" s="26" t="s">
        <v>15</v>
      </c>
      <c r="M768" s="26" t="s">
        <v>81</v>
      </c>
      <c r="N768" s="26" t="s">
        <v>307</v>
      </c>
      <c r="O768" s="26">
        <v>2.0</v>
      </c>
    </row>
    <row r="769" ht="15.75" customHeight="1">
      <c r="A769" s="26" t="s">
        <v>3537</v>
      </c>
      <c r="B769" s="26" t="s">
        <v>3538</v>
      </c>
      <c r="C769" s="26" t="s">
        <v>363</v>
      </c>
      <c r="D769" s="26" t="s">
        <v>62</v>
      </c>
      <c r="E769" s="26" t="s">
        <v>3539</v>
      </c>
      <c r="F769" s="26" t="s">
        <v>398</v>
      </c>
      <c r="G769" s="26" t="s">
        <v>399</v>
      </c>
      <c r="H769" s="26" t="s">
        <v>46</v>
      </c>
      <c r="I769" s="26"/>
      <c r="J769" s="26">
        <v>0.0</v>
      </c>
      <c r="K769" s="26" t="s">
        <v>1910</v>
      </c>
      <c r="L769" s="26" t="s">
        <v>23</v>
      </c>
      <c r="M769" s="26" t="s">
        <v>91</v>
      </c>
      <c r="N769" s="26" t="s">
        <v>307</v>
      </c>
      <c r="O769" s="26">
        <v>3.0</v>
      </c>
    </row>
    <row r="770" ht="15.75" customHeight="1">
      <c r="A770" s="26" t="s">
        <v>3540</v>
      </c>
      <c r="B770" s="26" t="s">
        <v>3541</v>
      </c>
      <c r="C770" s="26" t="s">
        <v>363</v>
      </c>
      <c r="D770" s="26" t="s">
        <v>62</v>
      </c>
      <c r="E770" s="26" t="s">
        <v>3542</v>
      </c>
      <c r="F770" s="26" t="s">
        <v>383</v>
      </c>
      <c r="G770" s="26" t="s">
        <v>111</v>
      </c>
      <c r="H770" s="26" t="s">
        <v>49</v>
      </c>
      <c r="I770" s="26" t="s">
        <v>212</v>
      </c>
      <c r="J770" s="26">
        <v>2.0</v>
      </c>
      <c r="K770" s="26" t="s">
        <v>3543</v>
      </c>
      <c r="L770" s="26" t="s">
        <v>15</v>
      </c>
      <c r="M770" s="26" t="s">
        <v>81</v>
      </c>
      <c r="N770" s="26" t="s">
        <v>307</v>
      </c>
      <c r="O770" s="26">
        <v>3.0</v>
      </c>
    </row>
    <row r="771" ht="15.75" customHeight="1">
      <c r="A771" s="26" t="s">
        <v>3544</v>
      </c>
      <c r="B771" s="26" t="s">
        <v>3545</v>
      </c>
      <c r="C771" s="26" t="s">
        <v>300</v>
      </c>
      <c r="D771" s="26" t="s">
        <v>93</v>
      </c>
      <c r="E771" s="26" t="s">
        <v>3546</v>
      </c>
      <c r="F771" s="26" t="s">
        <v>1826</v>
      </c>
      <c r="G771" s="26" t="s">
        <v>1404</v>
      </c>
      <c r="H771" s="26" t="s">
        <v>34</v>
      </c>
      <c r="I771" s="26" t="s">
        <v>3547</v>
      </c>
      <c r="J771" s="26">
        <v>2.0</v>
      </c>
      <c r="K771" s="26"/>
      <c r="L771" s="26" t="s">
        <v>25</v>
      </c>
      <c r="M771" s="26" t="s">
        <v>97</v>
      </c>
      <c r="N771" s="26" t="s">
        <v>307</v>
      </c>
      <c r="O771" s="26">
        <v>5.0</v>
      </c>
    </row>
    <row r="772" ht="15.75" customHeight="1">
      <c r="A772" s="26" t="s">
        <v>3548</v>
      </c>
      <c r="B772" s="26" t="s">
        <v>3549</v>
      </c>
      <c r="C772" s="26" t="s">
        <v>363</v>
      </c>
      <c r="D772" s="26" t="s">
        <v>45</v>
      </c>
      <c r="E772" s="26" t="s">
        <v>3550</v>
      </c>
      <c r="F772" s="26" t="s">
        <v>744</v>
      </c>
      <c r="G772" s="26" t="s">
        <v>148</v>
      </c>
      <c r="H772" s="26" t="s">
        <v>34</v>
      </c>
      <c r="I772" s="26" t="s">
        <v>82</v>
      </c>
      <c r="J772" s="26">
        <v>2.0</v>
      </c>
      <c r="K772" s="26" t="s">
        <v>3551</v>
      </c>
      <c r="L772" s="26" t="s">
        <v>15</v>
      </c>
      <c r="M772" s="26" t="s">
        <v>81</v>
      </c>
      <c r="N772" s="26" t="s">
        <v>307</v>
      </c>
      <c r="O772" s="26">
        <v>2.0</v>
      </c>
    </row>
    <row r="773" ht="15.75" customHeight="1">
      <c r="A773" s="26" t="s">
        <v>3552</v>
      </c>
      <c r="B773" s="26" t="s">
        <v>3553</v>
      </c>
      <c r="C773" s="26" t="s">
        <v>363</v>
      </c>
      <c r="D773" s="26" t="s">
        <v>45</v>
      </c>
      <c r="E773" s="26" t="s">
        <v>3554</v>
      </c>
      <c r="F773" s="26" t="s">
        <v>303</v>
      </c>
      <c r="G773" s="26" t="s">
        <v>140</v>
      </c>
      <c r="H773" s="26" t="s">
        <v>34</v>
      </c>
      <c r="I773" s="26" t="s">
        <v>166</v>
      </c>
      <c r="J773" s="26">
        <v>4.0</v>
      </c>
      <c r="K773" s="26" t="s">
        <v>3509</v>
      </c>
      <c r="L773" s="26" t="s">
        <v>15</v>
      </c>
      <c r="M773" s="26" t="s">
        <v>81</v>
      </c>
      <c r="N773" s="26" t="s">
        <v>307</v>
      </c>
      <c r="O773" s="26">
        <v>2.0</v>
      </c>
    </row>
    <row r="774" ht="15.75" customHeight="1">
      <c r="A774" s="26" t="s">
        <v>3555</v>
      </c>
      <c r="B774" s="26" t="s">
        <v>3556</v>
      </c>
      <c r="C774" s="26" t="s">
        <v>363</v>
      </c>
      <c r="D774" s="26" t="s">
        <v>45</v>
      </c>
      <c r="E774" s="26" t="s">
        <v>3557</v>
      </c>
      <c r="F774" s="26" t="s">
        <v>937</v>
      </c>
      <c r="G774" s="26" t="s">
        <v>204</v>
      </c>
      <c r="H774" s="26" t="s">
        <v>49</v>
      </c>
      <c r="I774" s="26" t="s">
        <v>82</v>
      </c>
      <c r="J774" s="26">
        <v>2.0</v>
      </c>
      <c r="K774" s="26" t="s">
        <v>3558</v>
      </c>
      <c r="L774" s="26" t="s">
        <v>15</v>
      </c>
      <c r="M774" s="26" t="s">
        <v>81</v>
      </c>
      <c r="N774" s="26" t="s">
        <v>307</v>
      </c>
      <c r="O774" s="26">
        <v>2.0</v>
      </c>
    </row>
    <row r="775" ht="15.75" customHeight="1">
      <c r="A775" s="26" t="s">
        <v>3559</v>
      </c>
      <c r="B775" s="26" t="s">
        <v>3560</v>
      </c>
      <c r="C775" s="26" t="s">
        <v>429</v>
      </c>
      <c r="D775" s="26" t="s">
        <v>62</v>
      </c>
      <c r="E775" s="26" t="s">
        <v>3561</v>
      </c>
      <c r="F775" s="26" t="s">
        <v>1539</v>
      </c>
      <c r="G775" s="26" t="s">
        <v>212</v>
      </c>
      <c r="H775" s="26" t="s">
        <v>34</v>
      </c>
      <c r="I775" s="26" t="s">
        <v>940</v>
      </c>
      <c r="J775" s="26">
        <v>2.0</v>
      </c>
      <c r="K775" s="26" t="s">
        <v>3562</v>
      </c>
      <c r="L775" s="26" t="s">
        <v>15</v>
      </c>
      <c r="M775" s="26" t="s">
        <v>81</v>
      </c>
      <c r="N775" s="26" t="s">
        <v>307</v>
      </c>
      <c r="O775" s="26">
        <v>4.0</v>
      </c>
    </row>
    <row r="776" ht="15.75" customHeight="1">
      <c r="A776" s="26" t="s">
        <v>3563</v>
      </c>
      <c r="B776" s="26" t="s">
        <v>3564</v>
      </c>
      <c r="C776" s="26" t="s">
        <v>363</v>
      </c>
      <c r="D776" s="26" t="s">
        <v>59</v>
      </c>
      <c r="E776" s="26" t="s">
        <v>3565</v>
      </c>
      <c r="F776" s="26" t="s">
        <v>2097</v>
      </c>
      <c r="G776" s="26" t="s">
        <v>127</v>
      </c>
      <c r="H776" s="26" t="s">
        <v>53</v>
      </c>
      <c r="I776" s="26" t="s">
        <v>117</v>
      </c>
      <c r="J776" s="26">
        <v>2.0</v>
      </c>
      <c r="K776" s="26" t="s">
        <v>3566</v>
      </c>
      <c r="L776" s="26" t="s">
        <v>15</v>
      </c>
      <c r="M776" s="26" t="s">
        <v>81</v>
      </c>
      <c r="N776" s="26" t="s">
        <v>307</v>
      </c>
      <c r="O776" s="26">
        <v>4.0</v>
      </c>
    </row>
    <row r="777" ht="15.75" customHeight="1">
      <c r="A777" s="26" t="s">
        <v>3567</v>
      </c>
      <c r="B777" s="26" t="s">
        <v>3568</v>
      </c>
      <c r="C777" s="26" t="s">
        <v>363</v>
      </c>
      <c r="D777" s="26" t="s">
        <v>62</v>
      </c>
      <c r="E777" s="26" t="s">
        <v>3569</v>
      </c>
      <c r="F777" s="26" t="s">
        <v>1539</v>
      </c>
      <c r="G777" s="26" t="s">
        <v>212</v>
      </c>
      <c r="H777" s="26" t="s">
        <v>34</v>
      </c>
      <c r="I777" s="26" t="s">
        <v>1001</v>
      </c>
      <c r="J777" s="26">
        <v>2.0</v>
      </c>
      <c r="K777" s="26" t="s">
        <v>3570</v>
      </c>
      <c r="L777" s="26" t="s">
        <v>15</v>
      </c>
      <c r="M777" s="26" t="s">
        <v>81</v>
      </c>
      <c r="N777" s="26" t="s">
        <v>307</v>
      </c>
      <c r="O777" s="26">
        <v>4.0</v>
      </c>
    </row>
    <row r="778" ht="15.75" customHeight="1">
      <c r="A778" s="26" t="s">
        <v>3571</v>
      </c>
      <c r="B778" s="26" t="s">
        <v>3572</v>
      </c>
      <c r="C778" s="26" t="s">
        <v>429</v>
      </c>
      <c r="D778" s="26" t="s">
        <v>76</v>
      </c>
      <c r="E778" s="26" t="s">
        <v>3573</v>
      </c>
      <c r="F778" s="26" t="s">
        <v>1201</v>
      </c>
      <c r="G778" s="26" t="s">
        <v>222</v>
      </c>
      <c r="H778" s="26" t="s">
        <v>34</v>
      </c>
      <c r="I778" s="26" t="s">
        <v>1205</v>
      </c>
      <c r="J778" s="26">
        <v>3.0</v>
      </c>
      <c r="K778" s="26" t="s">
        <v>3574</v>
      </c>
      <c r="L778" s="26" t="s">
        <v>15</v>
      </c>
      <c r="M778" s="26" t="s">
        <v>81</v>
      </c>
      <c r="N778" s="26" t="s">
        <v>307</v>
      </c>
      <c r="O778" s="26">
        <v>5.0</v>
      </c>
    </row>
    <row r="779" ht="15.75" customHeight="1">
      <c r="A779" s="26" t="s">
        <v>3575</v>
      </c>
      <c r="B779" s="26" t="s">
        <v>3576</v>
      </c>
      <c r="C779" s="26" t="s">
        <v>300</v>
      </c>
      <c r="D779" s="26" t="s">
        <v>62</v>
      </c>
      <c r="E779" s="26" t="s">
        <v>995</v>
      </c>
      <c r="F779" s="26" t="s">
        <v>3577</v>
      </c>
      <c r="G779" s="26" t="s">
        <v>983</v>
      </c>
      <c r="H779" s="26" t="s">
        <v>61</v>
      </c>
      <c r="I779" s="26" t="s">
        <v>107</v>
      </c>
      <c r="J779" s="26">
        <v>2.0</v>
      </c>
      <c r="K779" s="26" t="s">
        <v>3578</v>
      </c>
      <c r="L779" s="26" t="s">
        <v>15</v>
      </c>
      <c r="M779" s="26" t="s">
        <v>81</v>
      </c>
      <c r="N779" s="26" t="s">
        <v>307</v>
      </c>
      <c r="O779" s="26">
        <v>5.0</v>
      </c>
    </row>
    <row r="780" ht="15.75" customHeight="1">
      <c r="A780" s="26" t="s">
        <v>3579</v>
      </c>
      <c r="B780" s="26" t="s">
        <v>3580</v>
      </c>
      <c r="C780" s="26" t="s">
        <v>312</v>
      </c>
      <c r="D780" s="26" t="s">
        <v>36</v>
      </c>
      <c r="E780" s="26" t="s">
        <v>3581</v>
      </c>
      <c r="F780" s="26" t="s">
        <v>315</v>
      </c>
      <c r="G780" s="26" t="s">
        <v>47</v>
      </c>
      <c r="H780" s="26" t="s">
        <v>34</v>
      </c>
      <c r="I780" s="26"/>
      <c r="J780" s="26">
        <v>1.0</v>
      </c>
      <c r="K780" s="26" t="s">
        <v>3582</v>
      </c>
      <c r="L780" s="26" t="s">
        <v>15</v>
      </c>
      <c r="M780" s="26" t="s">
        <v>81</v>
      </c>
      <c r="N780" s="26" t="s">
        <v>307</v>
      </c>
      <c r="O780" s="26">
        <v>2.0</v>
      </c>
    </row>
    <row r="781" ht="15.75" customHeight="1">
      <c r="A781" s="26" t="s">
        <v>3567</v>
      </c>
      <c r="B781" s="26" t="s">
        <v>3568</v>
      </c>
      <c r="C781" s="26" t="s">
        <v>363</v>
      </c>
      <c r="D781" s="26" t="s">
        <v>62</v>
      </c>
      <c r="E781" s="26" t="s">
        <v>3569</v>
      </c>
      <c r="F781" s="26" t="s">
        <v>1539</v>
      </c>
      <c r="G781" s="26" t="s">
        <v>212</v>
      </c>
      <c r="H781" s="26" t="s">
        <v>34</v>
      </c>
      <c r="I781" s="26" t="s">
        <v>1001</v>
      </c>
      <c r="J781" s="26">
        <v>2.0</v>
      </c>
      <c r="K781" s="26" t="s">
        <v>491</v>
      </c>
      <c r="L781" s="26" t="s">
        <v>29</v>
      </c>
      <c r="M781" s="26" t="s">
        <v>95</v>
      </c>
      <c r="N781" s="26" t="s">
        <v>307</v>
      </c>
      <c r="O781" s="26">
        <v>5.0</v>
      </c>
    </row>
    <row r="782" ht="15.75" customHeight="1">
      <c r="A782" s="26" t="s">
        <v>3583</v>
      </c>
      <c r="B782" s="26" t="s">
        <v>3584</v>
      </c>
      <c r="C782" s="26" t="s">
        <v>429</v>
      </c>
      <c r="D782" s="26" t="s">
        <v>69</v>
      </c>
      <c r="E782" s="26" t="s">
        <v>1098</v>
      </c>
      <c r="F782" s="26" t="s">
        <v>3585</v>
      </c>
      <c r="G782" s="26" t="s">
        <v>1095</v>
      </c>
      <c r="H782" s="26" t="s">
        <v>46</v>
      </c>
      <c r="I782" s="26"/>
      <c r="J782" s="26">
        <v>1.0</v>
      </c>
      <c r="K782" s="26" t="s">
        <v>1100</v>
      </c>
      <c r="L782" s="26" t="s">
        <v>15</v>
      </c>
      <c r="M782" s="26" t="s">
        <v>81</v>
      </c>
      <c r="N782" s="26" t="s">
        <v>307</v>
      </c>
      <c r="O782" s="26">
        <v>6.0</v>
      </c>
    </row>
    <row r="783" ht="15.75" customHeight="1">
      <c r="A783" s="26" t="s">
        <v>3586</v>
      </c>
      <c r="B783" s="26" t="s">
        <v>3587</v>
      </c>
      <c r="C783" s="26" t="s">
        <v>3588</v>
      </c>
      <c r="D783" s="26" t="s">
        <v>69</v>
      </c>
      <c r="E783" s="26" t="s">
        <v>3589</v>
      </c>
      <c r="F783" s="26" t="s">
        <v>887</v>
      </c>
      <c r="G783" s="26" t="s">
        <v>888</v>
      </c>
      <c r="H783" s="26" t="s">
        <v>46</v>
      </c>
      <c r="I783" s="26"/>
      <c r="J783" s="26">
        <v>0.0</v>
      </c>
      <c r="K783" s="26" t="s">
        <v>3590</v>
      </c>
      <c r="L783" s="26" t="s">
        <v>29</v>
      </c>
      <c r="M783" s="26" t="s">
        <v>95</v>
      </c>
      <c r="N783" s="26" t="s">
        <v>307</v>
      </c>
      <c r="O783" s="26">
        <v>0.0</v>
      </c>
    </row>
    <row r="784" ht="15.75" customHeight="1">
      <c r="A784" s="26" t="s">
        <v>3591</v>
      </c>
      <c r="B784" s="26" t="s">
        <v>3592</v>
      </c>
      <c r="C784" s="26" t="s">
        <v>300</v>
      </c>
      <c r="D784" s="26" t="s">
        <v>48</v>
      </c>
      <c r="E784" s="26" t="s">
        <v>3593</v>
      </c>
      <c r="F784" s="26" t="s">
        <v>366</v>
      </c>
      <c r="G784" s="26" t="s">
        <v>258</v>
      </c>
      <c r="H784" s="26" t="s">
        <v>61</v>
      </c>
      <c r="I784" s="26" t="s">
        <v>339</v>
      </c>
      <c r="J784" s="26">
        <v>3.0</v>
      </c>
      <c r="K784" s="26" t="s">
        <v>3594</v>
      </c>
      <c r="L784" s="26" t="s">
        <v>15</v>
      </c>
      <c r="M784" s="26" t="s">
        <v>81</v>
      </c>
      <c r="N784" s="26" t="s">
        <v>307</v>
      </c>
      <c r="O784" s="26">
        <v>5.0</v>
      </c>
    </row>
    <row r="785" ht="15.75" customHeight="1">
      <c r="A785" s="26" t="s">
        <v>3595</v>
      </c>
      <c r="B785" s="26" t="s">
        <v>3596</v>
      </c>
      <c r="C785" s="26" t="s">
        <v>3588</v>
      </c>
      <c r="D785" s="26" t="s">
        <v>69</v>
      </c>
      <c r="E785" s="26" t="s">
        <v>231</v>
      </c>
      <c r="F785" s="26" t="s">
        <v>1705</v>
      </c>
      <c r="G785" s="26" t="s">
        <v>110</v>
      </c>
      <c r="H785" s="26" t="s">
        <v>71</v>
      </c>
      <c r="I785" s="26"/>
      <c r="J785" s="26">
        <v>1.0</v>
      </c>
      <c r="K785" s="26" t="s">
        <v>1109</v>
      </c>
      <c r="L785" s="26" t="s">
        <v>29</v>
      </c>
      <c r="M785" s="26" t="s">
        <v>95</v>
      </c>
      <c r="N785" s="26" t="s">
        <v>307</v>
      </c>
      <c r="O785" s="26">
        <v>1.0</v>
      </c>
    </row>
    <row r="786" ht="15.75" customHeight="1">
      <c r="A786" s="26" t="s">
        <v>3597</v>
      </c>
      <c r="B786" s="26" t="s">
        <v>3587</v>
      </c>
      <c r="C786" s="26" t="s">
        <v>3588</v>
      </c>
      <c r="D786" s="26" t="s">
        <v>69</v>
      </c>
      <c r="E786" s="26" t="s">
        <v>1111</v>
      </c>
      <c r="F786" s="26" t="s">
        <v>1705</v>
      </c>
      <c r="G786" s="26" t="s">
        <v>110</v>
      </c>
      <c r="H786" s="26" t="s">
        <v>71</v>
      </c>
      <c r="I786" s="26"/>
      <c r="J786" s="26">
        <v>1.0</v>
      </c>
      <c r="K786" s="26" t="s">
        <v>1109</v>
      </c>
      <c r="L786" s="26" t="s">
        <v>29</v>
      </c>
      <c r="M786" s="26" t="s">
        <v>95</v>
      </c>
      <c r="N786" s="26" t="s">
        <v>307</v>
      </c>
      <c r="O786" s="26">
        <v>0.0</v>
      </c>
    </row>
    <row r="787" ht="15.75" customHeight="1">
      <c r="A787" s="26" t="s">
        <v>3598</v>
      </c>
      <c r="B787" s="26" t="s">
        <v>3599</v>
      </c>
      <c r="C787" s="26" t="s">
        <v>363</v>
      </c>
      <c r="D787" s="26" t="s">
        <v>69</v>
      </c>
      <c r="E787" s="26" t="s">
        <v>3600</v>
      </c>
      <c r="F787" s="26" t="s">
        <v>1422</v>
      </c>
      <c r="G787" s="26" t="s">
        <v>86</v>
      </c>
      <c r="H787" s="26" t="s">
        <v>34</v>
      </c>
      <c r="I787" s="26"/>
      <c r="J787" s="26">
        <v>1.0</v>
      </c>
      <c r="K787" s="26" t="s">
        <v>136</v>
      </c>
      <c r="L787" s="26" t="s">
        <v>29</v>
      </c>
      <c r="M787" s="26" t="s">
        <v>95</v>
      </c>
      <c r="N787" s="26" t="s">
        <v>307</v>
      </c>
      <c r="O787" s="26">
        <v>2.0</v>
      </c>
    </row>
    <row r="788" ht="15.75" customHeight="1">
      <c r="A788" s="26" t="s">
        <v>3601</v>
      </c>
      <c r="B788" s="26" t="s">
        <v>3602</v>
      </c>
      <c r="C788" s="26" t="s">
        <v>312</v>
      </c>
      <c r="D788" s="26" t="s">
        <v>45</v>
      </c>
      <c r="E788" s="26" t="s">
        <v>3603</v>
      </c>
      <c r="F788" s="26" t="s">
        <v>744</v>
      </c>
      <c r="G788" s="26" t="s">
        <v>148</v>
      </c>
      <c r="H788" s="26" t="s">
        <v>34</v>
      </c>
      <c r="I788" s="26" t="s">
        <v>130</v>
      </c>
      <c r="J788" s="26">
        <v>4.0</v>
      </c>
      <c r="K788" s="26" t="s">
        <v>136</v>
      </c>
      <c r="L788" s="26" t="s">
        <v>29</v>
      </c>
      <c r="M788" s="26" t="s">
        <v>95</v>
      </c>
      <c r="N788" s="26" t="s">
        <v>307</v>
      </c>
      <c r="O788" s="26">
        <v>3.0</v>
      </c>
    </row>
    <row r="789" ht="15.75" customHeight="1">
      <c r="A789" s="26" t="s">
        <v>3604</v>
      </c>
      <c r="B789" s="26" t="s">
        <v>3605</v>
      </c>
      <c r="C789" s="26" t="s">
        <v>322</v>
      </c>
      <c r="D789" s="26" t="s">
        <v>48</v>
      </c>
      <c r="E789" s="26" t="s">
        <v>499</v>
      </c>
      <c r="F789" s="26" t="s">
        <v>973</v>
      </c>
      <c r="G789" s="26" t="s">
        <v>299</v>
      </c>
      <c r="H789" s="26" t="s">
        <v>34</v>
      </c>
      <c r="I789" s="26" t="s">
        <v>339</v>
      </c>
      <c r="J789" s="26">
        <v>2.0</v>
      </c>
      <c r="K789" s="26" t="s">
        <v>501</v>
      </c>
      <c r="L789" s="26" t="s">
        <v>15</v>
      </c>
      <c r="M789" s="26" t="s">
        <v>81</v>
      </c>
      <c r="N789" s="26" t="s">
        <v>307</v>
      </c>
      <c r="O789" s="26">
        <v>5.0</v>
      </c>
    </row>
    <row r="790" ht="15.75" customHeight="1">
      <c r="A790" s="26" t="s">
        <v>3606</v>
      </c>
      <c r="B790" s="26" t="s">
        <v>3607</v>
      </c>
      <c r="C790" s="26" t="s">
        <v>300</v>
      </c>
      <c r="D790" s="26" t="s">
        <v>36</v>
      </c>
      <c r="E790" s="26" t="s">
        <v>3608</v>
      </c>
      <c r="F790" s="26" t="s">
        <v>315</v>
      </c>
      <c r="G790" s="26" t="s">
        <v>47</v>
      </c>
      <c r="H790" s="26" t="s">
        <v>34</v>
      </c>
      <c r="I790" s="26" t="s">
        <v>82</v>
      </c>
      <c r="J790" s="26">
        <v>2.0</v>
      </c>
      <c r="K790" s="26" t="s">
        <v>3523</v>
      </c>
      <c r="L790" s="26" t="s">
        <v>15</v>
      </c>
      <c r="M790" s="26" t="s">
        <v>81</v>
      </c>
      <c r="N790" s="26" t="s">
        <v>307</v>
      </c>
      <c r="O790" s="26">
        <v>1.0</v>
      </c>
    </row>
    <row r="791" ht="15.75" customHeight="1">
      <c r="A791" s="26" t="s">
        <v>3609</v>
      </c>
      <c r="B791" s="26" t="s">
        <v>3610</v>
      </c>
      <c r="C791" s="26" t="s">
        <v>312</v>
      </c>
      <c r="D791" s="26" t="s">
        <v>45</v>
      </c>
      <c r="E791" s="26" t="s">
        <v>277</v>
      </c>
      <c r="F791" s="26" t="s">
        <v>1403</v>
      </c>
      <c r="G791" s="26" t="s">
        <v>143</v>
      </c>
      <c r="H791" s="26" t="s">
        <v>46</v>
      </c>
      <c r="I791" s="26"/>
      <c r="J791" s="26">
        <v>1.0</v>
      </c>
      <c r="K791" s="26" t="s">
        <v>136</v>
      </c>
      <c r="L791" s="26" t="s">
        <v>29</v>
      </c>
      <c r="M791" s="26" t="s">
        <v>95</v>
      </c>
      <c r="N791" s="26" t="s">
        <v>307</v>
      </c>
      <c r="O791" s="26">
        <v>3.0</v>
      </c>
    </row>
    <row r="792" ht="15.75" customHeight="1">
      <c r="A792" s="26" t="s">
        <v>3611</v>
      </c>
      <c r="B792" s="26" t="s">
        <v>3612</v>
      </c>
      <c r="C792" s="26" t="s">
        <v>312</v>
      </c>
      <c r="D792" s="26" t="s">
        <v>69</v>
      </c>
      <c r="E792" s="26" t="s">
        <v>3613</v>
      </c>
      <c r="F792" s="26" t="s">
        <v>440</v>
      </c>
      <c r="G792" s="26" t="s">
        <v>83</v>
      </c>
      <c r="H792" s="26" t="s">
        <v>46</v>
      </c>
      <c r="I792" s="26"/>
      <c r="J792" s="26">
        <v>1.0</v>
      </c>
      <c r="K792" s="26" t="s">
        <v>136</v>
      </c>
      <c r="L792" s="26" t="s">
        <v>29</v>
      </c>
      <c r="M792" s="26" t="s">
        <v>95</v>
      </c>
      <c r="N792" s="26" t="s">
        <v>307</v>
      </c>
      <c r="O792" s="26">
        <v>3.0</v>
      </c>
    </row>
    <row r="793" ht="15.75" customHeight="1">
      <c r="A793" s="26" t="s">
        <v>3614</v>
      </c>
      <c r="B793" s="26" t="s">
        <v>3615</v>
      </c>
      <c r="C793" s="26" t="s">
        <v>300</v>
      </c>
      <c r="D793" s="26" t="s">
        <v>69</v>
      </c>
      <c r="E793" s="26" t="s">
        <v>3616</v>
      </c>
      <c r="F793" s="26" t="s">
        <v>537</v>
      </c>
      <c r="G793" s="26" t="s">
        <v>197</v>
      </c>
      <c r="H793" s="26" t="s">
        <v>34</v>
      </c>
      <c r="I793" s="26" t="s">
        <v>83</v>
      </c>
      <c r="J793" s="26">
        <v>2.0</v>
      </c>
      <c r="K793" s="26" t="s">
        <v>3617</v>
      </c>
      <c r="L793" s="26" t="s">
        <v>15</v>
      </c>
      <c r="M793" s="26" t="s">
        <v>81</v>
      </c>
      <c r="N793" s="26" t="s">
        <v>307</v>
      </c>
      <c r="O793" s="26">
        <v>4.0</v>
      </c>
    </row>
    <row r="794" ht="15.75" customHeight="1">
      <c r="A794" s="26" t="s">
        <v>3618</v>
      </c>
      <c r="B794" s="26" t="s">
        <v>3619</v>
      </c>
      <c r="C794" s="26" t="s">
        <v>300</v>
      </c>
      <c r="D794" s="26" t="s">
        <v>36</v>
      </c>
      <c r="E794" s="26" t="s">
        <v>3620</v>
      </c>
      <c r="F794" s="26" t="s">
        <v>315</v>
      </c>
      <c r="G794" s="26" t="s">
        <v>47</v>
      </c>
      <c r="H794" s="26" t="s">
        <v>34</v>
      </c>
      <c r="I794" s="26" t="s">
        <v>88</v>
      </c>
      <c r="J794" s="26">
        <v>2.0</v>
      </c>
      <c r="K794" s="26" t="s">
        <v>3621</v>
      </c>
      <c r="L794" s="26" t="s">
        <v>15</v>
      </c>
      <c r="M794" s="26" t="s">
        <v>87</v>
      </c>
      <c r="N794" s="26" t="s">
        <v>307</v>
      </c>
      <c r="O794" s="26">
        <v>1.0</v>
      </c>
    </row>
    <row r="795" ht="15.75" customHeight="1">
      <c r="A795" s="26" t="s">
        <v>3622</v>
      </c>
      <c r="B795" s="26" t="s">
        <v>3623</v>
      </c>
      <c r="C795" s="26" t="s">
        <v>312</v>
      </c>
      <c r="D795" s="26" t="s">
        <v>54</v>
      </c>
      <c r="E795" s="26" t="s">
        <v>3624</v>
      </c>
      <c r="F795" s="26" t="s">
        <v>432</v>
      </c>
      <c r="G795" s="26" t="s">
        <v>182</v>
      </c>
      <c r="H795" s="26" t="s">
        <v>34</v>
      </c>
      <c r="I795" s="26" t="s">
        <v>99</v>
      </c>
      <c r="J795" s="26">
        <v>3.0</v>
      </c>
      <c r="K795" s="26" t="s">
        <v>3625</v>
      </c>
      <c r="L795" s="26" t="s">
        <v>15</v>
      </c>
      <c r="M795" s="26" t="s">
        <v>87</v>
      </c>
      <c r="N795" s="26" t="s">
        <v>307</v>
      </c>
      <c r="O795" s="26">
        <v>2.0</v>
      </c>
    </row>
    <row r="796" ht="15.75" customHeight="1">
      <c r="A796" s="26" t="s">
        <v>3626</v>
      </c>
      <c r="B796" s="26" t="s">
        <v>3627</v>
      </c>
      <c r="C796" s="26" t="s">
        <v>363</v>
      </c>
      <c r="D796" s="26" t="s">
        <v>36</v>
      </c>
      <c r="E796" s="26" t="s">
        <v>3628</v>
      </c>
      <c r="F796" s="26" t="s">
        <v>2025</v>
      </c>
      <c r="G796" s="26" t="s">
        <v>82</v>
      </c>
      <c r="H796" s="26" t="s">
        <v>34</v>
      </c>
      <c r="I796" s="26"/>
      <c r="J796" s="26">
        <v>1.0</v>
      </c>
      <c r="K796" s="26" t="s">
        <v>3073</v>
      </c>
      <c r="L796" s="26" t="s">
        <v>15</v>
      </c>
      <c r="M796" s="26" t="s">
        <v>87</v>
      </c>
      <c r="N796" s="26" t="s">
        <v>307</v>
      </c>
      <c r="O796" s="26">
        <v>1.0</v>
      </c>
    </row>
    <row r="797" ht="15.75" customHeight="1">
      <c r="A797" s="26" t="s">
        <v>3629</v>
      </c>
      <c r="B797" s="26" t="s">
        <v>3630</v>
      </c>
      <c r="C797" s="26" t="s">
        <v>312</v>
      </c>
      <c r="D797" s="26" t="s">
        <v>45</v>
      </c>
      <c r="E797" s="26" t="s">
        <v>280</v>
      </c>
      <c r="F797" s="26" t="s">
        <v>1403</v>
      </c>
      <c r="G797" s="26" t="s">
        <v>143</v>
      </c>
      <c r="H797" s="26" t="s">
        <v>46</v>
      </c>
      <c r="I797" s="26"/>
      <c r="J797" s="26">
        <v>1.0</v>
      </c>
      <c r="K797" s="26" t="s">
        <v>281</v>
      </c>
      <c r="L797" s="26" t="s">
        <v>19</v>
      </c>
      <c r="M797" s="26" t="s">
        <v>87</v>
      </c>
      <c r="N797" s="26" t="s">
        <v>307</v>
      </c>
      <c r="O797" s="26">
        <v>2.0</v>
      </c>
    </row>
    <row r="798" ht="15.75" customHeight="1">
      <c r="A798" s="26" t="s">
        <v>3631</v>
      </c>
      <c r="B798" s="26" t="s">
        <v>3632</v>
      </c>
      <c r="C798" s="26" t="s">
        <v>312</v>
      </c>
      <c r="D798" s="26" t="s">
        <v>36</v>
      </c>
      <c r="E798" s="26" t="s">
        <v>3633</v>
      </c>
      <c r="F798" s="26" t="s">
        <v>663</v>
      </c>
      <c r="G798" s="26" t="s">
        <v>44</v>
      </c>
      <c r="H798" s="26" t="s">
        <v>34</v>
      </c>
      <c r="I798" s="26" t="s">
        <v>73</v>
      </c>
      <c r="J798" s="26">
        <v>3.0</v>
      </c>
      <c r="K798" s="26" t="s">
        <v>3073</v>
      </c>
      <c r="L798" s="26" t="s">
        <v>19</v>
      </c>
      <c r="M798" s="26" t="s">
        <v>87</v>
      </c>
      <c r="N798" s="26" t="s">
        <v>307</v>
      </c>
      <c r="O798" s="26">
        <v>1.0</v>
      </c>
    </row>
    <row r="799" ht="15.75" customHeight="1">
      <c r="A799" s="26" t="s">
        <v>3634</v>
      </c>
      <c r="B799" s="26" t="s">
        <v>3635</v>
      </c>
      <c r="C799" s="26" t="s">
        <v>300</v>
      </c>
      <c r="D799" s="26" t="s">
        <v>36</v>
      </c>
      <c r="E799" s="26" t="s">
        <v>3636</v>
      </c>
      <c r="F799" s="26" t="s">
        <v>315</v>
      </c>
      <c r="G799" s="26" t="s">
        <v>47</v>
      </c>
      <c r="H799" s="26" t="s">
        <v>34</v>
      </c>
      <c r="I799" s="26" t="s">
        <v>82</v>
      </c>
      <c r="J799" s="26">
        <v>2.0</v>
      </c>
      <c r="K799" s="26" t="s">
        <v>3073</v>
      </c>
      <c r="L799" s="26" t="s">
        <v>15</v>
      </c>
      <c r="M799" s="26" t="s">
        <v>87</v>
      </c>
      <c r="N799" s="26" t="s">
        <v>307</v>
      </c>
      <c r="O799" s="26">
        <v>0.0</v>
      </c>
    </row>
    <row r="800" ht="15.75" customHeight="1">
      <c r="A800" s="26" t="s">
        <v>3637</v>
      </c>
      <c r="B800" s="26" t="s">
        <v>3638</v>
      </c>
      <c r="C800" s="26" t="s">
        <v>312</v>
      </c>
      <c r="D800" s="26" t="s">
        <v>36</v>
      </c>
      <c r="E800" s="26" t="s">
        <v>3639</v>
      </c>
      <c r="F800" s="26" t="s">
        <v>315</v>
      </c>
      <c r="G800" s="26" t="s">
        <v>47</v>
      </c>
      <c r="H800" s="26" t="s">
        <v>34</v>
      </c>
      <c r="I800" s="26" t="s">
        <v>51</v>
      </c>
      <c r="J800" s="26">
        <v>3.0</v>
      </c>
      <c r="K800" s="26" t="s">
        <v>3640</v>
      </c>
      <c r="L800" s="26" t="s">
        <v>19</v>
      </c>
      <c r="M800" s="26" t="s">
        <v>81</v>
      </c>
      <c r="N800" s="26" t="s">
        <v>307</v>
      </c>
      <c r="O800" s="26">
        <v>3.0</v>
      </c>
    </row>
    <row r="801" ht="15.75" customHeight="1">
      <c r="A801" s="26" t="s">
        <v>3641</v>
      </c>
      <c r="B801" s="26" t="s">
        <v>3642</v>
      </c>
      <c r="C801" s="26" t="s">
        <v>312</v>
      </c>
      <c r="D801" s="26" t="s">
        <v>50</v>
      </c>
      <c r="E801" s="26" t="s">
        <v>682</v>
      </c>
      <c r="F801" s="26" t="s">
        <v>1174</v>
      </c>
      <c r="G801" s="26" t="s">
        <v>539</v>
      </c>
      <c r="H801" s="26" t="s">
        <v>46</v>
      </c>
      <c r="I801" s="26"/>
      <c r="J801" s="26">
        <v>0.0</v>
      </c>
      <c r="K801" s="26" t="s">
        <v>683</v>
      </c>
      <c r="L801" s="26" t="s">
        <v>15</v>
      </c>
      <c r="M801" s="26" t="s">
        <v>81</v>
      </c>
      <c r="N801" s="26" t="s">
        <v>307</v>
      </c>
      <c r="O801" s="26">
        <v>3.0</v>
      </c>
    </row>
    <row r="802" ht="15.75" customHeight="1">
      <c r="A802" s="26" t="s">
        <v>3643</v>
      </c>
      <c r="B802" s="26" t="s">
        <v>3644</v>
      </c>
      <c r="C802" s="26" t="s">
        <v>300</v>
      </c>
      <c r="D802" s="26" t="s">
        <v>54</v>
      </c>
      <c r="E802" s="26" t="s">
        <v>3645</v>
      </c>
      <c r="F802" s="26" t="s">
        <v>644</v>
      </c>
      <c r="G802" s="26" t="s">
        <v>217</v>
      </c>
      <c r="H802" s="26" t="s">
        <v>52</v>
      </c>
      <c r="I802" s="26"/>
      <c r="J802" s="26">
        <v>1.0</v>
      </c>
      <c r="K802" s="26" t="s">
        <v>3646</v>
      </c>
      <c r="L802" s="26" t="s">
        <v>15</v>
      </c>
      <c r="M802" s="26" t="s">
        <v>81</v>
      </c>
      <c r="N802" s="26" t="s">
        <v>307</v>
      </c>
      <c r="O802" s="26">
        <v>3.0</v>
      </c>
    </row>
    <row r="803" ht="15.75" customHeight="1">
      <c r="A803" s="26" t="s">
        <v>3647</v>
      </c>
      <c r="B803" s="26" t="s">
        <v>3648</v>
      </c>
      <c r="C803" s="26" t="s">
        <v>363</v>
      </c>
      <c r="D803" s="26" t="s">
        <v>62</v>
      </c>
      <c r="E803" s="26" t="s">
        <v>3649</v>
      </c>
      <c r="F803" s="26" t="s">
        <v>383</v>
      </c>
      <c r="G803" s="26" t="s">
        <v>111</v>
      </c>
      <c r="H803" s="26" t="s">
        <v>49</v>
      </c>
      <c r="I803" s="26" t="s">
        <v>261</v>
      </c>
      <c r="J803" s="26">
        <v>4.0</v>
      </c>
      <c r="K803" s="26" t="s">
        <v>3650</v>
      </c>
      <c r="L803" s="26" t="s">
        <v>15</v>
      </c>
      <c r="M803" s="26" t="s">
        <v>81</v>
      </c>
      <c r="N803" s="26" t="s">
        <v>307</v>
      </c>
      <c r="O803" s="26">
        <v>2.0</v>
      </c>
    </row>
    <row r="804" ht="15.75" customHeight="1">
      <c r="A804" s="26" t="s">
        <v>3651</v>
      </c>
      <c r="B804" s="26" t="s">
        <v>3652</v>
      </c>
      <c r="C804" s="26" t="s">
        <v>363</v>
      </c>
      <c r="D804" s="26" t="s">
        <v>45</v>
      </c>
      <c r="E804" s="26" t="s">
        <v>344</v>
      </c>
      <c r="F804" s="26" t="s">
        <v>1647</v>
      </c>
      <c r="G804" s="26" t="s">
        <v>82</v>
      </c>
      <c r="H804" s="26" t="s">
        <v>34</v>
      </c>
      <c r="I804" s="26"/>
      <c r="J804" s="26">
        <v>1.0</v>
      </c>
      <c r="K804" s="26" t="s">
        <v>346</v>
      </c>
      <c r="L804" s="26" t="s">
        <v>15</v>
      </c>
      <c r="M804" s="26" t="s">
        <v>87</v>
      </c>
      <c r="N804" s="26" t="s">
        <v>307</v>
      </c>
      <c r="O804" s="26">
        <v>0.0</v>
      </c>
    </row>
    <row r="805" ht="15.75" customHeight="1">
      <c r="A805" s="26" t="s">
        <v>3653</v>
      </c>
      <c r="B805" s="26" t="s">
        <v>3654</v>
      </c>
      <c r="C805" s="26" t="s">
        <v>300</v>
      </c>
      <c r="D805" s="26" t="s">
        <v>36</v>
      </c>
      <c r="E805" s="26" t="s">
        <v>3655</v>
      </c>
      <c r="F805" s="26" t="s">
        <v>315</v>
      </c>
      <c r="G805" s="26" t="s">
        <v>47</v>
      </c>
      <c r="H805" s="26" t="s">
        <v>34</v>
      </c>
      <c r="I805" s="26"/>
      <c r="J805" s="26">
        <v>1.0</v>
      </c>
      <c r="K805" s="26" t="s">
        <v>3656</v>
      </c>
      <c r="L805" s="26" t="s">
        <v>15</v>
      </c>
      <c r="M805" s="26" t="s">
        <v>81</v>
      </c>
      <c r="N805" s="26" t="s">
        <v>307</v>
      </c>
      <c r="O805" s="26">
        <v>0.0</v>
      </c>
    </row>
    <row r="806" ht="15.75" customHeight="1">
      <c r="A806" s="26" t="s">
        <v>3657</v>
      </c>
      <c r="B806" s="26" t="s">
        <v>3658</v>
      </c>
      <c r="C806" s="26" t="s">
        <v>363</v>
      </c>
      <c r="D806" s="26" t="s">
        <v>45</v>
      </c>
      <c r="E806" s="26" t="s">
        <v>3659</v>
      </c>
      <c r="F806" s="26" t="s">
        <v>2178</v>
      </c>
      <c r="G806" s="26" t="s">
        <v>161</v>
      </c>
      <c r="H806" s="26" t="s">
        <v>57</v>
      </c>
      <c r="I806" s="26" t="s">
        <v>204</v>
      </c>
      <c r="J806" s="26">
        <v>2.0</v>
      </c>
      <c r="K806" s="26" t="s">
        <v>3660</v>
      </c>
      <c r="L806" s="26" t="s">
        <v>15</v>
      </c>
      <c r="M806" s="26" t="s">
        <v>81</v>
      </c>
      <c r="N806" s="26" t="s">
        <v>307</v>
      </c>
      <c r="O806" s="26">
        <v>4.0</v>
      </c>
    </row>
    <row r="807" ht="15.75" customHeight="1">
      <c r="A807" s="26" t="s">
        <v>3661</v>
      </c>
      <c r="B807" s="26" t="s">
        <v>3662</v>
      </c>
      <c r="C807" s="26" t="s">
        <v>363</v>
      </c>
      <c r="D807" s="26" t="s">
        <v>62</v>
      </c>
      <c r="E807" s="26" t="s">
        <v>3663</v>
      </c>
      <c r="F807" s="26" t="s">
        <v>2273</v>
      </c>
      <c r="G807" s="26" t="s">
        <v>261</v>
      </c>
      <c r="H807" s="26" t="s">
        <v>46</v>
      </c>
      <c r="I807" s="26"/>
      <c r="J807" s="26">
        <v>1.0</v>
      </c>
      <c r="K807" s="26" t="s">
        <v>3664</v>
      </c>
      <c r="L807" s="26" t="s">
        <v>15</v>
      </c>
      <c r="M807" s="26" t="s">
        <v>81</v>
      </c>
      <c r="N807" s="26" t="s">
        <v>307</v>
      </c>
      <c r="O807" s="26">
        <v>2.0</v>
      </c>
    </row>
    <row r="808" ht="15.75" customHeight="1">
      <c r="A808" s="26" t="s">
        <v>3665</v>
      </c>
      <c r="B808" s="26" t="s">
        <v>3666</v>
      </c>
      <c r="C808" s="26" t="s">
        <v>363</v>
      </c>
      <c r="D808" s="26" t="s">
        <v>62</v>
      </c>
      <c r="E808" s="26" t="s">
        <v>3667</v>
      </c>
      <c r="F808" s="26" t="s">
        <v>383</v>
      </c>
      <c r="G808" s="26" t="s">
        <v>111</v>
      </c>
      <c r="H808" s="26" t="s">
        <v>49</v>
      </c>
      <c r="I808" s="26" t="s">
        <v>212</v>
      </c>
      <c r="J808" s="26">
        <v>3.0</v>
      </c>
      <c r="K808" s="26" t="s">
        <v>136</v>
      </c>
      <c r="L808" s="26" t="s">
        <v>29</v>
      </c>
      <c r="M808" s="26" t="s">
        <v>95</v>
      </c>
      <c r="N808" s="26" t="s">
        <v>307</v>
      </c>
      <c r="O808" s="26">
        <v>2.0</v>
      </c>
    </row>
    <row r="809" ht="15.75" customHeight="1">
      <c r="A809" s="26" t="s">
        <v>3668</v>
      </c>
      <c r="B809" s="26" t="s">
        <v>3669</v>
      </c>
      <c r="C809" s="26" t="s">
        <v>363</v>
      </c>
      <c r="D809" s="26" t="s">
        <v>79</v>
      </c>
      <c r="E809" s="26" t="s">
        <v>3670</v>
      </c>
      <c r="F809" s="26" t="s">
        <v>1895</v>
      </c>
      <c r="G809" s="26" t="s">
        <v>255</v>
      </c>
      <c r="H809" s="26" t="s">
        <v>49</v>
      </c>
      <c r="I809" s="26" t="s">
        <v>1260</v>
      </c>
      <c r="J809" s="26">
        <v>4.0</v>
      </c>
      <c r="K809" s="26" t="s">
        <v>199</v>
      </c>
      <c r="L809" s="26" t="s">
        <v>29</v>
      </c>
      <c r="M809" s="26" t="s">
        <v>95</v>
      </c>
      <c r="N809" s="26" t="s">
        <v>307</v>
      </c>
      <c r="O809" s="26">
        <v>5.0</v>
      </c>
    </row>
    <row r="810" ht="15.75" customHeight="1">
      <c r="A810" s="26" t="s">
        <v>3671</v>
      </c>
      <c r="B810" s="26" t="s">
        <v>3672</v>
      </c>
      <c r="C810" s="26" t="s">
        <v>312</v>
      </c>
      <c r="D810" s="26" t="s">
        <v>89</v>
      </c>
      <c r="E810" s="26" t="s">
        <v>3673</v>
      </c>
      <c r="F810" s="26" t="s">
        <v>2896</v>
      </c>
      <c r="G810" s="26" t="s">
        <v>1379</v>
      </c>
      <c r="H810" s="26" t="s">
        <v>49</v>
      </c>
      <c r="I810" s="26" t="s">
        <v>638</v>
      </c>
      <c r="J810" s="26">
        <v>2.0</v>
      </c>
      <c r="K810" s="26" t="s">
        <v>3674</v>
      </c>
      <c r="L810" s="26" t="s">
        <v>19</v>
      </c>
      <c r="M810" s="26" t="s">
        <v>66</v>
      </c>
      <c r="N810" s="26" t="s">
        <v>307</v>
      </c>
      <c r="O810" s="26">
        <v>3.0</v>
      </c>
    </row>
    <row r="811" ht="15.75" customHeight="1">
      <c r="A811" s="26" t="s">
        <v>3675</v>
      </c>
      <c r="B811" s="26" t="s">
        <v>3676</v>
      </c>
      <c r="C811" s="26" t="s">
        <v>300</v>
      </c>
      <c r="D811" s="26" t="s">
        <v>54</v>
      </c>
      <c r="E811" s="26" t="s">
        <v>3677</v>
      </c>
      <c r="F811" s="26" t="s">
        <v>432</v>
      </c>
      <c r="G811" s="26" t="s">
        <v>182</v>
      </c>
      <c r="H811" s="26" t="s">
        <v>34</v>
      </c>
      <c r="I811" s="26" t="s">
        <v>217</v>
      </c>
      <c r="J811" s="26">
        <v>3.0</v>
      </c>
      <c r="K811" s="26" t="s">
        <v>199</v>
      </c>
      <c r="L811" s="26" t="s">
        <v>29</v>
      </c>
      <c r="M811" s="26" t="s">
        <v>95</v>
      </c>
      <c r="N811" s="26" t="s">
        <v>307</v>
      </c>
      <c r="O811" s="26">
        <v>4.0</v>
      </c>
    </row>
    <row r="812" ht="15.75" customHeight="1">
      <c r="A812" s="26" t="s">
        <v>3678</v>
      </c>
      <c r="B812" s="26" t="s">
        <v>3679</v>
      </c>
      <c r="C812" s="26" t="s">
        <v>312</v>
      </c>
      <c r="D812" s="26" t="s">
        <v>45</v>
      </c>
      <c r="E812" s="26" t="s">
        <v>3680</v>
      </c>
      <c r="F812" s="26" t="s">
        <v>937</v>
      </c>
      <c r="G812" s="26" t="s">
        <v>204</v>
      </c>
      <c r="H812" s="26" t="s">
        <v>49</v>
      </c>
      <c r="I812" s="26"/>
      <c r="J812" s="26">
        <v>1.0</v>
      </c>
      <c r="K812" s="26" t="s">
        <v>3681</v>
      </c>
      <c r="L812" s="26" t="s">
        <v>15</v>
      </c>
      <c r="M812" s="26" t="s">
        <v>81</v>
      </c>
      <c r="N812" s="26" t="s">
        <v>307</v>
      </c>
      <c r="O812" s="26">
        <v>4.0</v>
      </c>
    </row>
    <row r="813" ht="15.75" customHeight="1">
      <c r="A813" s="26" t="s">
        <v>3682</v>
      </c>
      <c r="B813" s="26" t="s">
        <v>3683</v>
      </c>
      <c r="C813" s="26" t="s">
        <v>429</v>
      </c>
      <c r="D813" s="26" t="s">
        <v>36</v>
      </c>
      <c r="E813" s="26" t="s">
        <v>3684</v>
      </c>
      <c r="F813" s="26" t="s">
        <v>663</v>
      </c>
      <c r="G813" s="26" t="s">
        <v>44</v>
      </c>
      <c r="H813" s="26" t="s">
        <v>34</v>
      </c>
      <c r="I813" s="26" t="s">
        <v>51</v>
      </c>
      <c r="J813" s="26">
        <v>2.0</v>
      </c>
      <c r="K813" s="26" t="s">
        <v>3685</v>
      </c>
      <c r="L813" s="26" t="s">
        <v>15</v>
      </c>
      <c r="M813" s="26" t="s">
        <v>87</v>
      </c>
      <c r="N813" s="26" t="s">
        <v>307</v>
      </c>
      <c r="O813" s="26">
        <v>3.0</v>
      </c>
    </row>
    <row r="814" ht="15.75" customHeight="1">
      <c r="A814" s="26" t="s">
        <v>3686</v>
      </c>
      <c r="B814" s="26" t="s">
        <v>3687</v>
      </c>
      <c r="C814" s="26" t="s">
        <v>300</v>
      </c>
      <c r="D814" s="26" t="s">
        <v>45</v>
      </c>
      <c r="E814" s="26" t="s">
        <v>3688</v>
      </c>
      <c r="F814" s="26" t="s">
        <v>768</v>
      </c>
      <c r="G814" s="26" t="s">
        <v>183</v>
      </c>
      <c r="H814" s="26" t="s">
        <v>46</v>
      </c>
      <c r="I814" s="26"/>
      <c r="J814" s="26">
        <v>0.0</v>
      </c>
      <c r="K814" s="26" t="s">
        <v>3689</v>
      </c>
      <c r="L814" s="26" t="s">
        <v>15</v>
      </c>
      <c r="M814" s="26" t="s">
        <v>81</v>
      </c>
      <c r="N814" s="26" t="s">
        <v>307</v>
      </c>
      <c r="O814" s="26">
        <v>4.0</v>
      </c>
    </row>
    <row r="815" ht="15.75" customHeight="1">
      <c r="A815" s="26" t="s">
        <v>3690</v>
      </c>
      <c r="B815" s="26" t="s">
        <v>3691</v>
      </c>
      <c r="C815" s="26" t="s">
        <v>300</v>
      </c>
      <c r="D815" s="26" t="s">
        <v>48</v>
      </c>
      <c r="E815" s="26" t="s">
        <v>3692</v>
      </c>
      <c r="F815" s="26" t="s">
        <v>1014</v>
      </c>
      <c r="G815" s="26" t="s">
        <v>248</v>
      </c>
      <c r="H815" s="26" t="s">
        <v>46</v>
      </c>
      <c r="I815" s="26"/>
      <c r="J815" s="26">
        <v>1.0</v>
      </c>
      <c r="K815" s="26" t="s">
        <v>3693</v>
      </c>
      <c r="L815" s="26" t="s">
        <v>15</v>
      </c>
      <c r="M815" s="26" t="s">
        <v>81</v>
      </c>
      <c r="N815" s="26" t="s">
        <v>307</v>
      </c>
      <c r="O815" s="26">
        <v>3.0</v>
      </c>
    </row>
    <row r="816" ht="15.75" customHeight="1">
      <c r="A816" s="26" t="s">
        <v>3675</v>
      </c>
      <c r="B816" s="26" t="s">
        <v>3676</v>
      </c>
      <c r="C816" s="26" t="s">
        <v>300</v>
      </c>
      <c r="D816" s="26" t="s">
        <v>54</v>
      </c>
      <c r="E816" s="26" t="s">
        <v>3677</v>
      </c>
      <c r="F816" s="26" t="s">
        <v>432</v>
      </c>
      <c r="G816" s="26" t="s">
        <v>182</v>
      </c>
      <c r="H816" s="26" t="s">
        <v>34</v>
      </c>
      <c r="I816" s="26" t="s">
        <v>217</v>
      </c>
      <c r="J816" s="26">
        <v>3.0</v>
      </c>
      <c r="K816" s="26" t="s">
        <v>466</v>
      </c>
      <c r="L816" s="26" t="s">
        <v>29</v>
      </c>
      <c r="M816" s="26" t="s">
        <v>95</v>
      </c>
      <c r="N816" s="26" t="s">
        <v>307</v>
      </c>
      <c r="O816" s="26">
        <v>4.0</v>
      </c>
    </row>
    <row r="817" ht="15.75" customHeight="1">
      <c r="A817" s="26" t="s">
        <v>3694</v>
      </c>
      <c r="B817" s="26" t="s">
        <v>3695</v>
      </c>
      <c r="C817" s="26" t="s">
        <v>363</v>
      </c>
      <c r="D817" s="26" t="s">
        <v>69</v>
      </c>
      <c r="E817" s="26" t="s">
        <v>3696</v>
      </c>
      <c r="F817" s="26" t="s">
        <v>1422</v>
      </c>
      <c r="G817" s="26" t="s">
        <v>86</v>
      </c>
      <c r="H817" s="26" t="s">
        <v>34</v>
      </c>
      <c r="I817" s="26"/>
      <c r="J817" s="26">
        <v>1.0</v>
      </c>
      <c r="K817" s="26" t="s">
        <v>3697</v>
      </c>
      <c r="L817" s="26" t="s">
        <v>15</v>
      </c>
      <c r="M817" s="26" t="s">
        <v>81</v>
      </c>
      <c r="N817" s="26" t="s">
        <v>307</v>
      </c>
      <c r="O817" s="26">
        <v>4.0</v>
      </c>
    </row>
    <row r="818" ht="15.75" customHeight="1">
      <c r="A818" s="26" t="s">
        <v>3698</v>
      </c>
      <c r="B818" s="26" t="s">
        <v>3699</v>
      </c>
      <c r="C818" s="26"/>
      <c r="D818" s="26" t="s">
        <v>85</v>
      </c>
      <c r="E818" s="26" t="s">
        <v>3700</v>
      </c>
      <c r="F818" s="26" t="s">
        <v>599</v>
      </c>
      <c r="G818" s="26" t="s">
        <v>600</v>
      </c>
      <c r="H818" s="26" t="s">
        <v>46</v>
      </c>
      <c r="I818" s="26" t="s">
        <v>1369</v>
      </c>
      <c r="J818" s="26">
        <v>3.0</v>
      </c>
      <c r="K818" s="26" t="s">
        <v>3701</v>
      </c>
      <c r="L818" s="26" t="s">
        <v>19</v>
      </c>
      <c r="M818" s="26" t="s">
        <v>66</v>
      </c>
      <c r="N818" s="26" t="s">
        <v>307</v>
      </c>
      <c r="O818" s="26">
        <v>3.0</v>
      </c>
    </row>
    <row r="819" ht="15.75" customHeight="1">
      <c r="A819" s="26" t="s">
        <v>3702</v>
      </c>
      <c r="B819" s="26" t="s">
        <v>3703</v>
      </c>
      <c r="C819" s="26" t="s">
        <v>363</v>
      </c>
      <c r="D819" s="26" t="s">
        <v>36</v>
      </c>
      <c r="E819" s="26" t="s">
        <v>3704</v>
      </c>
      <c r="F819" s="26" t="s">
        <v>2381</v>
      </c>
      <c r="G819" s="26" t="s">
        <v>88</v>
      </c>
      <c r="H819" s="26" t="s">
        <v>46</v>
      </c>
      <c r="I819" s="26" t="s">
        <v>120</v>
      </c>
      <c r="J819" s="26">
        <v>2.0</v>
      </c>
      <c r="K819" s="26" t="s">
        <v>3705</v>
      </c>
      <c r="L819" s="26" t="s">
        <v>15</v>
      </c>
      <c r="M819" s="26" t="s">
        <v>81</v>
      </c>
      <c r="N819" s="26" t="s">
        <v>307</v>
      </c>
      <c r="O819" s="26">
        <v>2.0</v>
      </c>
    </row>
    <row r="820" ht="15.75" customHeight="1">
      <c r="A820" s="26" t="s">
        <v>3706</v>
      </c>
      <c r="B820" s="26" t="s">
        <v>3707</v>
      </c>
      <c r="C820" s="26" t="s">
        <v>429</v>
      </c>
      <c r="D820" s="26" t="s">
        <v>50</v>
      </c>
      <c r="E820" s="26" t="s">
        <v>693</v>
      </c>
      <c r="F820" s="26" t="s">
        <v>720</v>
      </c>
      <c r="G820" s="26" t="s">
        <v>548</v>
      </c>
      <c r="H820" s="26" t="s">
        <v>46</v>
      </c>
      <c r="I820" s="26"/>
      <c r="J820" s="26">
        <v>1.0</v>
      </c>
      <c r="K820" s="26" t="s">
        <v>694</v>
      </c>
      <c r="L820" s="26" t="s">
        <v>19</v>
      </c>
      <c r="M820" s="26" t="s">
        <v>87</v>
      </c>
      <c r="N820" s="26" t="s">
        <v>307</v>
      </c>
      <c r="O820" s="26">
        <v>3.0</v>
      </c>
    </row>
    <row r="821" ht="15.75" customHeight="1">
      <c r="A821" s="26" t="s">
        <v>3708</v>
      </c>
      <c r="B821" s="26" t="s">
        <v>3709</v>
      </c>
      <c r="C821" s="26" t="s">
        <v>363</v>
      </c>
      <c r="D821" s="26" t="s">
        <v>85</v>
      </c>
      <c r="E821" s="26" t="s">
        <v>3710</v>
      </c>
      <c r="F821" s="26" t="s">
        <v>698</v>
      </c>
      <c r="G821" s="26" t="s">
        <v>102</v>
      </c>
      <c r="H821" s="26" t="s">
        <v>53</v>
      </c>
      <c r="I821" s="26" t="s">
        <v>1990</v>
      </c>
      <c r="J821" s="26">
        <v>2.0</v>
      </c>
      <c r="K821" s="26" t="s">
        <v>3711</v>
      </c>
      <c r="L821" s="26" t="s">
        <v>15</v>
      </c>
      <c r="M821" s="26" t="s">
        <v>81</v>
      </c>
      <c r="N821" s="26" t="s">
        <v>307</v>
      </c>
      <c r="O821" s="26">
        <v>2.0</v>
      </c>
    </row>
    <row r="822" ht="15.75" customHeight="1">
      <c r="A822" s="26" t="s">
        <v>3712</v>
      </c>
      <c r="B822" s="26" t="s">
        <v>3713</v>
      </c>
      <c r="C822" s="26" t="s">
        <v>429</v>
      </c>
      <c r="D822" s="26" t="s">
        <v>62</v>
      </c>
      <c r="E822" s="26" t="s">
        <v>961</v>
      </c>
      <c r="F822" s="26" t="s">
        <v>3267</v>
      </c>
      <c r="G822" s="26" t="s">
        <v>940</v>
      </c>
      <c r="H822" s="26" t="s">
        <v>61</v>
      </c>
      <c r="I822" s="26"/>
      <c r="J822" s="26">
        <v>1.0</v>
      </c>
      <c r="K822" s="26" t="s">
        <v>963</v>
      </c>
      <c r="L822" s="26" t="s">
        <v>29</v>
      </c>
      <c r="M822" s="26" t="s">
        <v>95</v>
      </c>
      <c r="N822" s="26" t="s">
        <v>307</v>
      </c>
      <c r="O822" s="26">
        <v>4.0</v>
      </c>
    </row>
    <row r="823" ht="15.75" customHeight="1">
      <c r="A823" s="26" t="s">
        <v>3714</v>
      </c>
      <c r="B823" s="26" t="s">
        <v>3715</v>
      </c>
      <c r="C823" s="26" t="s">
        <v>363</v>
      </c>
      <c r="D823" s="26" t="s">
        <v>45</v>
      </c>
      <c r="E823" s="26" t="s">
        <v>3716</v>
      </c>
      <c r="F823" s="26" t="s">
        <v>303</v>
      </c>
      <c r="G823" s="26" t="s">
        <v>140</v>
      </c>
      <c r="H823" s="26" t="s">
        <v>34</v>
      </c>
      <c r="I823" s="26" t="s">
        <v>166</v>
      </c>
      <c r="J823" s="26">
        <v>3.0</v>
      </c>
      <c r="K823" s="26" t="s">
        <v>199</v>
      </c>
      <c r="L823" s="26" t="s">
        <v>29</v>
      </c>
      <c r="M823" s="26" t="s">
        <v>95</v>
      </c>
      <c r="N823" s="26" t="s">
        <v>307</v>
      </c>
      <c r="O823" s="26">
        <v>3.0</v>
      </c>
    </row>
    <row r="824" ht="15.75" customHeight="1">
      <c r="A824" s="26" t="s">
        <v>3717</v>
      </c>
      <c r="B824" s="26" t="s">
        <v>3718</v>
      </c>
      <c r="C824" s="26" t="s">
        <v>363</v>
      </c>
      <c r="D824" s="26" t="s">
        <v>69</v>
      </c>
      <c r="E824" s="26" t="s">
        <v>1030</v>
      </c>
      <c r="F824" s="26" t="s">
        <v>1422</v>
      </c>
      <c r="G824" s="26" t="s">
        <v>86</v>
      </c>
      <c r="H824" s="26" t="s">
        <v>34</v>
      </c>
      <c r="I824" s="26"/>
      <c r="J824" s="26">
        <v>1.0</v>
      </c>
      <c r="K824" s="26" t="s">
        <v>1031</v>
      </c>
      <c r="L824" s="26" t="s">
        <v>15</v>
      </c>
      <c r="M824" s="26" t="s">
        <v>81</v>
      </c>
      <c r="N824" s="26" t="s">
        <v>307</v>
      </c>
      <c r="O824" s="26">
        <v>5.0</v>
      </c>
    </row>
    <row r="825" ht="15.75" customHeight="1">
      <c r="A825" s="26" t="s">
        <v>3719</v>
      </c>
      <c r="B825" s="26" t="s">
        <v>3720</v>
      </c>
      <c r="C825" s="26" t="s">
        <v>429</v>
      </c>
      <c r="D825" s="26" t="s">
        <v>45</v>
      </c>
      <c r="E825" s="26" t="s">
        <v>3721</v>
      </c>
      <c r="F825" s="26" t="s">
        <v>799</v>
      </c>
      <c r="G825" s="26" t="s">
        <v>130</v>
      </c>
      <c r="H825" s="26" t="s">
        <v>34</v>
      </c>
      <c r="I825" s="26" t="s">
        <v>140</v>
      </c>
      <c r="J825" s="26">
        <v>4.0</v>
      </c>
      <c r="K825" s="26" t="s">
        <v>3722</v>
      </c>
      <c r="L825" s="26" t="s">
        <v>15</v>
      </c>
      <c r="M825" s="26" t="s">
        <v>87</v>
      </c>
      <c r="N825" s="26" t="s">
        <v>307</v>
      </c>
      <c r="O825" s="26">
        <v>4.0</v>
      </c>
    </row>
    <row r="826" ht="15.75" customHeight="1">
      <c r="A826" s="26" t="s">
        <v>3723</v>
      </c>
      <c r="B826" s="26" t="s">
        <v>3724</v>
      </c>
      <c r="C826" s="26" t="s">
        <v>300</v>
      </c>
      <c r="D826" s="26" t="s">
        <v>45</v>
      </c>
      <c r="E826" s="26" t="s">
        <v>3725</v>
      </c>
      <c r="F826" s="26" t="s">
        <v>2435</v>
      </c>
      <c r="G826" s="26" t="s">
        <v>196</v>
      </c>
      <c r="H826" s="26" t="s">
        <v>52</v>
      </c>
      <c r="I826" s="26"/>
      <c r="J826" s="26">
        <v>1.0</v>
      </c>
      <c r="K826" s="26" t="s">
        <v>199</v>
      </c>
      <c r="L826" s="26" t="s">
        <v>29</v>
      </c>
      <c r="M826" s="26" t="s">
        <v>95</v>
      </c>
      <c r="N826" s="26" t="s">
        <v>307</v>
      </c>
      <c r="O826" s="26">
        <v>3.0</v>
      </c>
    </row>
    <row r="827" ht="15.75" customHeight="1">
      <c r="A827" s="26" t="s">
        <v>3726</v>
      </c>
      <c r="B827" s="26" t="s">
        <v>3727</v>
      </c>
      <c r="C827" s="26" t="s">
        <v>3588</v>
      </c>
      <c r="D827" s="26" t="s">
        <v>62</v>
      </c>
      <c r="E827" s="26" t="s">
        <v>1000</v>
      </c>
      <c r="F827" s="26" t="s">
        <v>3728</v>
      </c>
      <c r="G827" s="26" t="s">
        <v>110</v>
      </c>
      <c r="H827" s="26" t="s">
        <v>71</v>
      </c>
      <c r="I827" s="26"/>
      <c r="J827" s="26">
        <v>1.0</v>
      </c>
      <c r="K827" s="26" t="s">
        <v>885</v>
      </c>
      <c r="L827" s="26" t="s">
        <v>29</v>
      </c>
      <c r="M827" s="26" t="s">
        <v>95</v>
      </c>
      <c r="N827" s="26" t="s">
        <v>307</v>
      </c>
      <c r="O827" s="26">
        <v>2.0</v>
      </c>
    </row>
    <row r="828" ht="15.75" customHeight="1">
      <c r="A828" s="26" t="s">
        <v>3729</v>
      </c>
      <c r="B828" s="26" t="s">
        <v>3730</v>
      </c>
      <c r="C828" s="26" t="s">
        <v>300</v>
      </c>
      <c r="D828" s="26" t="s">
        <v>36</v>
      </c>
      <c r="E828" s="26" t="s">
        <v>198</v>
      </c>
      <c r="F828" s="26" t="s">
        <v>485</v>
      </c>
      <c r="G828" s="26" t="s">
        <v>92</v>
      </c>
      <c r="H828" s="26" t="s">
        <v>52</v>
      </c>
      <c r="I828" s="26" t="s">
        <v>120</v>
      </c>
      <c r="J828" s="26">
        <v>2.0</v>
      </c>
      <c r="K828" s="26" t="s">
        <v>199</v>
      </c>
      <c r="L828" s="26" t="s">
        <v>29</v>
      </c>
      <c r="M828" s="26" t="s">
        <v>95</v>
      </c>
      <c r="N828" s="26" t="s">
        <v>307</v>
      </c>
      <c r="O828" s="26"/>
    </row>
    <row r="829" ht="15.75" customHeight="1">
      <c r="A829" s="26" t="s">
        <v>3731</v>
      </c>
      <c r="B829" s="26" t="s">
        <v>3732</v>
      </c>
      <c r="C829" s="26" t="s">
        <v>363</v>
      </c>
      <c r="D829" s="26" t="s">
        <v>59</v>
      </c>
      <c r="E829" s="26" t="s">
        <v>3733</v>
      </c>
      <c r="F829" s="26" t="s">
        <v>423</v>
      </c>
      <c r="G829" s="26" t="s">
        <v>117</v>
      </c>
      <c r="H829" s="26" t="s">
        <v>34</v>
      </c>
      <c r="I829" s="26" t="s">
        <v>113</v>
      </c>
      <c r="J829" s="26">
        <v>4.0</v>
      </c>
      <c r="K829" s="26" t="s">
        <v>136</v>
      </c>
      <c r="L829" s="26" t="s">
        <v>29</v>
      </c>
      <c r="M829" s="26" t="s">
        <v>95</v>
      </c>
      <c r="N829" s="26" t="s">
        <v>307</v>
      </c>
      <c r="O829" s="26">
        <v>3.0</v>
      </c>
    </row>
    <row r="830" ht="15.75" customHeight="1">
      <c r="A830" s="26" t="s">
        <v>3734</v>
      </c>
      <c r="B830" s="26" t="s">
        <v>3735</v>
      </c>
      <c r="C830" s="26" t="s">
        <v>312</v>
      </c>
      <c r="D830" s="26" t="s">
        <v>54</v>
      </c>
      <c r="E830" s="26" t="s">
        <v>3736</v>
      </c>
      <c r="F830" s="26" t="s">
        <v>347</v>
      </c>
      <c r="G830" s="26" t="s">
        <v>99</v>
      </c>
      <c r="H830" s="26" t="s">
        <v>49</v>
      </c>
      <c r="I830" s="26" t="s">
        <v>572</v>
      </c>
      <c r="J830" s="26">
        <v>3.0</v>
      </c>
      <c r="K830" s="26" t="s">
        <v>136</v>
      </c>
      <c r="L830" s="26" t="s">
        <v>29</v>
      </c>
      <c r="M830" s="26" t="s">
        <v>95</v>
      </c>
      <c r="N830" s="26" t="s">
        <v>307</v>
      </c>
      <c r="O830" s="26">
        <v>2.0</v>
      </c>
    </row>
    <row r="831" ht="15.75" customHeight="1">
      <c r="A831" s="26" t="s">
        <v>3737</v>
      </c>
      <c r="B831" s="26" t="s">
        <v>3738</v>
      </c>
      <c r="C831" s="26" t="s">
        <v>429</v>
      </c>
      <c r="D831" s="26" t="s">
        <v>45</v>
      </c>
      <c r="E831" s="26" t="s">
        <v>3739</v>
      </c>
      <c r="F831" s="26" t="s">
        <v>1237</v>
      </c>
      <c r="G831" s="26" t="s">
        <v>166</v>
      </c>
      <c r="H831" s="26" t="s">
        <v>46</v>
      </c>
      <c r="I831" s="26" t="s">
        <v>169</v>
      </c>
      <c r="J831" s="26">
        <v>3.0</v>
      </c>
      <c r="K831" s="26" t="s">
        <v>3740</v>
      </c>
      <c r="L831" s="26" t="s">
        <v>15</v>
      </c>
      <c r="M831" s="26" t="s">
        <v>81</v>
      </c>
      <c r="N831" s="26" t="s">
        <v>307</v>
      </c>
      <c r="O831" s="26">
        <v>2.0</v>
      </c>
    </row>
    <row r="832" ht="15.75" customHeight="1">
      <c r="A832" s="26" t="s">
        <v>3741</v>
      </c>
      <c r="B832" s="26" t="s">
        <v>3742</v>
      </c>
      <c r="C832" s="26" t="s">
        <v>312</v>
      </c>
      <c r="D832" s="26" t="s">
        <v>36</v>
      </c>
      <c r="E832" s="26" t="s">
        <v>3743</v>
      </c>
      <c r="F832" s="26" t="s">
        <v>1583</v>
      </c>
      <c r="G832" s="26" t="s">
        <v>73</v>
      </c>
      <c r="H832" s="26" t="s">
        <v>46</v>
      </c>
      <c r="I832" s="26"/>
      <c r="J832" s="26">
        <v>1.0</v>
      </c>
      <c r="K832" s="26" t="s">
        <v>3744</v>
      </c>
      <c r="L832" s="26" t="s">
        <v>15</v>
      </c>
      <c r="M832" s="26" t="s">
        <v>81</v>
      </c>
      <c r="N832" s="26" t="s">
        <v>307</v>
      </c>
      <c r="O832" s="26">
        <v>4.0</v>
      </c>
    </row>
    <row r="833" ht="15.75" customHeight="1">
      <c r="A833" s="26" t="s">
        <v>3745</v>
      </c>
      <c r="B833" s="26" t="s">
        <v>3746</v>
      </c>
      <c r="C833" s="26" t="s">
        <v>312</v>
      </c>
      <c r="D833" s="26" t="s">
        <v>36</v>
      </c>
      <c r="E833" s="26" t="s">
        <v>3747</v>
      </c>
      <c r="F833" s="26" t="s">
        <v>315</v>
      </c>
      <c r="G833" s="26" t="s">
        <v>47</v>
      </c>
      <c r="H833" s="26" t="s">
        <v>34</v>
      </c>
      <c r="I833" s="26" t="s">
        <v>88</v>
      </c>
      <c r="J833" s="26">
        <v>3.0</v>
      </c>
      <c r="K833" s="26" t="s">
        <v>136</v>
      </c>
      <c r="L833" s="26" t="s">
        <v>29</v>
      </c>
      <c r="M833" s="26" t="s">
        <v>95</v>
      </c>
      <c r="N833" s="26" t="s">
        <v>307</v>
      </c>
      <c r="O833" s="26">
        <v>4.0</v>
      </c>
    </row>
    <row r="834" ht="15.75" customHeight="1">
      <c r="A834" s="26" t="s">
        <v>3748</v>
      </c>
      <c r="B834" s="26" t="s">
        <v>3749</v>
      </c>
      <c r="C834" s="26" t="s">
        <v>363</v>
      </c>
      <c r="D834" s="26" t="s">
        <v>36</v>
      </c>
      <c r="E834" s="26" t="s">
        <v>251</v>
      </c>
      <c r="F834" s="26" t="s">
        <v>3750</v>
      </c>
      <c r="G834" s="26" t="s">
        <v>120</v>
      </c>
      <c r="H834" s="26" t="s">
        <v>46</v>
      </c>
      <c r="I834" s="26"/>
      <c r="J834" s="26">
        <v>1.0</v>
      </c>
      <c r="K834" s="26" t="s">
        <v>252</v>
      </c>
      <c r="L834" s="26" t="s">
        <v>15</v>
      </c>
      <c r="M834" s="26" t="s">
        <v>81</v>
      </c>
      <c r="N834" s="26" t="s">
        <v>307</v>
      </c>
      <c r="O834" s="26">
        <v>4.0</v>
      </c>
    </row>
    <row r="835" ht="15.75" customHeight="1">
      <c r="A835" s="26" t="s">
        <v>3751</v>
      </c>
      <c r="B835" s="26" t="s">
        <v>3752</v>
      </c>
      <c r="C835" s="26" t="s">
        <v>363</v>
      </c>
      <c r="D835" s="26" t="s">
        <v>69</v>
      </c>
      <c r="E835" s="26" t="s">
        <v>3753</v>
      </c>
      <c r="F835" s="26" t="s">
        <v>440</v>
      </c>
      <c r="G835" s="26" t="s">
        <v>83</v>
      </c>
      <c r="H835" s="26" t="s">
        <v>46</v>
      </c>
      <c r="I835" s="26"/>
      <c r="J835" s="26">
        <v>1.0</v>
      </c>
      <c r="K835" s="26" t="s">
        <v>491</v>
      </c>
      <c r="L835" s="26" t="s">
        <v>29</v>
      </c>
      <c r="M835" s="26" t="s">
        <v>95</v>
      </c>
      <c r="N835" s="26" t="s">
        <v>307</v>
      </c>
      <c r="O835" s="26">
        <v>3.0</v>
      </c>
    </row>
    <row r="836" ht="15.75" customHeight="1">
      <c r="A836" s="26" t="s">
        <v>3754</v>
      </c>
      <c r="B836" s="26" t="s">
        <v>3755</v>
      </c>
      <c r="C836" s="26" t="s">
        <v>363</v>
      </c>
      <c r="D836" s="26" t="s">
        <v>54</v>
      </c>
      <c r="E836" s="26" t="s">
        <v>3756</v>
      </c>
      <c r="F836" s="26" t="s">
        <v>432</v>
      </c>
      <c r="G836" s="26" t="s">
        <v>182</v>
      </c>
      <c r="H836" s="26" t="s">
        <v>34</v>
      </c>
      <c r="I836" s="26" t="s">
        <v>99</v>
      </c>
      <c r="J836" s="26">
        <v>3.0</v>
      </c>
      <c r="K836" s="26" t="s">
        <v>3757</v>
      </c>
      <c r="L836" s="26" t="s">
        <v>19</v>
      </c>
      <c r="M836" s="26" t="s">
        <v>66</v>
      </c>
      <c r="N836" s="26" t="s">
        <v>307</v>
      </c>
      <c r="O836" s="26">
        <v>3.0</v>
      </c>
    </row>
    <row r="837" ht="15.75" customHeight="1">
      <c r="A837" s="26" t="s">
        <v>3751</v>
      </c>
      <c r="B837" s="26" t="s">
        <v>3752</v>
      </c>
      <c r="C837" s="26" t="s">
        <v>363</v>
      </c>
      <c r="D837" s="26" t="s">
        <v>69</v>
      </c>
      <c r="E837" s="26" t="s">
        <v>3753</v>
      </c>
      <c r="F837" s="26" t="s">
        <v>440</v>
      </c>
      <c r="G837" s="26" t="s">
        <v>83</v>
      </c>
      <c r="H837" s="26" t="s">
        <v>46</v>
      </c>
      <c r="I837" s="26"/>
      <c r="J837" s="26">
        <v>1.0</v>
      </c>
      <c r="K837" s="26" t="s">
        <v>3758</v>
      </c>
      <c r="L837" s="26" t="s">
        <v>19</v>
      </c>
      <c r="M837" s="26" t="s">
        <v>87</v>
      </c>
      <c r="N837" s="26" t="s">
        <v>307</v>
      </c>
      <c r="O837" s="26">
        <v>3.0</v>
      </c>
    </row>
    <row r="838" ht="15.75" customHeight="1">
      <c r="A838" s="26" t="s">
        <v>3759</v>
      </c>
      <c r="B838" s="26" t="s">
        <v>3760</v>
      </c>
      <c r="C838" s="26" t="s">
        <v>363</v>
      </c>
      <c r="D838" s="26" t="s">
        <v>62</v>
      </c>
      <c r="E838" s="26" t="s">
        <v>3761</v>
      </c>
      <c r="F838" s="26" t="s">
        <v>2273</v>
      </c>
      <c r="G838" s="26" t="s">
        <v>261</v>
      </c>
      <c r="H838" s="26" t="s">
        <v>46</v>
      </c>
      <c r="I838" s="26"/>
      <c r="J838" s="26">
        <v>1.0</v>
      </c>
      <c r="K838" s="26" t="s">
        <v>3762</v>
      </c>
      <c r="L838" s="26" t="s">
        <v>15</v>
      </c>
      <c r="M838" s="26" t="s">
        <v>81</v>
      </c>
      <c r="N838" s="26" t="s">
        <v>307</v>
      </c>
      <c r="O838" s="26">
        <v>4.0</v>
      </c>
    </row>
    <row r="839" ht="15.75" customHeight="1">
      <c r="A839" s="26" t="s">
        <v>3763</v>
      </c>
      <c r="B839" s="26" t="s">
        <v>3764</v>
      </c>
      <c r="C839" s="26" t="s">
        <v>300</v>
      </c>
      <c r="D839" s="26" t="s">
        <v>59</v>
      </c>
      <c r="E839" s="26" t="s">
        <v>198</v>
      </c>
      <c r="F839" s="26" t="s">
        <v>1125</v>
      </c>
      <c r="G839" s="26" t="s">
        <v>113</v>
      </c>
      <c r="H839" s="26" t="s">
        <v>49</v>
      </c>
      <c r="I839" s="26" t="s">
        <v>373</v>
      </c>
      <c r="J839" s="26">
        <v>2.0</v>
      </c>
      <c r="K839" s="26" t="s">
        <v>199</v>
      </c>
      <c r="L839" s="26" t="s">
        <v>29</v>
      </c>
      <c r="M839" s="26" t="s">
        <v>95</v>
      </c>
      <c r="N839" s="26" t="s">
        <v>307</v>
      </c>
      <c r="O839" s="26">
        <v>4.0</v>
      </c>
    </row>
    <row r="840" ht="15.75" customHeight="1">
      <c r="A840" s="26" t="s">
        <v>3765</v>
      </c>
      <c r="B840" s="26" t="s">
        <v>3766</v>
      </c>
      <c r="C840" s="26" t="s">
        <v>363</v>
      </c>
      <c r="D840" s="26" t="s">
        <v>59</v>
      </c>
      <c r="E840" s="26" t="s">
        <v>3767</v>
      </c>
      <c r="F840" s="26" t="s">
        <v>1125</v>
      </c>
      <c r="G840" s="26" t="s">
        <v>113</v>
      </c>
      <c r="H840" s="26" t="s">
        <v>49</v>
      </c>
      <c r="I840" s="26" t="s">
        <v>373</v>
      </c>
      <c r="J840" s="26">
        <v>2.0</v>
      </c>
      <c r="K840" s="26" t="s">
        <v>199</v>
      </c>
      <c r="L840" s="26" t="s">
        <v>29</v>
      </c>
      <c r="M840" s="26" t="s">
        <v>95</v>
      </c>
      <c r="N840" s="26" t="s">
        <v>307</v>
      </c>
      <c r="O840" s="26">
        <v>4.0</v>
      </c>
    </row>
    <row r="841" ht="15.75" customHeight="1">
      <c r="A841" s="26" t="s">
        <v>3768</v>
      </c>
      <c r="B841" s="26" t="s">
        <v>3769</v>
      </c>
      <c r="C841" s="26" t="s">
        <v>363</v>
      </c>
      <c r="D841" s="26" t="s">
        <v>36</v>
      </c>
      <c r="E841" s="26" t="s">
        <v>3770</v>
      </c>
      <c r="F841" s="26" t="s">
        <v>663</v>
      </c>
      <c r="G841" s="26" t="s">
        <v>44</v>
      </c>
      <c r="H841" s="26" t="s">
        <v>34</v>
      </c>
      <c r="I841" s="26" t="s">
        <v>82</v>
      </c>
      <c r="J841" s="26">
        <v>2.0</v>
      </c>
      <c r="K841" s="26" t="s">
        <v>199</v>
      </c>
      <c r="L841" s="26" t="s">
        <v>29</v>
      </c>
      <c r="M841" s="26" t="s">
        <v>95</v>
      </c>
      <c r="N841" s="26" t="s">
        <v>307</v>
      </c>
      <c r="O841" s="26">
        <v>3.0</v>
      </c>
    </row>
    <row r="842" ht="15.75" customHeight="1">
      <c r="A842" s="26" t="s">
        <v>3771</v>
      </c>
      <c r="B842" s="26" t="s">
        <v>3772</v>
      </c>
      <c r="C842" s="26" t="s">
        <v>363</v>
      </c>
      <c r="D842" s="26" t="s">
        <v>76</v>
      </c>
      <c r="E842" s="26" t="s">
        <v>1231</v>
      </c>
      <c r="F842" s="26" t="s">
        <v>2429</v>
      </c>
      <c r="G842" s="26" t="s">
        <v>1230</v>
      </c>
      <c r="H842" s="26" t="s">
        <v>46</v>
      </c>
      <c r="I842" s="26"/>
      <c r="J842" s="26">
        <v>0.0</v>
      </c>
      <c r="K842" s="26" t="s">
        <v>1229</v>
      </c>
      <c r="L842" s="26" t="s">
        <v>23</v>
      </c>
      <c r="M842" s="26" t="s">
        <v>94</v>
      </c>
      <c r="N842" s="26" t="s">
        <v>307</v>
      </c>
      <c r="O842" s="26">
        <v>4.0</v>
      </c>
    </row>
    <row r="843" ht="15.75" customHeight="1">
      <c r="A843" s="26" t="s">
        <v>3773</v>
      </c>
      <c r="B843" s="26" t="s">
        <v>3774</v>
      </c>
      <c r="C843" s="26" t="s">
        <v>312</v>
      </c>
      <c r="D843" s="26" t="s">
        <v>76</v>
      </c>
      <c r="E843" s="26" t="s">
        <v>1227</v>
      </c>
      <c r="F843" s="26" t="s">
        <v>2306</v>
      </c>
      <c r="G843" s="26" t="s">
        <v>1218</v>
      </c>
      <c r="H843" s="26" t="s">
        <v>34</v>
      </c>
      <c r="I843" s="26" t="s">
        <v>1205</v>
      </c>
      <c r="J843" s="26">
        <v>2.0</v>
      </c>
      <c r="K843" s="26" t="s">
        <v>1229</v>
      </c>
      <c r="L843" s="26" t="s">
        <v>23</v>
      </c>
      <c r="M843" s="26" t="s">
        <v>94</v>
      </c>
      <c r="N843" s="26" t="s">
        <v>307</v>
      </c>
      <c r="O843" s="26">
        <v>4.0</v>
      </c>
    </row>
    <row r="844" ht="15.75" customHeight="1">
      <c r="A844" s="26" t="s">
        <v>3775</v>
      </c>
      <c r="B844" s="26" t="s">
        <v>3776</v>
      </c>
      <c r="C844" s="26" t="s">
        <v>300</v>
      </c>
      <c r="D844" s="26" t="s">
        <v>54</v>
      </c>
      <c r="E844" s="26" t="s">
        <v>3777</v>
      </c>
      <c r="F844" s="26" t="s">
        <v>1575</v>
      </c>
      <c r="G844" s="26" t="s">
        <v>572</v>
      </c>
      <c r="H844" s="26" t="s">
        <v>46</v>
      </c>
      <c r="I844" s="26"/>
      <c r="J844" s="26">
        <v>1.0</v>
      </c>
      <c r="K844" s="26" t="s">
        <v>3778</v>
      </c>
      <c r="L844" s="26" t="s">
        <v>15</v>
      </c>
      <c r="M844" s="26" t="s">
        <v>81</v>
      </c>
      <c r="N844" s="26" t="s">
        <v>307</v>
      </c>
      <c r="O844" s="26">
        <v>3.0</v>
      </c>
    </row>
    <row r="845" ht="15.75" customHeight="1">
      <c r="A845" s="26" t="s">
        <v>3779</v>
      </c>
      <c r="B845" s="26" t="s">
        <v>3780</v>
      </c>
      <c r="C845" s="26" t="s">
        <v>300</v>
      </c>
      <c r="D845" s="26" t="s">
        <v>93</v>
      </c>
      <c r="E845" s="26" t="s">
        <v>1405</v>
      </c>
      <c r="F845" s="26" t="s">
        <v>1826</v>
      </c>
      <c r="G845" s="26" t="s">
        <v>1404</v>
      </c>
      <c r="H845" s="26" t="s">
        <v>34</v>
      </c>
      <c r="I845" s="26"/>
      <c r="J845" s="26">
        <v>1.0</v>
      </c>
      <c r="K845" s="26" t="s">
        <v>1406</v>
      </c>
      <c r="L845" s="26" t="s">
        <v>15</v>
      </c>
      <c r="M845" s="26" t="s">
        <v>81</v>
      </c>
      <c r="N845" s="26" t="s">
        <v>307</v>
      </c>
      <c r="O845" s="26">
        <v>3.0</v>
      </c>
    </row>
    <row r="846" ht="15.75" customHeight="1">
      <c r="A846" s="26" t="s">
        <v>3781</v>
      </c>
      <c r="B846" s="26" t="s">
        <v>3782</v>
      </c>
      <c r="C846" s="26" t="s">
        <v>322</v>
      </c>
      <c r="D846" s="26" t="s">
        <v>48</v>
      </c>
      <c r="E846" s="26" t="s">
        <v>462</v>
      </c>
      <c r="F846" s="26" t="s">
        <v>834</v>
      </c>
      <c r="G846" s="26" t="s">
        <v>267</v>
      </c>
      <c r="H846" s="26" t="s">
        <v>34</v>
      </c>
      <c r="I846" s="26"/>
      <c r="J846" s="26">
        <v>1.0</v>
      </c>
      <c r="K846" s="26" t="s">
        <v>464</v>
      </c>
      <c r="L846" s="26" t="s">
        <v>15</v>
      </c>
      <c r="M846" s="26" t="s">
        <v>81</v>
      </c>
      <c r="N846" s="26" t="s">
        <v>307</v>
      </c>
      <c r="O846" s="26">
        <v>4.0</v>
      </c>
    </row>
    <row r="847" ht="15.75" customHeight="1">
      <c r="A847" s="26" t="s">
        <v>3783</v>
      </c>
      <c r="B847" s="26" t="s">
        <v>3784</v>
      </c>
      <c r="C847" s="26" t="s">
        <v>429</v>
      </c>
      <c r="D847" s="26" t="s">
        <v>72</v>
      </c>
      <c r="E847" s="26" t="s">
        <v>1185</v>
      </c>
      <c r="F847" s="26" t="s">
        <v>3785</v>
      </c>
      <c r="G847" s="26" t="s">
        <v>1184</v>
      </c>
      <c r="H847" s="26" t="s">
        <v>46</v>
      </c>
      <c r="I847" s="26" t="s">
        <v>1143</v>
      </c>
      <c r="J847" s="26">
        <v>2.0</v>
      </c>
      <c r="K847" s="26" t="s">
        <v>1186</v>
      </c>
      <c r="L847" s="26" t="s">
        <v>15</v>
      </c>
      <c r="M847" s="26" t="s">
        <v>81</v>
      </c>
      <c r="N847" s="26" t="s">
        <v>307</v>
      </c>
      <c r="O847" s="26">
        <v>3.0</v>
      </c>
    </row>
    <row r="848" ht="15.75" customHeight="1">
      <c r="A848" s="26" t="s">
        <v>3786</v>
      </c>
      <c r="B848" s="26" t="s">
        <v>3787</v>
      </c>
      <c r="C848" s="26" t="s">
        <v>300</v>
      </c>
      <c r="D848" s="26" t="s">
        <v>69</v>
      </c>
      <c r="E848" s="26" t="s">
        <v>3788</v>
      </c>
      <c r="F848" s="26" t="s">
        <v>2870</v>
      </c>
      <c r="G848" s="26" t="s">
        <v>115</v>
      </c>
      <c r="H848" s="26" t="s">
        <v>53</v>
      </c>
      <c r="I848" s="26"/>
      <c r="J848" s="26">
        <v>1.0</v>
      </c>
      <c r="K848" s="26" t="s">
        <v>3789</v>
      </c>
      <c r="L848" s="26" t="s">
        <v>15</v>
      </c>
      <c r="M848" s="26" t="s">
        <v>81</v>
      </c>
      <c r="N848" s="26" t="s">
        <v>307</v>
      </c>
      <c r="O848" s="26">
        <v>3.0</v>
      </c>
    </row>
    <row r="849" ht="15.75" customHeight="1">
      <c r="A849" s="26" t="s">
        <v>3790</v>
      </c>
      <c r="B849" s="26" t="s">
        <v>3791</v>
      </c>
      <c r="C849" s="26" t="s">
        <v>363</v>
      </c>
      <c r="D849" s="26" t="s">
        <v>45</v>
      </c>
      <c r="E849" s="26" t="s">
        <v>3792</v>
      </c>
      <c r="F849" s="26" t="s">
        <v>799</v>
      </c>
      <c r="G849" s="26" t="s">
        <v>130</v>
      </c>
      <c r="H849" s="26" t="s">
        <v>34</v>
      </c>
      <c r="I849" s="26" t="s">
        <v>82</v>
      </c>
      <c r="J849" s="26">
        <v>2.0</v>
      </c>
      <c r="K849" s="26" t="s">
        <v>3793</v>
      </c>
      <c r="L849" s="26" t="s">
        <v>15</v>
      </c>
      <c r="M849" s="26" t="s">
        <v>81</v>
      </c>
      <c r="N849" s="26" t="s">
        <v>307</v>
      </c>
      <c r="O849" s="26">
        <v>3.0</v>
      </c>
    </row>
    <row r="850" ht="15.75" customHeight="1">
      <c r="A850" s="26" t="s">
        <v>3794</v>
      </c>
      <c r="B850" s="26" t="s">
        <v>3795</v>
      </c>
      <c r="C850" s="26" t="s">
        <v>300</v>
      </c>
      <c r="D850" s="26" t="s">
        <v>59</v>
      </c>
      <c r="E850" s="26" t="s">
        <v>3796</v>
      </c>
      <c r="F850" s="26" t="s">
        <v>372</v>
      </c>
      <c r="G850" s="26" t="s">
        <v>373</v>
      </c>
      <c r="H850" s="26" t="s">
        <v>34</v>
      </c>
      <c r="I850" s="26"/>
      <c r="J850" s="26">
        <v>1.0</v>
      </c>
      <c r="K850" s="26" t="s">
        <v>199</v>
      </c>
      <c r="L850" s="26" t="s">
        <v>29</v>
      </c>
      <c r="M850" s="26" t="s">
        <v>95</v>
      </c>
      <c r="N850" s="26" t="s">
        <v>307</v>
      </c>
      <c r="O850" s="26">
        <v>3.0</v>
      </c>
    </row>
    <row r="851" ht="15.75" customHeight="1">
      <c r="A851" s="26" t="s">
        <v>3797</v>
      </c>
      <c r="B851" s="26" t="s">
        <v>3798</v>
      </c>
      <c r="C851" s="26" t="s">
        <v>363</v>
      </c>
      <c r="D851" s="26" t="s">
        <v>59</v>
      </c>
      <c r="E851" s="26" t="s">
        <v>860</v>
      </c>
      <c r="F851" s="26" t="s">
        <v>423</v>
      </c>
      <c r="G851" s="26" t="s">
        <v>117</v>
      </c>
      <c r="H851" s="26" t="s">
        <v>34</v>
      </c>
      <c r="I851" s="26"/>
      <c r="J851" s="26">
        <v>1.0</v>
      </c>
      <c r="K851" s="26" t="s">
        <v>199</v>
      </c>
      <c r="L851" s="26" t="s">
        <v>29</v>
      </c>
      <c r="M851" s="26" t="s">
        <v>95</v>
      </c>
      <c r="N851" s="26" t="s">
        <v>307</v>
      </c>
      <c r="O851" s="26">
        <v>3.0</v>
      </c>
    </row>
    <row r="852" ht="15.75" customHeight="1">
      <c r="A852" s="26" t="s">
        <v>3799</v>
      </c>
      <c r="B852" s="26" t="s">
        <v>3800</v>
      </c>
      <c r="C852" s="26" t="s">
        <v>363</v>
      </c>
      <c r="D852" s="26" t="s">
        <v>62</v>
      </c>
      <c r="E852" s="26" t="s">
        <v>969</v>
      </c>
      <c r="F852" s="26" t="s">
        <v>3267</v>
      </c>
      <c r="G852" s="26" t="s">
        <v>940</v>
      </c>
      <c r="H852" s="26" t="s">
        <v>61</v>
      </c>
      <c r="I852" s="26"/>
      <c r="J852" s="26">
        <v>1.0</v>
      </c>
      <c r="K852" s="26" t="s">
        <v>971</v>
      </c>
      <c r="L852" s="26" t="s">
        <v>15</v>
      </c>
      <c r="M852" s="26" t="s">
        <v>81</v>
      </c>
      <c r="N852" s="26" t="s">
        <v>307</v>
      </c>
      <c r="O852" s="26">
        <v>4.0</v>
      </c>
    </row>
    <row r="853" ht="15.75" customHeight="1">
      <c r="A853" s="26" t="s">
        <v>3801</v>
      </c>
      <c r="B853" s="26" t="s">
        <v>3802</v>
      </c>
      <c r="C853" s="26" t="s">
        <v>300</v>
      </c>
      <c r="D853" s="26" t="s">
        <v>93</v>
      </c>
      <c r="E853" s="26" t="s">
        <v>1417</v>
      </c>
      <c r="F853" s="26" t="s">
        <v>2513</v>
      </c>
      <c r="G853" s="26" t="s">
        <v>1416</v>
      </c>
      <c r="H853" s="26" t="s">
        <v>46</v>
      </c>
      <c r="I853" s="26"/>
      <c r="J853" s="26">
        <v>1.0</v>
      </c>
      <c r="K853" s="26" t="s">
        <v>1418</v>
      </c>
      <c r="L853" s="26" t="s">
        <v>15</v>
      </c>
      <c r="M853" s="26" t="s">
        <v>81</v>
      </c>
      <c r="N853" s="26" t="s">
        <v>307</v>
      </c>
      <c r="O853" s="26">
        <v>3.0</v>
      </c>
    </row>
    <row r="854" ht="15.75" customHeight="1">
      <c r="A854" s="26" t="s">
        <v>3803</v>
      </c>
      <c r="B854" s="26" t="s">
        <v>3804</v>
      </c>
      <c r="C854" s="26" t="s">
        <v>429</v>
      </c>
      <c r="D854" s="26" t="s">
        <v>36</v>
      </c>
      <c r="E854" s="26" t="s">
        <v>3805</v>
      </c>
      <c r="F854" s="26" t="s">
        <v>2381</v>
      </c>
      <c r="G854" s="26" t="s">
        <v>88</v>
      </c>
      <c r="H854" s="26" t="s">
        <v>46</v>
      </c>
      <c r="I854" s="26" t="s">
        <v>104</v>
      </c>
      <c r="J854" s="26">
        <v>2.0</v>
      </c>
      <c r="K854" s="26" t="s">
        <v>199</v>
      </c>
      <c r="L854" s="26" t="s">
        <v>29</v>
      </c>
      <c r="M854" s="26" t="s">
        <v>95</v>
      </c>
      <c r="N854" s="26" t="s">
        <v>307</v>
      </c>
      <c r="O854" s="26">
        <v>4.0</v>
      </c>
    </row>
    <row r="855" ht="15.75" customHeight="1">
      <c r="A855" s="26" t="s">
        <v>3763</v>
      </c>
      <c r="B855" s="26" t="s">
        <v>3764</v>
      </c>
      <c r="C855" s="26" t="s">
        <v>300</v>
      </c>
      <c r="D855" s="26" t="s">
        <v>59</v>
      </c>
      <c r="E855" s="26" t="s">
        <v>198</v>
      </c>
      <c r="F855" s="26" t="s">
        <v>1125</v>
      </c>
      <c r="G855" s="26" t="s">
        <v>113</v>
      </c>
      <c r="H855" s="26" t="s">
        <v>49</v>
      </c>
      <c r="I855" s="26" t="s">
        <v>373</v>
      </c>
      <c r="J855" s="26">
        <v>2.0</v>
      </c>
      <c r="K855" s="26" t="s">
        <v>466</v>
      </c>
      <c r="L855" s="26" t="s">
        <v>29</v>
      </c>
      <c r="M855" s="26" t="s">
        <v>95</v>
      </c>
      <c r="N855" s="26" t="s">
        <v>307</v>
      </c>
      <c r="O855" s="26">
        <v>4.0</v>
      </c>
    </row>
    <row r="856" ht="15.75" customHeight="1">
      <c r="A856" s="26" t="s">
        <v>3765</v>
      </c>
      <c r="B856" s="26" t="s">
        <v>3766</v>
      </c>
      <c r="C856" s="26" t="s">
        <v>363</v>
      </c>
      <c r="D856" s="26" t="s">
        <v>59</v>
      </c>
      <c r="E856" s="26" t="s">
        <v>3767</v>
      </c>
      <c r="F856" s="26" t="s">
        <v>1125</v>
      </c>
      <c r="G856" s="26" t="s">
        <v>113</v>
      </c>
      <c r="H856" s="26" t="s">
        <v>49</v>
      </c>
      <c r="I856" s="26" t="s">
        <v>373</v>
      </c>
      <c r="J856" s="26">
        <v>2.0</v>
      </c>
      <c r="K856" s="26" t="s">
        <v>466</v>
      </c>
      <c r="L856" s="26" t="s">
        <v>29</v>
      </c>
      <c r="M856" s="26" t="s">
        <v>95</v>
      </c>
      <c r="N856" s="26" t="s">
        <v>307</v>
      </c>
      <c r="O856" s="26">
        <v>56.0</v>
      </c>
    </row>
    <row r="857" ht="15.75" customHeight="1">
      <c r="A857" s="26" t="s">
        <v>3806</v>
      </c>
      <c r="B857" s="26" t="s">
        <v>3774</v>
      </c>
      <c r="C857" s="26" t="s">
        <v>363</v>
      </c>
      <c r="D857" s="26" t="s">
        <v>36</v>
      </c>
      <c r="E857" s="26" t="s">
        <v>3807</v>
      </c>
      <c r="F857" s="26" t="s">
        <v>760</v>
      </c>
      <c r="G857" s="26" t="s">
        <v>51</v>
      </c>
      <c r="H857" s="26" t="s">
        <v>52</v>
      </c>
      <c r="I857" s="26"/>
      <c r="J857" s="26">
        <v>1.0</v>
      </c>
      <c r="K857" s="26" t="s">
        <v>199</v>
      </c>
      <c r="L857" s="26" t="s">
        <v>29</v>
      </c>
      <c r="M857" s="26" t="s">
        <v>95</v>
      </c>
      <c r="N857" s="26" t="s">
        <v>307</v>
      </c>
      <c r="O857" s="26">
        <v>4.0</v>
      </c>
    </row>
    <row r="858" ht="15.75" customHeight="1">
      <c r="A858" s="26" t="s">
        <v>3808</v>
      </c>
      <c r="B858" s="26" t="s">
        <v>3809</v>
      </c>
      <c r="C858" s="26" t="s">
        <v>300</v>
      </c>
      <c r="D858" s="26" t="s">
        <v>36</v>
      </c>
      <c r="E858" s="26" t="s">
        <v>229</v>
      </c>
      <c r="F858" s="26" t="s">
        <v>3254</v>
      </c>
      <c r="G858" s="26" t="s">
        <v>108</v>
      </c>
      <c r="H858" s="26" t="s">
        <v>57</v>
      </c>
      <c r="I858" s="26"/>
      <c r="J858" s="26">
        <v>1.0</v>
      </c>
      <c r="K858" s="26" t="s">
        <v>230</v>
      </c>
      <c r="L858" s="26" t="s">
        <v>15</v>
      </c>
      <c r="M858" s="26" t="s">
        <v>81</v>
      </c>
      <c r="N858" s="26" t="s">
        <v>307</v>
      </c>
      <c r="O858" s="26">
        <v>54.0</v>
      </c>
    </row>
    <row r="859" ht="15.75" customHeight="1">
      <c r="A859" s="26" t="s">
        <v>3810</v>
      </c>
      <c r="B859" s="26" t="s">
        <v>3811</v>
      </c>
      <c r="C859" s="26" t="s">
        <v>363</v>
      </c>
      <c r="D859" s="26" t="s">
        <v>36</v>
      </c>
      <c r="E859" s="26" t="s">
        <v>3812</v>
      </c>
      <c r="F859" s="26" t="s">
        <v>760</v>
      </c>
      <c r="G859" s="26" t="s">
        <v>51</v>
      </c>
      <c r="H859" s="26" t="s">
        <v>52</v>
      </c>
      <c r="I859" s="26"/>
      <c r="J859" s="26">
        <v>1.0</v>
      </c>
      <c r="K859" s="26" t="s">
        <v>3813</v>
      </c>
      <c r="L859" s="26" t="s">
        <v>15</v>
      </c>
      <c r="M859" s="26" t="s">
        <v>81</v>
      </c>
      <c r="N859" s="26" t="s">
        <v>307</v>
      </c>
      <c r="O859" s="26">
        <v>3.0</v>
      </c>
    </row>
    <row r="860" ht="15.75" customHeight="1">
      <c r="A860" s="26" t="s">
        <v>3814</v>
      </c>
      <c r="B860" s="26" t="s">
        <v>3815</v>
      </c>
      <c r="C860" s="26" t="s">
        <v>892</v>
      </c>
      <c r="D860" s="26" t="s">
        <v>50</v>
      </c>
      <c r="E860" s="26" t="s">
        <v>3816</v>
      </c>
      <c r="F860" s="26" t="s">
        <v>336</v>
      </c>
      <c r="G860" s="26" t="s">
        <v>75</v>
      </c>
      <c r="H860" s="26" t="s">
        <v>53</v>
      </c>
      <c r="I860" s="26"/>
      <c r="J860" s="26">
        <v>1.0</v>
      </c>
      <c r="K860" s="26" t="s">
        <v>885</v>
      </c>
      <c r="L860" s="26" t="s">
        <v>29</v>
      </c>
      <c r="M860" s="26" t="s">
        <v>95</v>
      </c>
      <c r="N860" s="26" t="s">
        <v>307</v>
      </c>
      <c r="O860" s="26">
        <v>4.0</v>
      </c>
    </row>
    <row r="861" ht="15.75" customHeight="1">
      <c r="A861" s="26" t="s">
        <v>3817</v>
      </c>
      <c r="B861" s="26" t="s">
        <v>3818</v>
      </c>
      <c r="C861" s="26" t="s">
        <v>363</v>
      </c>
      <c r="D861" s="26" t="s">
        <v>50</v>
      </c>
      <c r="E861" s="26" t="s">
        <v>3819</v>
      </c>
      <c r="F861" s="26" t="s">
        <v>336</v>
      </c>
      <c r="G861" s="26" t="s">
        <v>75</v>
      </c>
      <c r="H861" s="26" t="s">
        <v>53</v>
      </c>
      <c r="I861" s="26"/>
      <c r="J861" s="26">
        <v>1.0</v>
      </c>
      <c r="K861" s="26" t="s">
        <v>885</v>
      </c>
      <c r="L861" s="26" t="s">
        <v>29</v>
      </c>
      <c r="M861" s="26" t="s">
        <v>95</v>
      </c>
      <c r="N861" s="26" t="s">
        <v>307</v>
      </c>
      <c r="O861" s="26">
        <v>4.0</v>
      </c>
    </row>
    <row r="862" ht="15.75" customHeight="1">
      <c r="A862" s="26" t="s">
        <v>3820</v>
      </c>
      <c r="B862" s="26" t="s">
        <v>3821</v>
      </c>
      <c r="C862" s="26" t="s">
        <v>300</v>
      </c>
      <c r="D862" s="26" t="s">
        <v>48</v>
      </c>
      <c r="E862" s="26" t="s">
        <v>3822</v>
      </c>
      <c r="F862" s="26" t="s">
        <v>973</v>
      </c>
      <c r="G862" s="26" t="s">
        <v>299</v>
      </c>
      <c r="H862" s="26" t="s">
        <v>34</v>
      </c>
      <c r="I862" s="26" t="s">
        <v>248</v>
      </c>
      <c r="J862" s="26">
        <v>3.0</v>
      </c>
      <c r="K862" s="26" t="s">
        <v>3823</v>
      </c>
      <c r="L862" s="26" t="s">
        <v>15</v>
      </c>
      <c r="M862" s="26" t="s">
        <v>81</v>
      </c>
      <c r="N862" s="26" t="s">
        <v>307</v>
      </c>
      <c r="O862" s="26">
        <v>3.0</v>
      </c>
    </row>
    <row r="863" ht="15.75" customHeight="1">
      <c r="A863" s="26" t="s">
        <v>3824</v>
      </c>
      <c r="B863" s="26" t="s">
        <v>3825</v>
      </c>
      <c r="C863" s="26" t="s">
        <v>312</v>
      </c>
      <c r="D863" s="26" t="s">
        <v>48</v>
      </c>
      <c r="E863" s="26" t="s">
        <v>3826</v>
      </c>
      <c r="F863" s="26" t="s">
        <v>1014</v>
      </c>
      <c r="G863" s="26" t="s">
        <v>248</v>
      </c>
      <c r="H863" s="26" t="s">
        <v>46</v>
      </c>
      <c r="I863" s="26" t="s">
        <v>267</v>
      </c>
      <c r="J863" s="26">
        <v>2.0</v>
      </c>
      <c r="K863" s="26" t="s">
        <v>3827</v>
      </c>
      <c r="L863" s="26" t="s">
        <v>15</v>
      </c>
      <c r="M863" s="26" t="s">
        <v>81</v>
      </c>
      <c r="N863" s="26" t="s">
        <v>307</v>
      </c>
      <c r="O863" s="26">
        <v>3.0</v>
      </c>
    </row>
    <row r="864" ht="15.75" customHeight="1">
      <c r="A864" s="26" t="s">
        <v>3781</v>
      </c>
      <c r="B864" s="26" t="s">
        <v>3782</v>
      </c>
      <c r="C864" s="26" t="s">
        <v>322</v>
      </c>
      <c r="D864" s="26" t="s">
        <v>48</v>
      </c>
      <c r="E864" s="26" t="s">
        <v>462</v>
      </c>
      <c r="F864" s="26" t="s">
        <v>834</v>
      </c>
      <c r="G864" s="26" t="s">
        <v>267</v>
      </c>
      <c r="H864" s="26" t="s">
        <v>34</v>
      </c>
      <c r="I864" s="26"/>
      <c r="J864" s="26">
        <v>1.0</v>
      </c>
      <c r="K864" s="26" t="s">
        <v>466</v>
      </c>
      <c r="L864" s="26" t="s">
        <v>29</v>
      </c>
      <c r="M864" s="26" t="s">
        <v>95</v>
      </c>
      <c r="N864" s="26" t="s">
        <v>307</v>
      </c>
      <c r="O864" s="26">
        <v>56.0</v>
      </c>
    </row>
    <row r="865" ht="15.75" customHeight="1">
      <c r="A865" s="26" t="s">
        <v>3828</v>
      </c>
      <c r="B865" s="26" t="s">
        <v>3829</v>
      </c>
      <c r="C865" s="26" t="s">
        <v>312</v>
      </c>
      <c r="D865" s="26" t="s">
        <v>48</v>
      </c>
      <c r="E865" s="26" t="s">
        <v>3830</v>
      </c>
      <c r="F865" s="26" t="s">
        <v>1014</v>
      </c>
      <c r="G865" s="26" t="s">
        <v>248</v>
      </c>
      <c r="H865" s="26" t="s">
        <v>46</v>
      </c>
      <c r="I865" s="26"/>
      <c r="J865" s="26">
        <v>1.0</v>
      </c>
      <c r="K865" s="26" t="s">
        <v>885</v>
      </c>
      <c r="L865" s="26" t="s">
        <v>29</v>
      </c>
      <c r="M865" s="26" t="s">
        <v>95</v>
      </c>
      <c r="N865" s="26" t="s">
        <v>307</v>
      </c>
      <c r="O865" s="26">
        <v>2.0</v>
      </c>
    </row>
    <row r="866" ht="15.75" customHeight="1">
      <c r="A866" s="26" t="s">
        <v>3831</v>
      </c>
      <c r="B866" s="26" t="s">
        <v>3832</v>
      </c>
      <c r="C866" s="26" t="s">
        <v>363</v>
      </c>
      <c r="D866" s="26" t="s">
        <v>59</v>
      </c>
      <c r="E866" s="26" t="s">
        <v>884</v>
      </c>
      <c r="F866" s="26" t="s">
        <v>3424</v>
      </c>
      <c r="G866" s="26" t="s">
        <v>656</v>
      </c>
      <c r="H866" s="26" t="s">
        <v>57</v>
      </c>
      <c r="I866" s="26"/>
      <c r="J866" s="26">
        <v>1.0</v>
      </c>
      <c r="K866" s="26" t="s">
        <v>885</v>
      </c>
      <c r="L866" s="26" t="s">
        <v>29</v>
      </c>
      <c r="M866" s="26" t="s">
        <v>95</v>
      </c>
      <c r="N866" s="26" t="s">
        <v>307</v>
      </c>
      <c r="O866" s="26">
        <v>2.0</v>
      </c>
    </row>
    <row r="867" ht="15.75" customHeight="1">
      <c r="A867" s="26" t="s">
        <v>3833</v>
      </c>
      <c r="B867" s="26" t="s">
        <v>3834</v>
      </c>
      <c r="C867" s="26" t="s">
        <v>300</v>
      </c>
      <c r="D867" s="26" t="s">
        <v>54</v>
      </c>
      <c r="E867" s="26" t="s">
        <v>3835</v>
      </c>
      <c r="F867" s="26" t="s">
        <v>432</v>
      </c>
      <c r="G867" s="26" t="s">
        <v>182</v>
      </c>
      <c r="H867" s="26" t="s">
        <v>34</v>
      </c>
      <c r="I867" s="26" t="s">
        <v>572</v>
      </c>
      <c r="J867" s="26">
        <v>3.0</v>
      </c>
      <c r="K867" s="26" t="s">
        <v>3836</v>
      </c>
      <c r="L867" s="26" t="s">
        <v>29</v>
      </c>
      <c r="M867" s="26" t="s">
        <v>95</v>
      </c>
      <c r="N867" s="26" t="s">
        <v>307</v>
      </c>
      <c r="O867" s="26">
        <v>3.0</v>
      </c>
    </row>
    <row r="868" ht="15.75" customHeight="1">
      <c r="A868" s="26" t="s">
        <v>3837</v>
      </c>
      <c r="B868" s="26" t="s">
        <v>3838</v>
      </c>
      <c r="C868" s="26" t="s">
        <v>363</v>
      </c>
      <c r="D868" s="26" t="s">
        <v>62</v>
      </c>
      <c r="E868" s="26" t="s">
        <v>3839</v>
      </c>
      <c r="F868" s="26" t="s">
        <v>2273</v>
      </c>
      <c r="G868" s="26" t="s">
        <v>261</v>
      </c>
      <c r="H868" s="26" t="s">
        <v>46</v>
      </c>
      <c r="I868" s="26"/>
      <c r="J868" s="26">
        <v>1.0</v>
      </c>
      <c r="K868" s="26" t="s">
        <v>3840</v>
      </c>
      <c r="L868" s="26" t="s">
        <v>15</v>
      </c>
      <c r="M868" s="26" t="s">
        <v>81</v>
      </c>
      <c r="N868" s="26" t="s">
        <v>307</v>
      </c>
      <c r="O868" s="26">
        <v>3.0</v>
      </c>
    </row>
    <row r="869" ht="15.75" customHeight="1">
      <c r="A869" s="26" t="s">
        <v>3841</v>
      </c>
      <c r="B869" s="26" t="s">
        <v>3842</v>
      </c>
      <c r="C869" s="26" t="s">
        <v>429</v>
      </c>
      <c r="D869" s="26" t="s">
        <v>54</v>
      </c>
      <c r="E869" s="26" t="s">
        <v>3843</v>
      </c>
      <c r="F869" s="26" t="s">
        <v>432</v>
      </c>
      <c r="G869" s="26" t="s">
        <v>182</v>
      </c>
      <c r="H869" s="26" t="s">
        <v>34</v>
      </c>
      <c r="I869" s="26" t="s">
        <v>99</v>
      </c>
      <c r="J869" s="26">
        <v>2.0</v>
      </c>
      <c r="K869" s="26" t="s">
        <v>3844</v>
      </c>
      <c r="L869" s="26" t="s">
        <v>15</v>
      </c>
      <c r="M869" s="26" t="s">
        <v>81</v>
      </c>
      <c r="N869" s="26" t="s">
        <v>307</v>
      </c>
      <c r="O869" s="26">
        <v>3.0</v>
      </c>
    </row>
    <row r="870" ht="15.75" customHeight="1">
      <c r="A870" s="26" t="s">
        <v>3845</v>
      </c>
      <c r="B870" s="26" t="s">
        <v>3846</v>
      </c>
      <c r="C870" s="26" t="s">
        <v>429</v>
      </c>
      <c r="D870" s="26" t="s">
        <v>36</v>
      </c>
      <c r="E870" s="26" t="s">
        <v>201</v>
      </c>
      <c r="F870" s="26" t="s">
        <v>3847</v>
      </c>
      <c r="G870" s="26" t="s">
        <v>98</v>
      </c>
      <c r="H870" s="26" t="s">
        <v>34</v>
      </c>
      <c r="I870" s="26" t="s">
        <v>82</v>
      </c>
      <c r="J870" s="26">
        <v>2.0</v>
      </c>
      <c r="K870" s="26" t="s">
        <v>3848</v>
      </c>
      <c r="L870" s="26" t="s">
        <v>15</v>
      </c>
      <c r="M870" s="26" t="s">
        <v>81</v>
      </c>
      <c r="N870" s="26" t="s">
        <v>307</v>
      </c>
      <c r="O870" s="26">
        <v>2.0</v>
      </c>
    </row>
    <row r="871" ht="15.75" customHeight="1">
      <c r="A871" s="26" t="s">
        <v>3849</v>
      </c>
      <c r="B871" s="26" t="s">
        <v>3850</v>
      </c>
      <c r="C871" s="26" t="s">
        <v>429</v>
      </c>
      <c r="D871" s="26" t="s">
        <v>36</v>
      </c>
      <c r="E871" s="26" t="s">
        <v>3851</v>
      </c>
      <c r="F871" s="26" t="s">
        <v>2381</v>
      </c>
      <c r="G871" s="26" t="s">
        <v>88</v>
      </c>
      <c r="H871" s="26" t="s">
        <v>46</v>
      </c>
      <c r="I871" s="26" t="s">
        <v>73</v>
      </c>
      <c r="J871" s="26">
        <v>3.0</v>
      </c>
      <c r="K871" s="26" t="s">
        <v>199</v>
      </c>
      <c r="L871" s="26" t="s">
        <v>29</v>
      </c>
      <c r="M871" s="26" t="s">
        <v>95</v>
      </c>
      <c r="N871" s="26" t="s">
        <v>307</v>
      </c>
      <c r="O871" s="26">
        <v>2.0</v>
      </c>
    </row>
    <row r="872" ht="15.75" customHeight="1">
      <c r="A872" s="26" t="s">
        <v>3852</v>
      </c>
      <c r="B872" s="26" t="s">
        <v>3853</v>
      </c>
      <c r="C872" s="26" t="s">
        <v>363</v>
      </c>
      <c r="D872" s="26" t="s">
        <v>69</v>
      </c>
      <c r="E872" s="26" t="s">
        <v>3854</v>
      </c>
      <c r="F872" s="26" t="s">
        <v>537</v>
      </c>
      <c r="G872" s="26" t="s">
        <v>197</v>
      </c>
      <c r="H872" s="26" t="s">
        <v>34</v>
      </c>
      <c r="I872" s="26"/>
      <c r="J872" s="26">
        <v>1.0</v>
      </c>
      <c r="K872" s="26" t="s">
        <v>136</v>
      </c>
      <c r="L872" s="26" t="s">
        <v>29</v>
      </c>
      <c r="M872" s="26" t="s">
        <v>95</v>
      </c>
      <c r="N872" s="26" t="s">
        <v>307</v>
      </c>
      <c r="O872" s="26">
        <v>3.0</v>
      </c>
    </row>
    <row r="873" ht="15.75" customHeight="1">
      <c r="A873" s="26" t="s">
        <v>3855</v>
      </c>
      <c r="B873" s="26" t="s">
        <v>3856</v>
      </c>
      <c r="C873" s="26" t="s">
        <v>363</v>
      </c>
      <c r="D873" s="26" t="s">
        <v>36</v>
      </c>
      <c r="E873" s="26" t="s">
        <v>167</v>
      </c>
      <c r="F873" s="26" t="s">
        <v>3132</v>
      </c>
      <c r="G873" s="26" t="s">
        <v>77</v>
      </c>
      <c r="H873" s="26" t="s">
        <v>46</v>
      </c>
      <c r="I873" s="26"/>
      <c r="J873" s="26">
        <v>0.0</v>
      </c>
      <c r="K873" s="26" t="s">
        <v>168</v>
      </c>
      <c r="L873" s="26" t="s">
        <v>15</v>
      </c>
      <c r="M873" s="26" t="s">
        <v>81</v>
      </c>
      <c r="N873" s="26" t="s">
        <v>307</v>
      </c>
      <c r="O873" s="26">
        <v>3.0</v>
      </c>
    </row>
    <row r="874" ht="15.75" customHeight="1">
      <c r="A874" s="26" t="s">
        <v>3857</v>
      </c>
      <c r="B874" s="26" t="s">
        <v>3858</v>
      </c>
      <c r="C874" s="26" t="s">
        <v>312</v>
      </c>
      <c r="D874" s="26" t="s">
        <v>36</v>
      </c>
      <c r="E874" s="26" t="s">
        <v>3859</v>
      </c>
      <c r="F874" s="26" t="s">
        <v>315</v>
      </c>
      <c r="G874" s="26" t="s">
        <v>47</v>
      </c>
      <c r="H874" s="26" t="s">
        <v>34</v>
      </c>
      <c r="I874" s="26" t="s">
        <v>112</v>
      </c>
      <c r="J874" s="26">
        <v>5.0</v>
      </c>
      <c r="K874" s="26" t="s">
        <v>3860</v>
      </c>
      <c r="L874" s="26" t="s">
        <v>19</v>
      </c>
      <c r="M874" s="26" t="s">
        <v>81</v>
      </c>
      <c r="N874" s="26" t="s">
        <v>307</v>
      </c>
      <c r="O874" s="26">
        <v>2.0</v>
      </c>
    </row>
    <row r="875" ht="15.75" customHeight="1">
      <c r="A875" s="26" t="s">
        <v>3861</v>
      </c>
      <c r="B875" s="26" t="s">
        <v>3862</v>
      </c>
      <c r="C875" s="26" t="s">
        <v>300</v>
      </c>
      <c r="D875" s="26" t="s">
        <v>48</v>
      </c>
      <c r="E875" s="26" t="s">
        <v>3863</v>
      </c>
      <c r="F875" s="26" t="s">
        <v>1014</v>
      </c>
      <c r="G875" s="26" t="s">
        <v>248</v>
      </c>
      <c r="H875" s="26" t="s">
        <v>46</v>
      </c>
      <c r="I875" s="26"/>
      <c r="J875" s="26">
        <v>1.0</v>
      </c>
      <c r="K875" s="26" t="s">
        <v>3864</v>
      </c>
      <c r="L875" s="26" t="s">
        <v>23</v>
      </c>
      <c r="M875" s="26" t="s">
        <v>91</v>
      </c>
      <c r="N875" s="26" t="s">
        <v>307</v>
      </c>
      <c r="O875" s="26">
        <v>2.0</v>
      </c>
    </row>
    <row r="876" ht="15.75" customHeight="1">
      <c r="A876" s="26" t="s">
        <v>3865</v>
      </c>
      <c r="B876" s="26" t="s">
        <v>3866</v>
      </c>
      <c r="C876" s="26" t="s">
        <v>300</v>
      </c>
      <c r="D876" s="26" t="s">
        <v>48</v>
      </c>
      <c r="E876" s="26" t="s">
        <v>3867</v>
      </c>
      <c r="F876" s="26" t="s">
        <v>625</v>
      </c>
      <c r="G876" s="26" t="s">
        <v>313</v>
      </c>
      <c r="H876" s="26" t="s">
        <v>34</v>
      </c>
      <c r="I876" s="26" t="s">
        <v>248</v>
      </c>
      <c r="J876" s="26">
        <v>2.0</v>
      </c>
      <c r="K876" s="26" t="s">
        <v>3868</v>
      </c>
      <c r="L876" s="26" t="s">
        <v>15</v>
      </c>
      <c r="M876" s="26" t="s">
        <v>81</v>
      </c>
      <c r="N876" s="26" t="s">
        <v>307</v>
      </c>
      <c r="O876" s="26">
        <v>2.0</v>
      </c>
    </row>
    <row r="877" ht="15.75" customHeight="1">
      <c r="A877" s="26" t="s">
        <v>3869</v>
      </c>
      <c r="B877" s="26" t="s">
        <v>3870</v>
      </c>
      <c r="C877" s="26" t="s">
        <v>363</v>
      </c>
      <c r="D877" s="26" t="s">
        <v>59</v>
      </c>
      <c r="E877" s="26" t="s">
        <v>3871</v>
      </c>
      <c r="F877" s="26" t="s">
        <v>423</v>
      </c>
      <c r="G877" s="26" t="s">
        <v>117</v>
      </c>
      <c r="H877" s="26" t="s">
        <v>34</v>
      </c>
      <c r="I877" s="26" t="s">
        <v>843</v>
      </c>
      <c r="J877" s="26">
        <v>3.0</v>
      </c>
      <c r="K877" s="26" t="s">
        <v>3872</v>
      </c>
      <c r="L877" s="26" t="s">
        <v>19</v>
      </c>
      <c r="M877" s="26" t="s">
        <v>81</v>
      </c>
      <c r="N877" s="26" t="s">
        <v>307</v>
      </c>
      <c r="O877" s="26">
        <v>3.0</v>
      </c>
    </row>
    <row r="878" ht="15.75" customHeight="1">
      <c r="A878" s="26" t="s">
        <v>3873</v>
      </c>
      <c r="B878" s="26" t="s">
        <v>3874</v>
      </c>
      <c r="C878" s="26" t="s">
        <v>312</v>
      </c>
      <c r="D878" s="26" t="s">
        <v>36</v>
      </c>
      <c r="E878" s="26" t="s">
        <v>3875</v>
      </c>
      <c r="F878" s="26" t="s">
        <v>315</v>
      </c>
      <c r="G878" s="26" t="s">
        <v>47</v>
      </c>
      <c r="H878" s="26" t="s">
        <v>34</v>
      </c>
      <c r="I878" s="26" t="s">
        <v>65</v>
      </c>
      <c r="J878" s="26">
        <v>4.0</v>
      </c>
      <c r="K878" s="26" t="s">
        <v>3876</v>
      </c>
      <c r="L878" s="26" t="s">
        <v>15</v>
      </c>
      <c r="M878" s="26" t="s">
        <v>81</v>
      </c>
      <c r="N878" s="26" t="s">
        <v>307</v>
      </c>
      <c r="O878" s="26">
        <v>1.0</v>
      </c>
    </row>
    <row r="879" ht="15.75" customHeight="1">
      <c r="A879" s="26" t="s">
        <v>3877</v>
      </c>
      <c r="B879" s="26" t="s">
        <v>3878</v>
      </c>
      <c r="C879" s="26" t="s">
        <v>300</v>
      </c>
      <c r="D879" s="26" t="s">
        <v>69</v>
      </c>
      <c r="E879" s="26" t="s">
        <v>3879</v>
      </c>
      <c r="F879" s="26" t="s">
        <v>537</v>
      </c>
      <c r="G879" s="26" t="s">
        <v>197</v>
      </c>
      <c r="H879" s="26" t="s">
        <v>34</v>
      </c>
      <c r="I879" s="26"/>
      <c r="J879" s="26">
        <v>1.0</v>
      </c>
      <c r="K879" s="26" t="s">
        <v>136</v>
      </c>
      <c r="L879" s="26" t="s">
        <v>29</v>
      </c>
      <c r="M879" s="26" t="s">
        <v>95</v>
      </c>
      <c r="N879" s="26" t="s">
        <v>307</v>
      </c>
      <c r="O879" s="26">
        <v>3.0</v>
      </c>
    </row>
    <row r="880" ht="15.75" customHeight="1">
      <c r="A880" s="26" t="s">
        <v>3880</v>
      </c>
      <c r="B880" s="26" t="s">
        <v>3881</v>
      </c>
      <c r="C880" s="26" t="s">
        <v>363</v>
      </c>
      <c r="D880" s="26" t="s">
        <v>62</v>
      </c>
      <c r="E880" s="26" t="s">
        <v>915</v>
      </c>
      <c r="F880" s="26" t="s">
        <v>383</v>
      </c>
      <c r="G880" s="26" t="s">
        <v>111</v>
      </c>
      <c r="H880" s="26" t="s">
        <v>49</v>
      </c>
      <c r="I880" s="26" t="s">
        <v>261</v>
      </c>
      <c r="J880" s="26">
        <v>3.0</v>
      </c>
      <c r="K880" s="26" t="s">
        <v>136</v>
      </c>
      <c r="L880" s="26" t="s">
        <v>29</v>
      </c>
      <c r="M880" s="26" t="s">
        <v>95</v>
      </c>
      <c r="N880" s="26" t="s">
        <v>307</v>
      </c>
      <c r="O880" s="26">
        <v>3.0</v>
      </c>
    </row>
    <row r="881" ht="15.75" customHeight="1">
      <c r="A881" s="26" t="s">
        <v>3882</v>
      </c>
      <c r="B881" s="26" t="s">
        <v>3883</v>
      </c>
      <c r="C881" s="26" t="s">
        <v>363</v>
      </c>
      <c r="D881" s="26" t="s">
        <v>79</v>
      </c>
      <c r="E881" s="26" t="s">
        <v>1302</v>
      </c>
      <c r="F881" s="26" t="s">
        <v>3884</v>
      </c>
      <c r="G881" s="26" t="s">
        <v>1299</v>
      </c>
      <c r="H881" s="26" t="s">
        <v>46</v>
      </c>
      <c r="I881" s="26" t="s">
        <v>1291</v>
      </c>
      <c r="J881" s="26">
        <v>2.0</v>
      </c>
      <c r="K881" s="26" t="s">
        <v>1303</v>
      </c>
      <c r="L881" s="26" t="s">
        <v>15</v>
      </c>
      <c r="M881" s="26" t="s">
        <v>81</v>
      </c>
      <c r="N881" s="26" t="s">
        <v>307</v>
      </c>
      <c r="O881" s="26">
        <v>3.0</v>
      </c>
    </row>
    <row r="882" ht="15.75" customHeight="1">
      <c r="A882" s="26" t="s">
        <v>3880</v>
      </c>
      <c r="B882" s="26" t="s">
        <v>3881</v>
      </c>
      <c r="C882" s="26" t="s">
        <v>363</v>
      </c>
      <c r="D882" s="26" t="s">
        <v>62</v>
      </c>
      <c r="E882" s="26" t="s">
        <v>915</v>
      </c>
      <c r="F882" s="26" t="s">
        <v>383</v>
      </c>
      <c r="G882" s="26" t="s">
        <v>111</v>
      </c>
      <c r="H882" s="26" t="s">
        <v>49</v>
      </c>
      <c r="I882" s="26" t="s">
        <v>261</v>
      </c>
      <c r="J882" s="26">
        <v>3.0</v>
      </c>
      <c r="K882" s="26" t="s">
        <v>917</v>
      </c>
      <c r="L882" s="26" t="s">
        <v>19</v>
      </c>
      <c r="M882" s="26" t="s">
        <v>81</v>
      </c>
      <c r="N882" s="26" t="s">
        <v>307</v>
      </c>
      <c r="O882" s="26">
        <v>3.0</v>
      </c>
    </row>
    <row r="883" ht="15.75" customHeight="1">
      <c r="A883" s="26" t="s">
        <v>3885</v>
      </c>
      <c r="B883" s="26" t="s">
        <v>3886</v>
      </c>
      <c r="C883" s="26" t="s">
        <v>363</v>
      </c>
      <c r="D883" s="26" t="s">
        <v>62</v>
      </c>
      <c r="E883" s="26" t="s">
        <v>3887</v>
      </c>
      <c r="F883" s="26" t="s">
        <v>383</v>
      </c>
      <c r="G883" s="26" t="s">
        <v>111</v>
      </c>
      <c r="H883" s="26" t="s">
        <v>49</v>
      </c>
      <c r="I883" s="26" t="s">
        <v>261</v>
      </c>
      <c r="J883" s="26">
        <v>2.0</v>
      </c>
      <c r="K883" s="26" t="s">
        <v>3888</v>
      </c>
      <c r="L883" s="26" t="s">
        <v>19</v>
      </c>
      <c r="M883" s="26" t="s">
        <v>66</v>
      </c>
      <c r="N883" s="26" t="s">
        <v>307</v>
      </c>
      <c r="O883" s="26">
        <v>3.0</v>
      </c>
    </row>
    <row r="884" ht="15.75" customHeight="1">
      <c r="A884" s="26" t="s">
        <v>3889</v>
      </c>
      <c r="B884" s="26" t="s">
        <v>3890</v>
      </c>
      <c r="C884" s="26" t="s">
        <v>363</v>
      </c>
      <c r="D884" s="26" t="s">
        <v>50</v>
      </c>
      <c r="E884" s="26" t="s">
        <v>3891</v>
      </c>
      <c r="F884" s="26" t="s">
        <v>847</v>
      </c>
      <c r="G884" s="26" t="s">
        <v>328</v>
      </c>
      <c r="H884" s="26" t="s">
        <v>49</v>
      </c>
      <c r="I884" s="26" t="s">
        <v>566</v>
      </c>
      <c r="J884" s="26">
        <v>2.0</v>
      </c>
      <c r="K884" s="26" t="s">
        <v>3892</v>
      </c>
      <c r="L884" s="26" t="s">
        <v>15</v>
      </c>
      <c r="M884" s="26" t="s">
        <v>81</v>
      </c>
      <c r="N884" s="26" t="s">
        <v>307</v>
      </c>
      <c r="O884" s="26">
        <v>3.0</v>
      </c>
    </row>
    <row r="885" ht="15.75" customHeight="1">
      <c r="A885" s="26" t="s">
        <v>3893</v>
      </c>
      <c r="B885" s="26" t="s">
        <v>3894</v>
      </c>
      <c r="C885" s="26" t="s">
        <v>363</v>
      </c>
      <c r="D885" s="26" t="s">
        <v>36</v>
      </c>
      <c r="E885" s="26" t="s">
        <v>3895</v>
      </c>
      <c r="F885" s="26" t="s">
        <v>760</v>
      </c>
      <c r="G885" s="26" t="s">
        <v>51</v>
      </c>
      <c r="H885" s="26" t="s">
        <v>52</v>
      </c>
      <c r="I885" s="26"/>
      <c r="J885" s="26">
        <v>1.0</v>
      </c>
      <c r="K885" s="26" t="s">
        <v>3896</v>
      </c>
      <c r="L885" s="26" t="s">
        <v>23</v>
      </c>
      <c r="M885" s="26" t="s">
        <v>91</v>
      </c>
      <c r="N885" s="26" t="s">
        <v>307</v>
      </c>
      <c r="O885" s="26">
        <v>3.0</v>
      </c>
    </row>
    <row r="886" ht="15.75" customHeight="1">
      <c r="A886" s="26" t="s">
        <v>3897</v>
      </c>
      <c r="B886" s="26" t="s">
        <v>3898</v>
      </c>
      <c r="C886" s="26" t="s">
        <v>363</v>
      </c>
      <c r="D886" s="26" t="s">
        <v>89</v>
      </c>
      <c r="E886" s="26" t="s">
        <v>1382</v>
      </c>
      <c r="F886" s="26" t="s">
        <v>2896</v>
      </c>
      <c r="G886" s="26" t="s">
        <v>1379</v>
      </c>
      <c r="H886" s="26" t="s">
        <v>49</v>
      </c>
      <c r="I886" s="26" t="s">
        <v>638</v>
      </c>
      <c r="J886" s="26">
        <v>2.0</v>
      </c>
      <c r="K886" s="26" t="s">
        <v>136</v>
      </c>
      <c r="L886" s="26" t="s">
        <v>29</v>
      </c>
      <c r="M886" s="26" t="s">
        <v>95</v>
      </c>
      <c r="N886" s="26" t="s">
        <v>307</v>
      </c>
      <c r="O886" s="26">
        <v>4.0</v>
      </c>
    </row>
    <row r="887" ht="15.75" customHeight="1">
      <c r="A887" s="26" t="s">
        <v>3899</v>
      </c>
      <c r="B887" s="26" t="s">
        <v>3900</v>
      </c>
      <c r="C887" s="26" t="s">
        <v>363</v>
      </c>
      <c r="D887" s="26" t="s">
        <v>48</v>
      </c>
      <c r="E887" s="26" t="s">
        <v>3901</v>
      </c>
      <c r="F887" s="26" t="s">
        <v>984</v>
      </c>
      <c r="G887" s="26" t="s">
        <v>265</v>
      </c>
      <c r="H887" s="26" t="s">
        <v>34</v>
      </c>
      <c r="I887" s="26" t="s">
        <v>258</v>
      </c>
      <c r="J887" s="26">
        <v>3.0</v>
      </c>
      <c r="K887" s="26" t="s">
        <v>3902</v>
      </c>
      <c r="L887" s="26" t="s">
        <v>15</v>
      </c>
      <c r="M887" s="26" t="s">
        <v>81</v>
      </c>
      <c r="N887" s="26" t="s">
        <v>307</v>
      </c>
      <c r="O887" s="26">
        <v>4.0</v>
      </c>
    </row>
    <row r="888" ht="15.75" customHeight="1">
      <c r="A888" s="26" t="s">
        <v>3903</v>
      </c>
      <c r="B888" s="26" t="s">
        <v>3904</v>
      </c>
      <c r="C888" s="26" t="s">
        <v>363</v>
      </c>
      <c r="D888" s="26" t="s">
        <v>48</v>
      </c>
      <c r="E888" s="26" t="s">
        <v>555</v>
      </c>
      <c r="F888" s="26" t="s">
        <v>2089</v>
      </c>
      <c r="G888" s="26" t="s">
        <v>378</v>
      </c>
      <c r="H888" s="26" t="s">
        <v>34</v>
      </c>
      <c r="I888" s="26" t="s">
        <v>329</v>
      </c>
      <c r="J888" s="26">
        <v>2.0</v>
      </c>
      <c r="K888" s="26" t="s">
        <v>556</v>
      </c>
      <c r="L888" s="26" t="s">
        <v>15</v>
      </c>
      <c r="M888" s="26" t="s">
        <v>81</v>
      </c>
      <c r="N888" s="26" t="s">
        <v>307</v>
      </c>
      <c r="O888" s="26">
        <v>4.0</v>
      </c>
    </row>
    <row r="889" ht="15.75" customHeight="1">
      <c r="A889" s="26" t="s">
        <v>3905</v>
      </c>
      <c r="B889" s="26" t="s">
        <v>3906</v>
      </c>
      <c r="C889" s="26" t="s">
        <v>312</v>
      </c>
      <c r="D889" s="26" t="s">
        <v>48</v>
      </c>
      <c r="E889" s="26" t="s">
        <v>3907</v>
      </c>
      <c r="F889" s="26" t="s">
        <v>1014</v>
      </c>
      <c r="G889" s="26" t="s">
        <v>248</v>
      </c>
      <c r="H889" s="26" t="s">
        <v>46</v>
      </c>
      <c r="I889" s="26"/>
      <c r="J889" s="26">
        <v>1.0</v>
      </c>
      <c r="K889" s="26" t="s">
        <v>3908</v>
      </c>
      <c r="L889" s="26" t="s">
        <v>15</v>
      </c>
      <c r="M889" s="26" t="s">
        <v>81</v>
      </c>
      <c r="N889" s="26" t="s">
        <v>307</v>
      </c>
      <c r="O889" s="26">
        <v>4.0</v>
      </c>
    </row>
    <row r="890" ht="15.75" customHeight="1">
      <c r="A890" s="26" t="s">
        <v>3909</v>
      </c>
      <c r="B890" s="26" t="s">
        <v>3910</v>
      </c>
      <c r="C890" s="26" t="s">
        <v>312</v>
      </c>
      <c r="D890" s="26" t="s">
        <v>48</v>
      </c>
      <c r="E890" s="26" t="s">
        <v>3911</v>
      </c>
      <c r="F890" s="26" t="s">
        <v>625</v>
      </c>
      <c r="G890" s="26" t="s">
        <v>313</v>
      </c>
      <c r="H890" s="26" t="s">
        <v>34</v>
      </c>
      <c r="I890" s="26" t="s">
        <v>386</v>
      </c>
      <c r="J890" s="26">
        <v>2.0</v>
      </c>
      <c r="K890" s="26" t="s">
        <v>3912</v>
      </c>
      <c r="L890" s="26" t="s">
        <v>15</v>
      </c>
      <c r="M890" s="26" t="s">
        <v>81</v>
      </c>
      <c r="N890" s="26" t="s">
        <v>307</v>
      </c>
      <c r="O890" s="26">
        <v>4.0</v>
      </c>
    </row>
    <row r="891" ht="15.75" customHeight="1">
      <c r="A891" s="26" t="s">
        <v>3913</v>
      </c>
      <c r="B891" s="26" t="s">
        <v>3914</v>
      </c>
      <c r="C891" s="26" t="s">
        <v>300</v>
      </c>
      <c r="D891" s="26" t="s">
        <v>48</v>
      </c>
      <c r="E891" s="26" t="s">
        <v>474</v>
      </c>
      <c r="F891" s="26" t="s">
        <v>1727</v>
      </c>
      <c r="G891" s="26" t="s">
        <v>284</v>
      </c>
      <c r="H891" s="26" t="s">
        <v>46</v>
      </c>
      <c r="I891" s="26"/>
      <c r="J891" s="26">
        <v>0.0</v>
      </c>
      <c r="K891" s="26" t="s">
        <v>475</v>
      </c>
      <c r="L891" s="26" t="s">
        <v>15</v>
      </c>
      <c r="M891" s="26" t="s">
        <v>81</v>
      </c>
      <c r="N891" s="26" t="s">
        <v>307</v>
      </c>
      <c r="O891" s="26">
        <v>4.0</v>
      </c>
    </row>
    <row r="892" ht="15.75" customHeight="1">
      <c r="A892" s="26" t="s">
        <v>3915</v>
      </c>
      <c r="B892" s="26" t="s">
        <v>3916</v>
      </c>
      <c r="C892" s="26" t="s">
        <v>300</v>
      </c>
      <c r="D892" s="26" t="s">
        <v>48</v>
      </c>
      <c r="E892" s="26" t="s">
        <v>3917</v>
      </c>
      <c r="F892" s="26" t="s">
        <v>1014</v>
      </c>
      <c r="G892" s="26" t="s">
        <v>248</v>
      </c>
      <c r="H892" s="26" t="s">
        <v>46</v>
      </c>
      <c r="I892" s="26" t="s">
        <v>267</v>
      </c>
      <c r="J892" s="26">
        <v>3.0</v>
      </c>
      <c r="K892" s="26" t="s">
        <v>3918</v>
      </c>
      <c r="L892" s="26" t="s">
        <v>15</v>
      </c>
      <c r="M892" s="26" t="s">
        <v>81</v>
      </c>
      <c r="N892" s="26" t="s">
        <v>307</v>
      </c>
      <c r="O892" s="26">
        <v>4.0</v>
      </c>
    </row>
    <row r="893" ht="15.75" customHeight="1">
      <c r="A893" s="26" t="s">
        <v>3919</v>
      </c>
      <c r="B893" s="26" t="s">
        <v>3920</v>
      </c>
      <c r="C893" s="26" t="s">
        <v>300</v>
      </c>
      <c r="D893" s="26" t="s">
        <v>76</v>
      </c>
      <c r="E893" s="26" t="s">
        <v>1224</v>
      </c>
      <c r="F893" s="26" t="s">
        <v>2306</v>
      </c>
      <c r="G893" s="26" t="s">
        <v>1218</v>
      </c>
      <c r="H893" s="26" t="s">
        <v>34</v>
      </c>
      <c r="I893" s="26" t="s">
        <v>1205</v>
      </c>
      <c r="J893" s="26">
        <v>2.0</v>
      </c>
      <c r="K893" s="26" t="s">
        <v>491</v>
      </c>
      <c r="L893" s="26" t="s">
        <v>29</v>
      </c>
      <c r="M893" s="26" t="s">
        <v>95</v>
      </c>
      <c r="N893" s="26" t="s">
        <v>307</v>
      </c>
      <c r="O893" s="26">
        <v>4.0</v>
      </c>
    </row>
    <row r="894" ht="15.75" customHeight="1">
      <c r="A894" s="26" t="s">
        <v>3921</v>
      </c>
      <c r="B894" s="26" t="s">
        <v>3922</v>
      </c>
      <c r="C894" s="26" t="s">
        <v>363</v>
      </c>
      <c r="D894" s="26" t="s">
        <v>48</v>
      </c>
      <c r="E894" s="26" t="s">
        <v>3923</v>
      </c>
      <c r="F894" s="26" t="s">
        <v>1014</v>
      </c>
      <c r="G894" s="26" t="s">
        <v>248</v>
      </c>
      <c r="H894" s="26" t="s">
        <v>46</v>
      </c>
      <c r="I894" s="26"/>
      <c r="J894" s="26">
        <v>1.0</v>
      </c>
      <c r="K894" s="26" t="s">
        <v>3924</v>
      </c>
      <c r="L894" s="26" t="s">
        <v>19</v>
      </c>
      <c r="M894" s="26" t="s">
        <v>87</v>
      </c>
      <c r="N894" s="26" t="s">
        <v>307</v>
      </c>
      <c r="O894" s="26">
        <v>4.0</v>
      </c>
    </row>
    <row r="895" ht="15.75" customHeight="1">
      <c r="A895" s="26" t="s">
        <v>3925</v>
      </c>
      <c r="B895" s="26" t="s">
        <v>3926</v>
      </c>
      <c r="C895" s="26" t="s">
        <v>363</v>
      </c>
      <c r="D895" s="26" t="s">
        <v>62</v>
      </c>
      <c r="E895" s="26" t="s">
        <v>1008</v>
      </c>
      <c r="F895" s="26" t="s">
        <v>3927</v>
      </c>
      <c r="G895" s="26" t="s">
        <v>1007</v>
      </c>
      <c r="H895" s="26" t="s">
        <v>49</v>
      </c>
      <c r="I895" s="26"/>
      <c r="J895" s="26">
        <v>1.0</v>
      </c>
      <c r="K895" s="26" t="s">
        <v>1009</v>
      </c>
      <c r="L895" s="26" t="s">
        <v>15</v>
      </c>
      <c r="M895" s="26" t="s">
        <v>81</v>
      </c>
      <c r="N895" s="26" t="s">
        <v>307</v>
      </c>
      <c r="O895" s="26">
        <v>4.0</v>
      </c>
    </row>
    <row r="896" ht="15.75" customHeight="1">
      <c r="A896" s="26" t="s">
        <v>3928</v>
      </c>
      <c r="B896" s="26" t="s">
        <v>3929</v>
      </c>
      <c r="C896" s="26" t="s">
        <v>363</v>
      </c>
      <c r="D896" s="26" t="s">
        <v>54</v>
      </c>
      <c r="E896" s="26" t="s">
        <v>817</v>
      </c>
      <c r="F896" s="26" t="s">
        <v>3930</v>
      </c>
      <c r="G896" s="26" t="s">
        <v>717</v>
      </c>
      <c r="H896" s="26" t="s">
        <v>57</v>
      </c>
      <c r="I896" s="26"/>
      <c r="J896" s="26">
        <v>1.0</v>
      </c>
      <c r="K896" s="26" t="s">
        <v>819</v>
      </c>
      <c r="L896" s="26" t="s">
        <v>15</v>
      </c>
      <c r="M896" s="26" t="s">
        <v>81</v>
      </c>
      <c r="N896" s="26" t="s">
        <v>307</v>
      </c>
      <c r="O896" s="26">
        <v>3.0</v>
      </c>
    </row>
    <row r="897" ht="15.75" customHeight="1">
      <c r="A897" s="26" t="s">
        <v>3931</v>
      </c>
      <c r="B897" s="26" t="s">
        <v>3932</v>
      </c>
      <c r="C897" s="26" t="s">
        <v>300</v>
      </c>
      <c r="D897" s="26" t="s">
        <v>62</v>
      </c>
      <c r="E897" s="26" t="s">
        <v>985</v>
      </c>
      <c r="F897" s="26" t="s">
        <v>2755</v>
      </c>
      <c r="G897" s="26" t="s">
        <v>970</v>
      </c>
      <c r="H897" s="26" t="s">
        <v>34</v>
      </c>
      <c r="I897" s="26"/>
      <c r="J897" s="26">
        <v>1.0</v>
      </c>
      <c r="K897" s="26" t="s">
        <v>986</v>
      </c>
      <c r="L897" s="26" t="s">
        <v>15</v>
      </c>
      <c r="M897" s="26" t="s">
        <v>81</v>
      </c>
      <c r="N897" s="26" t="s">
        <v>307</v>
      </c>
      <c r="O897" s="26">
        <v>4.0</v>
      </c>
    </row>
    <row r="898" ht="15.75" customHeight="1">
      <c r="A898" s="26" t="s">
        <v>3933</v>
      </c>
      <c r="B898" s="26" t="s">
        <v>3934</v>
      </c>
      <c r="C898" s="26" t="s">
        <v>363</v>
      </c>
      <c r="D898" s="26" t="s">
        <v>36</v>
      </c>
      <c r="E898" s="26" t="s">
        <v>3935</v>
      </c>
      <c r="F898" s="26" t="s">
        <v>760</v>
      </c>
      <c r="G898" s="26" t="s">
        <v>51</v>
      </c>
      <c r="H898" s="26" t="s">
        <v>52</v>
      </c>
      <c r="I898" s="26"/>
      <c r="J898" s="26">
        <v>1.0</v>
      </c>
      <c r="K898" s="26" t="s">
        <v>3936</v>
      </c>
      <c r="L898" s="26" t="s">
        <v>15</v>
      </c>
      <c r="M898" s="26" t="s">
        <v>87</v>
      </c>
      <c r="N898" s="26" t="s">
        <v>307</v>
      </c>
      <c r="O898" s="26">
        <v>4.0</v>
      </c>
    </row>
    <row r="899" ht="15.75" customHeight="1">
      <c r="A899" s="26" t="s">
        <v>3937</v>
      </c>
      <c r="B899" s="26" t="s">
        <v>3938</v>
      </c>
      <c r="C899" s="26" t="s">
        <v>363</v>
      </c>
      <c r="D899" s="26" t="s">
        <v>36</v>
      </c>
      <c r="E899" s="26" t="s">
        <v>144</v>
      </c>
      <c r="F899" s="26" t="s">
        <v>760</v>
      </c>
      <c r="G899" s="26" t="s">
        <v>51</v>
      </c>
      <c r="H899" s="26" t="s">
        <v>52</v>
      </c>
      <c r="I899" s="26"/>
      <c r="J899" s="26">
        <v>1.0</v>
      </c>
      <c r="K899" s="26" t="s">
        <v>145</v>
      </c>
      <c r="L899" s="26" t="s">
        <v>15</v>
      </c>
      <c r="M899" s="26" t="s">
        <v>81</v>
      </c>
      <c r="N899" s="26" t="s">
        <v>307</v>
      </c>
      <c r="O899" s="26">
        <v>4.0</v>
      </c>
    </row>
    <row r="900" ht="15.75" customHeight="1">
      <c r="A900" s="26" t="s">
        <v>3939</v>
      </c>
      <c r="B900" s="26" t="s">
        <v>3940</v>
      </c>
      <c r="C900" s="26" t="s">
        <v>429</v>
      </c>
      <c r="D900" s="26" t="s">
        <v>36</v>
      </c>
      <c r="E900" s="26" t="s">
        <v>3941</v>
      </c>
      <c r="F900" s="26" t="s">
        <v>391</v>
      </c>
      <c r="G900" s="26" t="s">
        <v>114</v>
      </c>
      <c r="H900" s="26" t="s">
        <v>74</v>
      </c>
      <c r="I900" s="26"/>
      <c r="J900" s="26">
        <v>0.0</v>
      </c>
      <c r="K900" s="26" t="s">
        <v>136</v>
      </c>
      <c r="L900" s="26" t="s">
        <v>29</v>
      </c>
      <c r="M900" s="26" t="s">
        <v>95</v>
      </c>
      <c r="N900" s="26" t="s">
        <v>307</v>
      </c>
      <c r="O900" s="26">
        <v>4.0</v>
      </c>
    </row>
    <row r="901" ht="15.75" customHeight="1">
      <c r="A901" s="26" t="s">
        <v>3942</v>
      </c>
      <c r="B901" s="26" t="s">
        <v>3943</v>
      </c>
      <c r="C901" s="26" t="s">
        <v>312</v>
      </c>
      <c r="D901" s="26" t="s">
        <v>36</v>
      </c>
      <c r="E901" s="26" t="s">
        <v>162</v>
      </c>
      <c r="F901" s="26" t="s">
        <v>1583</v>
      </c>
      <c r="G901" s="26" t="s">
        <v>73</v>
      </c>
      <c r="H901" s="26" t="s">
        <v>46</v>
      </c>
      <c r="I901" s="26"/>
      <c r="J901" s="26">
        <v>1.0</v>
      </c>
      <c r="K901" s="26" t="s">
        <v>163</v>
      </c>
      <c r="L901" s="26" t="s">
        <v>15</v>
      </c>
      <c r="M901" s="26" t="s">
        <v>81</v>
      </c>
      <c r="N901" s="26" t="s">
        <v>307</v>
      </c>
      <c r="O901" s="26">
        <v>4.0</v>
      </c>
    </row>
    <row r="902" ht="15.75" customHeight="1">
      <c r="A902" s="26" t="s">
        <v>3944</v>
      </c>
      <c r="B902" s="26" t="s">
        <v>3945</v>
      </c>
      <c r="C902" s="26" t="s">
        <v>363</v>
      </c>
      <c r="D902" s="26" t="s">
        <v>36</v>
      </c>
      <c r="E902" s="26" t="s">
        <v>3946</v>
      </c>
      <c r="F902" s="26" t="s">
        <v>2025</v>
      </c>
      <c r="G902" s="26" t="s">
        <v>82</v>
      </c>
      <c r="H902" s="26" t="s">
        <v>34</v>
      </c>
      <c r="I902" s="26"/>
      <c r="J902" s="26">
        <v>1.0</v>
      </c>
      <c r="K902" s="26" t="s">
        <v>3947</v>
      </c>
      <c r="L902" s="26" t="s">
        <v>15</v>
      </c>
      <c r="M902" s="26" t="s">
        <v>87</v>
      </c>
      <c r="N902" s="26" t="s">
        <v>307</v>
      </c>
      <c r="O902" s="26">
        <v>4.0</v>
      </c>
    </row>
    <row r="903" ht="15.75" customHeight="1">
      <c r="A903" s="26" t="s">
        <v>3948</v>
      </c>
      <c r="B903" s="26" t="s">
        <v>3949</v>
      </c>
      <c r="C903" s="26" t="s">
        <v>300</v>
      </c>
      <c r="D903" s="26" t="s">
        <v>36</v>
      </c>
      <c r="E903" s="26" t="s">
        <v>3950</v>
      </c>
      <c r="F903" s="26" t="s">
        <v>663</v>
      </c>
      <c r="G903" s="26" t="s">
        <v>44</v>
      </c>
      <c r="H903" s="26" t="s">
        <v>34</v>
      </c>
      <c r="I903" s="26" t="s">
        <v>47</v>
      </c>
      <c r="J903" s="26">
        <v>2.0</v>
      </c>
      <c r="K903" s="26" t="s">
        <v>3947</v>
      </c>
      <c r="L903" s="26" t="s">
        <v>15</v>
      </c>
      <c r="M903" s="26" t="s">
        <v>87</v>
      </c>
      <c r="N903" s="26" t="s">
        <v>307</v>
      </c>
      <c r="O903" s="26">
        <v>3.0</v>
      </c>
    </row>
    <row r="904" ht="15.75" customHeight="1">
      <c r="A904" s="26" t="s">
        <v>3951</v>
      </c>
      <c r="B904" s="26" t="s">
        <v>3952</v>
      </c>
      <c r="C904" s="26" t="s">
        <v>300</v>
      </c>
      <c r="D904" s="26" t="s">
        <v>54</v>
      </c>
      <c r="E904" s="26" t="s">
        <v>3953</v>
      </c>
      <c r="F904" s="26" t="s">
        <v>432</v>
      </c>
      <c r="G904" s="26" t="s">
        <v>182</v>
      </c>
      <c r="H904" s="26" t="s">
        <v>34</v>
      </c>
      <c r="I904" s="26" t="s">
        <v>572</v>
      </c>
      <c r="J904" s="26">
        <v>3.0</v>
      </c>
      <c r="K904" s="26" t="s">
        <v>136</v>
      </c>
      <c r="L904" s="26" t="s">
        <v>29</v>
      </c>
      <c r="M904" s="26" t="s">
        <v>95</v>
      </c>
      <c r="N904" s="26" t="s">
        <v>307</v>
      </c>
      <c r="O904" s="26">
        <v>3.0</v>
      </c>
    </row>
    <row r="905" ht="15.75" customHeight="1">
      <c r="A905" s="26" t="s">
        <v>3954</v>
      </c>
      <c r="B905" s="26" t="s">
        <v>3955</v>
      </c>
      <c r="C905" s="26" t="s">
        <v>363</v>
      </c>
      <c r="D905" s="26" t="s">
        <v>62</v>
      </c>
      <c r="E905" s="26" t="s">
        <v>3956</v>
      </c>
      <c r="F905" s="26" t="s">
        <v>2273</v>
      </c>
      <c r="G905" s="26" t="s">
        <v>261</v>
      </c>
      <c r="H905" s="26" t="s">
        <v>46</v>
      </c>
      <c r="I905" s="26"/>
      <c r="J905" s="26">
        <v>1.0</v>
      </c>
      <c r="K905" s="26" t="s">
        <v>3957</v>
      </c>
      <c r="L905" s="26" t="s">
        <v>19</v>
      </c>
      <c r="M905" s="26" t="s">
        <v>87</v>
      </c>
      <c r="N905" s="26" t="s">
        <v>307</v>
      </c>
      <c r="O905" s="26">
        <v>3.0</v>
      </c>
    </row>
    <row r="906" ht="15.75" customHeight="1">
      <c r="A906" s="26" t="s">
        <v>3958</v>
      </c>
      <c r="B906" s="26" t="s">
        <v>3959</v>
      </c>
      <c r="C906" s="26" t="s">
        <v>363</v>
      </c>
      <c r="D906" s="26" t="s">
        <v>79</v>
      </c>
      <c r="E906" s="26" t="s">
        <v>1300</v>
      </c>
      <c r="F906" s="26" t="s">
        <v>3884</v>
      </c>
      <c r="G906" s="26" t="s">
        <v>1299</v>
      </c>
      <c r="H906" s="26" t="s">
        <v>46</v>
      </c>
      <c r="I906" s="26"/>
      <c r="J906" s="26">
        <v>1.0</v>
      </c>
      <c r="K906" s="26" t="s">
        <v>136</v>
      </c>
      <c r="L906" s="26" t="s">
        <v>29</v>
      </c>
      <c r="M906" s="26" t="s">
        <v>95</v>
      </c>
      <c r="N906" s="26" t="s">
        <v>307</v>
      </c>
      <c r="O906" s="26">
        <v>3.0</v>
      </c>
    </row>
    <row r="907" ht="15.75" customHeight="1">
      <c r="A907" s="26" t="s">
        <v>3960</v>
      </c>
      <c r="B907" s="26" t="s">
        <v>3961</v>
      </c>
      <c r="C907" s="26" t="s">
        <v>892</v>
      </c>
      <c r="D907" s="26" t="s">
        <v>69</v>
      </c>
      <c r="E907" s="26" t="s">
        <v>3962</v>
      </c>
      <c r="F907" s="26" t="s">
        <v>1422</v>
      </c>
      <c r="G907" s="26" t="s">
        <v>86</v>
      </c>
      <c r="H907" s="26" t="s">
        <v>34</v>
      </c>
      <c r="I907" s="26"/>
      <c r="J907" s="26">
        <v>1.0</v>
      </c>
      <c r="K907" s="26" t="s">
        <v>3963</v>
      </c>
      <c r="L907" s="26" t="s">
        <v>15</v>
      </c>
      <c r="M907" s="26" t="s">
        <v>81</v>
      </c>
      <c r="N907" s="26" t="s">
        <v>307</v>
      </c>
      <c r="O907" s="26">
        <v>3.0</v>
      </c>
    </row>
    <row r="908" ht="15.75" customHeight="1">
      <c r="A908" s="26" t="s">
        <v>3964</v>
      </c>
      <c r="B908" s="26" t="s">
        <v>3965</v>
      </c>
      <c r="C908" s="26" t="s">
        <v>363</v>
      </c>
      <c r="D908" s="26" t="s">
        <v>79</v>
      </c>
      <c r="E908" s="26" t="s">
        <v>3966</v>
      </c>
      <c r="F908" s="26" t="s">
        <v>1895</v>
      </c>
      <c r="G908" s="26" t="s">
        <v>255</v>
      </c>
      <c r="H908" s="26" t="s">
        <v>49</v>
      </c>
      <c r="I908" s="26"/>
      <c r="J908" s="26">
        <v>1.0</v>
      </c>
      <c r="K908" s="26" t="s">
        <v>3967</v>
      </c>
      <c r="L908" s="26" t="s">
        <v>15</v>
      </c>
      <c r="M908" s="26" t="s">
        <v>81</v>
      </c>
      <c r="N908" s="26" t="s">
        <v>307</v>
      </c>
      <c r="O908" s="26">
        <v>4.0</v>
      </c>
    </row>
    <row r="909" ht="15.75" customHeight="1">
      <c r="A909" s="26" t="s">
        <v>3968</v>
      </c>
      <c r="B909" s="26" t="s">
        <v>3969</v>
      </c>
      <c r="C909" s="26" t="s">
        <v>363</v>
      </c>
      <c r="D909" s="26" t="s">
        <v>36</v>
      </c>
      <c r="E909" s="26" t="s">
        <v>3970</v>
      </c>
      <c r="F909" s="26" t="s">
        <v>663</v>
      </c>
      <c r="G909" s="26" t="s">
        <v>44</v>
      </c>
      <c r="H909" s="26" t="s">
        <v>34</v>
      </c>
      <c r="I909" s="26"/>
      <c r="J909" s="26">
        <v>1.0</v>
      </c>
      <c r="K909" s="26" t="s">
        <v>3947</v>
      </c>
      <c r="L909" s="26" t="s">
        <v>15</v>
      </c>
      <c r="M909" s="26" t="s">
        <v>87</v>
      </c>
      <c r="N909" s="26" t="s">
        <v>307</v>
      </c>
      <c r="O909" s="26">
        <v>3.0</v>
      </c>
    </row>
    <row r="910" ht="15.75" customHeight="1">
      <c r="A910" s="26" t="s">
        <v>3971</v>
      </c>
      <c r="B910" s="26" t="s">
        <v>3972</v>
      </c>
      <c r="C910" s="26" t="s">
        <v>363</v>
      </c>
      <c r="D910" s="26" t="s">
        <v>45</v>
      </c>
      <c r="E910" s="26" t="s">
        <v>3973</v>
      </c>
      <c r="F910" s="26" t="s">
        <v>303</v>
      </c>
      <c r="G910" s="26" t="s">
        <v>140</v>
      </c>
      <c r="H910" s="26" t="s">
        <v>34</v>
      </c>
      <c r="I910" s="26" t="s">
        <v>143</v>
      </c>
      <c r="J910" s="26">
        <v>3.0</v>
      </c>
      <c r="K910" s="26" t="s">
        <v>3974</v>
      </c>
      <c r="L910" s="26" t="s">
        <v>15</v>
      </c>
      <c r="M910" s="26" t="s">
        <v>81</v>
      </c>
      <c r="N910" s="26" t="s">
        <v>307</v>
      </c>
      <c r="O910" s="26">
        <v>3.0</v>
      </c>
    </row>
    <row r="911" ht="15.75" customHeight="1">
      <c r="A911" s="26" t="s">
        <v>3975</v>
      </c>
      <c r="B911" s="26" t="s">
        <v>3976</v>
      </c>
      <c r="C911" s="26" t="s">
        <v>363</v>
      </c>
      <c r="D911" s="26" t="s">
        <v>45</v>
      </c>
      <c r="E911" s="26" t="s">
        <v>3977</v>
      </c>
      <c r="F911" s="26" t="s">
        <v>799</v>
      </c>
      <c r="G911" s="26" t="s">
        <v>130</v>
      </c>
      <c r="H911" s="26" t="s">
        <v>34</v>
      </c>
      <c r="I911" s="26" t="s">
        <v>166</v>
      </c>
      <c r="J911" s="26">
        <v>3.0</v>
      </c>
      <c r="K911" s="26" t="s">
        <v>244</v>
      </c>
      <c r="L911" s="26" t="s">
        <v>29</v>
      </c>
      <c r="M911" s="26" t="s">
        <v>95</v>
      </c>
      <c r="N911" s="26" t="s">
        <v>307</v>
      </c>
      <c r="O911" s="26">
        <v>3.0</v>
      </c>
    </row>
    <row r="912" ht="15.75" customHeight="1">
      <c r="A912" s="26" t="s">
        <v>3978</v>
      </c>
      <c r="B912" s="26" t="s">
        <v>3979</v>
      </c>
      <c r="C912" s="26" t="s">
        <v>363</v>
      </c>
      <c r="D912" s="26" t="s">
        <v>54</v>
      </c>
      <c r="E912" s="26" t="s">
        <v>3980</v>
      </c>
      <c r="F912" s="26" t="s">
        <v>432</v>
      </c>
      <c r="G912" s="26" t="s">
        <v>182</v>
      </c>
      <c r="H912" s="26" t="s">
        <v>34</v>
      </c>
      <c r="I912" s="26" t="s">
        <v>217</v>
      </c>
      <c r="J912" s="26">
        <v>2.0</v>
      </c>
      <c r="K912" s="26" t="s">
        <v>692</v>
      </c>
      <c r="L912" s="26" t="s">
        <v>15</v>
      </c>
      <c r="M912" s="26" t="s">
        <v>81</v>
      </c>
      <c r="N912" s="26" t="s">
        <v>307</v>
      </c>
      <c r="O912" s="26">
        <v>4.0</v>
      </c>
    </row>
    <row r="913" ht="15.75" customHeight="1">
      <c r="A913" s="26" t="s">
        <v>3981</v>
      </c>
      <c r="B913" s="26" t="s">
        <v>3982</v>
      </c>
      <c r="C913" s="26" t="s">
        <v>300</v>
      </c>
      <c r="D913" s="26" t="s">
        <v>48</v>
      </c>
      <c r="E913" s="26" t="s">
        <v>3983</v>
      </c>
      <c r="F913" s="26" t="s">
        <v>1014</v>
      </c>
      <c r="G913" s="26" t="s">
        <v>248</v>
      </c>
      <c r="H913" s="26" t="s">
        <v>46</v>
      </c>
      <c r="I913" s="26"/>
      <c r="J913" s="26">
        <v>1.0</v>
      </c>
      <c r="K913" s="26" t="s">
        <v>3984</v>
      </c>
      <c r="L913" s="26" t="s">
        <v>15</v>
      </c>
      <c r="M913" s="26" t="s">
        <v>81</v>
      </c>
      <c r="N913" s="26" t="s">
        <v>307</v>
      </c>
      <c r="O913" s="26">
        <v>3.0</v>
      </c>
    </row>
    <row r="914" ht="15.75" customHeight="1">
      <c r="A914" s="26" t="s">
        <v>3985</v>
      </c>
      <c r="B914" s="26" t="s">
        <v>3986</v>
      </c>
      <c r="C914" s="26" t="s">
        <v>363</v>
      </c>
      <c r="D914" s="26" t="s">
        <v>36</v>
      </c>
      <c r="E914" s="26" t="s">
        <v>3987</v>
      </c>
      <c r="F914" s="26" t="s">
        <v>3132</v>
      </c>
      <c r="G914" s="26" t="s">
        <v>77</v>
      </c>
      <c r="H914" s="26" t="s">
        <v>46</v>
      </c>
      <c r="I914" s="26"/>
      <c r="J914" s="26">
        <v>0.0</v>
      </c>
      <c r="K914" s="26" t="s">
        <v>3988</v>
      </c>
      <c r="L914" s="26" t="s">
        <v>15</v>
      </c>
      <c r="M914" s="26" t="s">
        <v>81</v>
      </c>
      <c r="N914" s="26" t="s">
        <v>307</v>
      </c>
      <c r="O914" s="26">
        <v>3.0</v>
      </c>
    </row>
    <row r="915" ht="15.75" customHeight="1">
      <c r="A915" s="26" t="s">
        <v>3989</v>
      </c>
      <c r="B915" s="26" t="s">
        <v>3990</v>
      </c>
      <c r="C915" s="26" t="s">
        <v>312</v>
      </c>
      <c r="D915" s="26" t="s">
        <v>36</v>
      </c>
      <c r="E915" s="26" t="s">
        <v>151</v>
      </c>
      <c r="F915" s="26" t="s">
        <v>681</v>
      </c>
      <c r="G915" s="26" t="s">
        <v>58</v>
      </c>
      <c r="H915" s="26" t="s">
        <v>49</v>
      </c>
      <c r="I915" s="26"/>
      <c r="J915" s="26">
        <v>1.0</v>
      </c>
      <c r="K915" s="26" t="s">
        <v>152</v>
      </c>
      <c r="L915" s="26" t="s">
        <v>15</v>
      </c>
      <c r="M915" s="26" t="s">
        <v>81</v>
      </c>
      <c r="N915" s="26" t="s">
        <v>307</v>
      </c>
      <c r="O915" s="26">
        <v>3.0</v>
      </c>
    </row>
    <row r="916" ht="15.75" customHeight="1">
      <c r="A916" s="26" t="s">
        <v>3991</v>
      </c>
      <c r="B916" s="26" t="s">
        <v>3992</v>
      </c>
      <c r="C916" s="26" t="s">
        <v>429</v>
      </c>
      <c r="D916" s="26" t="s">
        <v>45</v>
      </c>
      <c r="E916" s="26" t="s">
        <v>3993</v>
      </c>
      <c r="F916" s="26" t="s">
        <v>799</v>
      </c>
      <c r="G916" s="26" t="s">
        <v>130</v>
      </c>
      <c r="H916" s="26" t="s">
        <v>34</v>
      </c>
      <c r="I916" s="26" t="s">
        <v>140</v>
      </c>
      <c r="J916" s="26">
        <v>4.0</v>
      </c>
      <c r="K916" s="26" t="s">
        <v>3994</v>
      </c>
      <c r="L916" s="26" t="s">
        <v>15</v>
      </c>
      <c r="M916" s="26" t="s">
        <v>81</v>
      </c>
      <c r="N916" s="26" t="s">
        <v>307</v>
      </c>
      <c r="O916" s="26">
        <v>4.0</v>
      </c>
    </row>
    <row r="917" ht="15.75" customHeight="1">
      <c r="A917" s="26" t="s">
        <v>3995</v>
      </c>
      <c r="B917" s="26" t="s">
        <v>3996</v>
      </c>
      <c r="C917" s="26" t="s">
        <v>429</v>
      </c>
      <c r="D917" s="26" t="s">
        <v>48</v>
      </c>
      <c r="E917" s="26" t="s">
        <v>3997</v>
      </c>
      <c r="F917" s="26" t="s">
        <v>1014</v>
      </c>
      <c r="G917" s="26" t="s">
        <v>248</v>
      </c>
      <c r="H917" s="26" t="s">
        <v>46</v>
      </c>
      <c r="I917" s="26" t="s">
        <v>267</v>
      </c>
      <c r="J917" s="26">
        <v>2.0</v>
      </c>
      <c r="K917" s="26" t="s">
        <v>3998</v>
      </c>
      <c r="L917" s="26" t="s">
        <v>15</v>
      </c>
      <c r="M917" s="26" t="s">
        <v>81</v>
      </c>
      <c r="N917" s="26" t="s">
        <v>307</v>
      </c>
      <c r="O917" s="26">
        <v>3.0</v>
      </c>
    </row>
    <row r="918" ht="15.75" customHeight="1">
      <c r="A918" s="26" t="s">
        <v>3999</v>
      </c>
      <c r="B918" s="26" t="s">
        <v>4000</v>
      </c>
      <c r="C918" s="26" t="s">
        <v>300</v>
      </c>
      <c r="D918" s="26" t="s">
        <v>36</v>
      </c>
      <c r="E918" s="26" t="s">
        <v>4001</v>
      </c>
      <c r="F918" s="26" t="s">
        <v>663</v>
      </c>
      <c r="G918" s="26" t="s">
        <v>44</v>
      </c>
      <c r="H918" s="26" t="s">
        <v>34</v>
      </c>
      <c r="I918" s="26" t="s">
        <v>51</v>
      </c>
      <c r="J918" s="26">
        <v>2.0</v>
      </c>
      <c r="K918" s="26" t="s">
        <v>136</v>
      </c>
      <c r="L918" s="26" t="s">
        <v>29</v>
      </c>
      <c r="M918" s="26" t="s">
        <v>95</v>
      </c>
      <c r="N918" s="26" t="s">
        <v>307</v>
      </c>
      <c r="O918" s="26">
        <v>3.0</v>
      </c>
    </row>
    <row r="919" ht="15.75" customHeight="1">
      <c r="A919" s="26" t="s">
        <v>4002</v>
      </c>
      <c r="B919" s="26" t="s">
        <v>4003</v>
      </c>
      <c r="C919" s="26" t="s">
        <v>429</v>
      </c>
      <c r="D919" s="26" t="s">
        <v>50</v>
      </c>
      <c r="E919" s="26" t="s">
        <v>4004</v>
      </c>
      <c r="F919" s="26" t="s">
        <v>336</v>
      </c>
      <c r="G919" s="26" t="s">
        <v>75</v>
      </c>
      <c r="H919" s="26" t="s">
        <v>53</v>
      </c>
      <c r="I919" s="26" t="s">
        <v>548</v>
      </c>
      <c r="J919" s="26">
        <v>2.0</v>
      </c>
      <c r="K919" s="26" t="s">
        <v>4005</v>
      </c>
      <c r="L919" s="26" t="s">
        <v>15</v>
      </c>
      <c r="M919" s="26" t="s">
        <v>81</v>
      </c>
      <c r="N919" s="26" t="s">
        <v>307</v>
      </c>
      <c r="O919" s="26">
        <v>3.0</v>
      </c>
    </row>
    <row r="920" ht="15.75" customHeight="1">
      <c r="A920" s="26" t="s">
        <v>4006</v>
      </c>
      <c r="B920" s="26" t="s">
        <v>4007</v>
      </c>
      <c r="C920" s="26" t="s">
        <v>429</v>
      </c>
      <c r="D920" s="26" t="s">
        <v>45</v>
      </c>
      <c r="E920" s="26" t="s">
        <v>4008</v>
      </c>
      <c r="F920" s="26" t="s">
        <v>799</v>
      </c>
      <c r="G920" s="26" t="s">
        <v>130</v>
      </c>
      <c r="H920" s="26" t="s">
        <v>34</v>
      </c>
      <c r="I920" s="26" t="s">
        <v>140</v>
      </c>
      <c r="J920" s="26">
        <v>5.0</v>
      </c>
      <c r="K920" s="26" t="s">
        <v>4009</v>
      </c>
      <c r="L920" s="26" t="s">
        <v>15</v>
      </c>
      <c r="M920" s="26" t="s">
        <v>81</v>
      </c>
      <c r="N920" s="26" t="s">
        <v>307</v>
      </c>
      <c r="O920" s="26">
        <v>3.0</v>
      </c>
    </row>
    <row r="921" ht="15.75" customHeight="1">
      <c r="A921" s="26" t="s">
        <v>4010</v>
      </c>
      <c r="B921" s="26" t="s">
        <v>4011</v>
      </c>
      <c r="C921" s="26" t="s">
        <v>429</v>
      </c>
      <c r="D921" s="26" t="s">
        <v>45</v>
      </c>
      <c r="E921" s="26" t="s">
        <v>4012</v>
      </c>
      <c r="F921" s="26" t="s">
        <v>744</v>
      </c>
      <c r="G921" s="26" t="s">
        <v>148</v>
      </c>
      <c r="H921" s="26" t="s">
        <v>34</v>
      </c>
      <c r="I921" s="26" t="s">
        <v>82</v>
      </c>
      <c r="J921" s="26">
        <v>2.0</v>
      </c>
      <c r="K921" s="26" t="s">
        <v>4013</v>
      </c>
      <c r="L921" s="26" t="s">
        <v>15</v>
      </c>
      <c r="M921" s="26" t="s">
        <v>81</v>
      </c>
      <c r="N921" s="26" t="s">
        <v>307</v>
      </c>
      <c r="O921" s="26">
        <v>3.0</v>
      </c>
    </row>
    <row r="922" ht="15.75" customHeight="1">
      <c r="A922" s="26" t="s">
        <v>4014</v>
      </c>
      <c r="B922" s="26" t="s">
        <v>4015</v>
      </c>
      <c r="C922" s="26" t="s">
        <v>363</v>
      </c>
      <c r="D922" s="26" t="s">
        <v>48</v>
      </c>
      <c r="E922" s="26" t="s">
        <v>4016</v>
      </c>
      <c r="F922" s="26" t="s">
        <v>590</v>
      </c>
      <c r="G922" s="26" t="s">
        <v>329</v>
      </c>
      <c r="H922" s="26" t="s">
        <v>46</v>
      </c>
      <c r="I922" s="26" t="s">
        <v>386</v>
      </c>
      <c r="J922" s="26">
        <v>2.0</v>
      </c>
      <c r="K922" s="26" t="s">
        <v>4017</v>
      </c>
      <c r="L922" s="26" t="s">
        <v>15</v>
      </c>
      <c r="M922" s="26" t="s">
        <v>81</v>
      </c>
      <c r="N922" s="26" t="s">
        <v>307</v>
      </c>
      <c r="O922" s="26">
        <v>3.0</v>
      </c>
    </row>
    <row r="923" ht="15.75" customHeight="1">
      <c r="A923" s="26" t="s">
        <v>4018</v>
      </c>
      <c r="B923" s="26" t="s">
        <v>4019</v>
      </c>
      <c r="C923" s="26" t="s">
        <v>300</v>
      </c>
      <c r="D923" s="26" t="s">
        <v>36</v>
      </c>
      <c r="E923" s="26" t="s">
        <v>4020</v>
      </c>
      <c r="F923" s="26" t="s">
        <v>681</v>
      </c>
      <c r="G923" s="26" t="s">
        <v>58</v>
      </c>
      <c r="H923" s="26" t="s">
        <v>49</v>
      </c>
      <c r="I923" s="26" t="s">
        <v>65</v>
      </c>
      <c r="J923" s="26">
        <v>4.0</v>
      </c>
      <c r="K923" s="26" t="s">
        <v>136</v>
      </c>
      <c r="L923" s="26" t="s">
        <v>29</v>
      </c>
      <c r="M923" s="26" t="s">
        <v>95</v>
      </c>
      <c r="N923" s="26" t="s">
        <v>307</v>
      </c>
      <c r="O923" s="26">
        <v>3.0</v>
      </c>
    </row>
    <row r="924" ht="15.75" customHeight="1">
      <c r="A924" s="26" t="s">
        <v>4021</v>
      </c>
      <c r="B924" s="26" t="s">
        <v>4022</v>
      </c>
      <c r="C924" s="26" t="s">
        <v>312</v>
      </c>
      <c r="D924" s="26" t="s">
        <v>50</v>
      </c>
      <c r="E924" s="26" t="s">
        <v>4023</v>
      </c>
      <c r="F924" s="26" t="s">
        <v>1309</v>
      </c>
      <c r="G924" s="26" t="s">
        <v>245</v>
      </c>
      <c r="H924" s="26" t="s">
        <v>57</v>
      </c>
      <c r="I924" s="26" t="s">
        <v>328</v>
      </c>
      <c r="J924" s="26">
        <v>3.0</v>
      </c>
      <c r="K924" s="26" t="s">
        <v>4024</v>
      </c>
      <c r="L924" s="26" t="s">
        <v>15</v>
      </c>
      <c r="M924" s="26" t="s">
        <v>81</v>
      </c>
      <c r="N924" s="26" t="s">
        <v>307</v>
      </c>
      <c r="O924" s="26">
        <v>3.0</v>
      </c>
    </row>
    <row r="925" ht="15.75" customHeight="1">
      <c r="A925" s="26" t="s">
        <v>4025</v>
      </c>
      <c r="B925" s="26" t="s">
        <v>4026</v>
      </c>
      <c r="C925" s="26" t="s">
        <v>363</v>
      </c>
      <c r="D925" s="26" t="s">
        <v>36</v>
      </c>
      <c r="E925" s="26" t="s">
        <v>4027</v>
      </c>
      <c r="F925" s="26" t="s">
        <v>1583</v>
      </c>
      <c r="G925" s="26" t="s">
        <v>73</v>
      </c>
      <c r="H925" s="26" t="s">
        <v>46</v>
      </c>
      <c r="I925" s="26"/>
      <c r="J925" s="26">
        <v>1.0</v>
      </c>
      <c r="K925" s="26" t="s">
        <v>4028</v>
      </c>
      <c r="L925" s="26" t="s">
        <v>15</v>
      </c>
      <c r="M925" s="26" t="s">
        <v>81</v>
      </c>
      <c r="N925" s="26" t="s">
        <v>307</v>
      </c>
      <c r="O925" s="26">
        <v>3.0</v>
      </c>
    </row>
    <row r="926" ht="15.75" customHeight="1">
      <c r="A926" s="26" t="s">
        <v>4029</v>
      </c>
      <c r="B926" s="26" t="s">
        <v>4030</v>
      </c>
      <c r="C926" s="26" t="s">
        <v>363</v>
      </c>
      <c r="D926" s="26" t="s">
        <v>36</v>
      </c>
      <c r="E926" s="26" t="s">
        <v>4031</v>
      </c>
      <c r="F926" s="26" t="s">
        <v>663</v>
      </c>
      <c r="G926" s="26" t="s">
        <v>44</v>
      </c>
      <c r="H926" s="26" t="s">
        <v>34</v>
      </c>
      <c r="I926" s="26"/>
      <c r="J926" s="26">
        <v>1.0</v>
      </c>
      <c r="K926" s="26" t="s">
        <v>4032</v>
      </c>
      <c r="L926" s="26" t="s">
        <v>15</v>
      </c>
      <c r="M926" s="26" t="s">
        <v>87</v>
      </c>
      <c r="N926" s="26" t="s">
        <v>307</v>
      </c>
      <c r="O926" s="26">
        <v>3.0</v>
      </c>
    </row>
    <row r="927" ht="15.75" customHeight="1">
      <c r="A927" s="26" t="s">
        <v>4033</v>
      </c>
      <c r="B927" s="26" t="s">
        <v>4034</v>
      </c>
      <c r="C927" s="26" t="s">
        <v>429</v>
      </c>
      <c r="D927" s="26" t="s">
        <v>45</v>
      </c>
      <c r="E927" s="26" t="s">
        <v>272</v>
      </c>
      <c r="F927" s="26" t="s">
        <v>744</v>
      </c>
      <c r="G927" s="26" t="s">
        <v>148</v>
      </c>
      <c r="H927" s="26" t="s">
        <v>34</v>
      </c>
      <c r="I927" s="26" t="s">
        <v>130</v>
      </c>
      <c r="J927" s="26">
        <v>3.0</v>
      </c>
      <c r="K927" s="26" t="s">
        <v>4035</v>
      </c>
      <c r="L927" s="26" t="s">
        <v>15</v>
      </c>
      <c r="M927" s="26" t="s">
        <v>81</v>
      </c>
      <c r="N927" s="26" t="s">
        <v>307</v>
      </c>
      <c r="O927" s="26">
        <v>3.0</v>
      </c>
    </row>
    <row r="928" ht="15.75" customHeight="1">
      <c r="A928" s="26" t="s">
        <v>4036</v>
      </c>
      <c r="B928" s="26" t="s">
        <v>4037</v>
      </c>
      <c r="C928" s="26" t="s">
        <v>300</v>
      </c>
      <c r="D928" s="26" t="s">
        <v>45</v>
      </c>
      <c r="E928" s="26" t="s">
        <v>4038</v>
      </c>
      <c r="F928" s="26" t="s">
        <v>799</v>
      </c>
      <c r="G928" s="26" t="s">
        <v>130</v>
      </c>
      <c r="H928" s="26" t="s">
        <v>34</v>
      </c>
      <c r="I928" s="26"/>
      <c r="J928" s="26">
        <v>1.0</v>
      </c>
      <c r="K928" s="26" t="s">
        <v>4013</v>
      </c>
      <c r="L928" s="26" t="s">
        <v>15</v>
      </c>
      <c r="M928" s="26" t="s">
        <v>81</v>
      </c>
      <c r="N928" s="26" t="s">
        <v>307</v>
      </c>
      <c r="O928" s="26">
        <v>3.0</v>
      </c>
    </row>
    <row r="929" ht="15.75" customHeight="1">
      <c r="A929" s="26" t="s">
        <v>4039</v>
      </c>
      <c r="B929" s="26" t="s">
        <v>4040</v>
      </c>
      <c r="C929" s="26" t="s">
        <v>363</v>
      </c>
      <c r="D929" s="26" t="s">
        <v>36</v>
      </c>
      <c r="E929" s="26" t="s">
        <v>4041</v>
      </c>
      <c r="F929" s="26" t="s">
        <v>1583</v>
      </c>
      <c r="G929" s="26" t="s">
        <v>73</v>
      </c>
      <c r="H929" s="26" t="s">
        <v>46</v>
      </c>
      <c r="I929" s="26"/>
      <c r="J929" s="26">
        <v>1.0</v>
      </c>
      <c r="K929" s="26" t="s">
        <v>136</v>
      </c>
      <c r="L929" s="26" t="s">
        <v>29</v>
      </c>
      <c r="M929" s="26" t="s">
        <v>95</v>
      </c>
      <c r="N929" s="26" t="s">
        <v>307</v>
      </c>
      <c r="O929" s="26">
        <v>3.0</v>
      </c>
    </row>
    <row r="930" ht="15.75" customHeight="1">
      <c r="A930" s="26" t="s">
        <v>4042</v>
      </c>
      <c r="B930" s="26" t="s">
        <v>4043</v>
      </c>
      <c r="C930" s="26" t="s">
        <v>312</v>
      </c>
      <c r="D930" s="26" t="s">
        <v>48</v>
      </c>
      <c r="E930" s="26" t="s">
        <v>1726</v>
      </c>
      <c r="F930" s="26" t="s">
        <v>1727</v>
      </c>
      <c r="G930" s="26" t="s">
        <v>284</v>
      </c>
      <c r="H930" s="26" t="s">
        <v>46</v>
      </c>
      <c r="I930" s="26"/>
      <c r="J930" s="26">
        <v>0.0</v>
      </c>
      <c r="K930" s="26" t="s">
        <v>4044</v>
      </c>
      <c r="L930" s="26" t="s">
        <v>23</v>
      </c>
      <c r="M930" s="26" t="s">
        <v>91</v>
      </c>
      <c r="N930" s="26" t="s">
        <v>307</v>
      </c>
      <c r="O930" s="26">
        <v>3.0</v>
      </c>
    </row>
    <row r="931" ht="15.75" customHeight="1">
      <c r="A931" s="26" t="s">
        <v>4045</v>
      </c>
      <c r="B931" s="26" t="s">
        <v>4046</v>
      </c>
      <c r="C931" s="26" t="s">
        <v>363</v>
      </c>
      <c r="D931" s="26" t="s">
        <v>62</v>
      </c>
      <c r="E931" s="26" t="s">
        <v>4047</v>
      </c>
      <c r="F931" s="26" t="s">
        <v>471</v>
      </c>
      <c r="G931" s="26" t="s">
        <v>105</v>
      </c>
      <c r="H931" s="26" t="s">
        <v>46</v>
      </c>
      <c r="I931" s="26" t="s">
        <v>212</v>
      </c>
      <c r="J931" s="26">
        <v>3.0</v>
      </c>
      <c r="K931" s="26" t="s">
        <v>4048</v>
      </c>
      <c r="L931" s="26" t="s">
        <v>19</v>
      </c>
      <c r="M931" s="26" t="s">
        <v>81</v>
      </c>
      <c r="N931" s="26" t="s">
        <v>307</v>
      </c>
      <c r="O931" s="26">
        <v>3.0</v>
      </c>
    </row>
    <row r="932" ht="15.75" customHeight="1">
      <c r="A932" s="26" t="s">
        <v>4049</v>
      </c>
      <c r="B932" s="26" t="s">
        <v>4050</v>
      </c>
      <c r="C932" s="26" t="s">
        <v>363</v>
      </c>
      <c r="D932" s="26" t="s">
        <v>36</v>
      </c>
      <c r="E932" s="26" t="s">
        <v>4051</v>
      </c>
      <c r="F932" s="26" t="s">
        <v>663</v>
      </c>
      <c r="G932" s="26" t="s">
        <v>44</v>
      </c>
      <c r="H932" s="26" t="s">
        <v>34</v>
      </c>
      <c r="I932" s="26" t="s">
        <v>82</v>
      </c>
      <c r="J932" s="26">
        <v>2.0</v>
      </c>
      <c r="K932" s="26" t="s">
        <v>4032</v>
      </c>
      <c r="L932" s="26" t="s">
        <v>15</v>
      </c>
      <c r="M932" s="26" t="s">
        <v>87</v>
      </c>
      <c r="N932" s="26" t="s">
        <v>307</v>
      </c>
      <c r="O932" s="26">
        <v>3.0</v>
      </c>
    </row>
    <row r="933" ht="15.75" customHeight="1">
      <c r="A933" s="26" t="s">
        <v>4052</v>
      </c>
      <c r="B933" s="26" t="s">
        <v>4053</v>
      </c>
      <c r="C933" s="26" t="s">
        <v>363</v>
      </c>
      <c r="D933" s="26" t="s">
        <v>48</v>
      </c>
      <c r="E933" s="26" t="s">
        <v>4054</v>
      </c>
      <c r="F933" s="26" t="s">
        <v>984</v>
      </c>
      <c r="G933" s="26" t="s">
        <v>265</v>
      </c>
      <c r="H933" s="26" t="s">
        <v>34</v>
      </c>
      <c r="I933" s="26"/>
      <c r="J933" s="26">
        <v>1.0</v>
      </c>
      <c r="K933" s="26" t="s">
        <v>4055</v>
      </c>
      <c r="L933" s="26" t="s">
        <v>15</v>
      </c>
      <c r="M933" s="26" t="s">
        <v>81</v>
      </c>
      <c r="N933" s="26" t="s">
        <v>307</v>
      </c>
      <c r="O933" s="26">
        <v>3.0</v>
      </c>
    </row>
    <row r="934" ht="15.75" customHeight="1">
      <c r="A934" s="26" t="s">
        <v>4056</v>
      </c>
      <c r="B934" s="26" t="s">
        <v>4057</v>
      </c>
      <c r="C934" s="26" t="s">
        <v>300</v>
      </c>
      <c r="D934" s="26" t="s">
        <v>62</v>
      </c>
      <c r="E934" s="26" t="s">
        <v>4058</v>
      </c>
      <c r="F934" s="26" t="s">
        <v>1813</v>
      </c>
      <c r="G934" s="26" t="s">
        <v>107</v>
      </c>
      <c r="H934" s="26" t="s">
        <v>46</v>
      </c>
      <c r="I934" s="26" t="s">
        <v>1001</v>
      </c>
      <c r="J934" s="26">
        <v>2.0</v>
      </c>
      <c r="K934" s="26" t="s">
        <v>4059</v>
      </c>
      <c r="L934" s="26" t="s">
        <v>15</v>
      </c>
      <c r="M934" s="26" t="s">
        <v>81</v>
      </c>
      <c r="N934" s="26" t="s">
        <v>307</v>
      </c>
      <c r="O934" s="26">
        <v>3.0</v>
      </c>
    </row>
    <row r="935" ht="15.75" customHeight="1">
      <c r="A935" s="26" t="s">
        <v>4060</v>
      </c>
      <c r="B935" s="26" t="s">
        <v>4061</v>
      </c>
      <c r="C935" s="26" t="s">
        <v>363</v>
      </c>
      <c r="D935" s="26" t="s">
        <v>45</v>
      </c>
      <c r="E935" s="26" t="s">
        <v>4062</v>
      </c>
      <c r="F935" s="26" t="s">
        <v>303</v>
      </c>
      <c r="G935" s="26" t="s">
        <v>140</v>
      </c>
      <c r="H935" s="26" t="s">
        <v>34</v>
      </c>
      <c r="I935" s="26" t="s">
        <v>161</v>
      </c>
      <c r="J935" s="26">
        <v>2.0</v>
      </c>
      <c r="K935" s="26" t="s">
        <v>4063</v>
      </c>
      <c r="L935" s="26" t="s">
        <v>15</v>
      </c>
      <c r="M935" s="26" t="s">
        <v>81</v>
      </c>
      <c r="N935" s="26" t="s">
        <v>307</v>
      </c>
      <c r="O935" s="26">
        <v>3.0</v>
      </c>
    </row>
    <row r="936" ht="15.75" customHeight="1">
      <c r="A936" s="26" t="s">
        <v>4064</v>
      </c>
      <c r="B936" s="26" t="s">
        <v>4065</v>
      </c>
      <c r="C936" s="26" t="s">
        <v>363</v>
      </c>
      <c r="D936" s="26" t="s">
        <v>48</v>
      </c>
      <c r="E936" s="26" t="s">
        <v>4066</v>
      </c>
      <c r="F936" s="26" t="s">
        <v>366</v>
      </c>
      <c r="G936" s="26" t="s">
        <v>258</v>
      </c>
      <c r="H936" s="26" t="s">
        <v>61</v>
      </c>
      <c r="I936" s="26" t="s">
        <v>267</v>
      </c>
      <c r="J936" s="26">
        <v>4.0</v>
      </c>
      <c r="K936" s="26" t="s">
        <v>4067</v>
      </c>
      <c r="L936" s="26" t="s">
        <v>19</v>
      </c>
      <c r="M936" s="26" t="s">
        <v>87</v>
      </c>
      <c r="N936" s="26" t="s">
        <v>307</v>
      </c>
      <c r="O936" s="26">
        <v>3.0</v>
      </c>
    </row>
    <row r="937" ht="15.75" customHeight="1">
      <c r="A937" s="26" t="s">
        <v>4068</v>
      </c>
      <c r="B937" s="26" t="s">
        <v>4069</v>
      </c>
      <c r="C937" s="26" t="s">
        <v>300</v>
      </c>
      <c r="D937" s="26" t="s">
        <v>48</v>
      </c>
      <c r="E937" s="26" t="s">
        <v>4070</v>
      </c>
      <c r="F937" s="26" t="s">
        <v>834</v>
      </c>
      <c r="G937" s="26" t="s">
        <v>267</v>
      </c>
      <c r="H937" s="26" t="s">
        <v>34</v>
      </c>
      <c r="I937" s="26"/>
      <c r="J937" s="26">
        <v>1.0</v>
      </c>
      <c r="K937" s="26"/>
      <c r="L937" s="26" t="s">
        <v>25</v>
      </c>
      <c r="M937" s="26" t="s">
        <v>97</v>
      </c>
      <c r="N937" s="26" t="s">
        <v>307</v>
      </c>
      <c r="O937" s="26">
        <v>3.0</v>
      </c>
    </row>
    <row r="938" ht="15.75" customHeight="1">
      <c r="A938" s="26" t="s">
        <v>4071</v>
      </c>
      <c r="B938" s="26" t="s">
        <v>4072</v>
      </c>
      <c r="C938" s="26" t="s">
        <v>300</v>
      </c>
      <c r="D938" s="26" t="s">
        <v>48</v>
      </c>
      <c r="E938" s="26" t="s">
        <v>4073</v>
      </c>
      <c r="F938" s="26" t="s">
        <v>366</v>
      </c>
      <c r="G938" s="26" t="s">
        <v>258</v>
      </c>
      <c r="H938" s="26" t="s">
        <v>61</v>
      </c>
      <c r="I938" s="26" t="s">
        <v>386</v>
      </c>
      <c r="J938" s="26">
        <v>2.0</v>
      </c>
      <c r="K938" s="26" t="s">
        <v>4074</v>
      </c>
      <c r="L938" s="26" t="s">
        <v>15</v>
      </c>
      <c r="M938" s="26" t="s">
        <v>81</v>
      </c>
      <c r="N938" s="26" t="s">
        <v>307</v>
      </c>
      <c r="O938" s="26">
        <v>47.0</v>
      </c>
    </row>
    <row r="939" ht="15.75" customHeight="1">
      <c r="A939" s="26" t="s">
        <v>4075</v>
      </c>
      <c r="B939" s="26" t="s">
        <v>4076</v>
      </c>
      <c r="C939" s="26" t="s">
        <v>300</v>
      </c>
      <c r="D939" s="26" t="s">
        <v>48</v>
      </c>
      <c r="E939" s="26" t="s">
        <v>4077</v>
      </c>
      <c r="F939" s="26" t="s">
        <v>984</v>
      </c>
      <c r="G939" s="26" t="s">
        <v>265</v>
      </c>
      <c r="H939" s="26" t="s">
        <v>34</v>
      </c>
      <c r="I939" s="26" t="s">
        <v>258</v>
      </c>
      <c r="J939" s="26">
        <v>3.0</v>
      </c>
      <c r="K939" s="26" t="s">
        <v>4078</v>
      </c>
      <c r="L939" s="26" t="s">
        <v>15</v>
      </c>
      <c r="M939" s="26" t="s">
        <v>81</v>
      </c>
      <c r="N939" s="26" t="s">
        <v>307</v>
      </c>
      <c r="O939" s="26">
        <v>4.0</v>
      </c>
    </row>
    <row r="940" ht="15.75" customHeight="1">
      <c r="A940" s="26" t="s">
        <v>4079</v>
      </c>
      <c r="B940" s="26" t="s">
        <v>4080</v>
      </c>
      <c r="C940" s="26" t="s">
        <v>429</v>
      </c>
      <c r="D940" s="26" t="s">
        <v>36</v>
      </c>
      <c r="E940" s="26" t="s">
        <v>4081</v>
      </c>
      <c r="F940" s="26" t="s">
        <v>3132</v>
      </c>
      <c r="G940" s="26" t="s">
        <v>77</v>
      </c>
      <c r="H940" s="26" t="s">
        <v>46</v>
      </c>
      <c r="I940" s="26"/>
      <c r="J940" s="26">
        <v>0.0</v>
      </c>
      <c r="K940" s="26" t="s">
        <v>4082</v>
      </c>
      <c r="L940" s="26" t="s">
        <v>15</v>
      </c>
      <c r="M940" s="26" t="s">
        <v>81</v>
      </c>
      <c r="N940" s="26" t="s">
        <v>307</v>
      </c>
      <c r="O940" s="26">
        <v>3.0</v>
      </c>
    </row>
    <row r="941" ht="15.75" customHeight="1">
      <c r="A941" s="26" t="s">
        <v>4083</v>
      </c>
      <c r="B941" s="26" t="s">
        <v>4084</v>
      </c>
      <c r="C941" s="26" t="s">
        <v>429</v>
      </c>
      <c r="D941" s="26" t="s">
        <v>45</v>
      </c>
      <c r="E941" s="26" t="s">
        <v>4085</v>
      </c>
      <c r="F941" s="26" t="s">
        <v>799</v>
      </c>
      <c r="G941" s="26" t="s">
        <v>130</v>
      </c>
      <c r="H941" s="26" t="s">
        <v>34</v>
      </c>
      <c r="I941" s="26" t="s">
        <v>169</v>
      </c>
      <c r="J941" s="26">
        <v>2.0</v>
      </c>
      <c r="K941" s="26" t="s">
        <v>4086</v>
      </c>
      <c r="L941" s="26" t="s">
        <v>15</v>
      </c>
      <c r="M941" s="26" t="s">
        <v>81</v>
      </c>
      <c r="N941" s="26" t="s">
        <v>307</v>
      </c>
      <c r="O941" s="26">
        <v>2.0</v>
      </c>
    </row>
    <row r="942" ht="15.75" customHeight="1">
      <c r="A942" s="26" t="s">
        <v>4087</v>
      </c>
      <c r="B942" s="26" t="s">
        <v>4088</v>
      </c>
      <c r="C942" s="26" t="s">
        <v>322</v>
      </c>
      <c r="D942" s="26" t="s">
        <v>48</v>
      </c>
      <c r="E942" s="26" t="s">
        <v>4089</v>
      </c>
      <c r="F942" s="26" t="s">
        <v>1014</v>
      </c>
      <c r="G942" s="26" t="s">
        <v>248</v>
      </c>
      <c r="H942" s="26" t="s">
        <v>46</v>
      </c>
      <c r="I942" s="26"/>
      <c r="J942" s="26">
        <v>1.0</v>
      </c>
      <c r="K942" s="26" t="s">
        <v>4090</v>
      </c>
      <c r="L942" s="26" t="s">
        <v>15</v>
      </c>
      <c r="M942" s="26" t="s">
        <v>81</v>
      </c>
      <c r="N942" s="26" t="s">
        <v>307</v>
      </c>
      <c r="O942" s="26">
        <v>4.0</v>
      </c>
    </row>
    <row r="943" ht="15.75" customHeight="1">
      <c r="A943" s="26" t="s">
        <v>4091</v>
      </c>
      <c r="B943" s="26" t="s">
        <v>4092</v>
      </c>
      <c r="C943" s="26" t="s">
        <v>363</v>
      </c>
      <c r="D943" s="26" t="s">
        <v>59</v>
      </c>
      <c r="E943" s="26" t="s">
        <v>4093</v>
      </c>
      <c r="F943" s="26" t="s">
        <v>423</v>
      </c>
      <c r="G943" s="26" t="s">
        <v>117</v>
      </c>
      <c r="H943" s="26" t="s">
        <v>34</v>
      </c>
      <c r="I943" s="26" t="s">
        <v>3375</v>
      </c>
      <c r="J943" s="26">
        <v>2.0</v>
      </c>
      <c r="K943" s="26" t="s">
        <v>4094</v>
      </c>
      <c r="L943" s="26" t="s">
        <v>15</v>
      </c>
      <c r="M943" s="26" t="s">
        <v>81</v>
      </c>
      <c r="N943" s="26" t="s">
        <v>307</v>
      </c>
      <c r="O943" s="26">
        <v>3.0</v>
      </c>
    </row>
    <row r="944" ht="15.75" customHeight="1">
      <c r="A944" s="26" t="s">
        <v>4095</v>
      </c>
      <c r="B944" s="26" t="s">
        <v>4096</v>
      </c>
      <c r="C944" s="26" t="s">
        <v>363</v>
      </c>
      <c r="D944" s="26" t="s">
        <v>45</v>
      </c>
      <c r="E944" s="26" t="s">
        <v>4097</v>
      </c>
      <c r="F944" s="26" t="s">
        <v>1403</v>
      </c>
      <c r="G944" s="26" t="s">
        <v>143</v>
      </c>
      <c r="H944" s="26" t="s">
        <v>46</v>
      </c>
      <c r="I944" s="26" t="s">
        <v>82</v>
      </c>
      <c r="J944" s="26">
        <v>2.0</v>
      </c>
      <c r="K944" s="26" t="s">
        <v>4098</v>
      </c>
      <c r="L944" s="26" t="s">
        <v>15</v>
      </c>
      <c r="M944" s="26" t="s">
        <v>81</v>
      </c>
      <c r="N944" s="26" t="s">
        <v>307</v>
      </c>
      <c r="O944" s="26">
        <v>2.0</v>
      </c>
    </row>
    <row r="945" ht="15.75" customHeight="1">
      <c r="A945" s="26" t="s">
        <v>4099</v>
      </c>
      <c r="B945" s="26" t="s">
        <v>4100</v>
      </c>
      <c r="C945" s="26" t="s">
        <v>300</v>
      </c>
      <c r="D945" s="26" t="s">
        <v>48</v>
      </c>
      <c r="E945" s="26" t="s">
        <v>4101</v>
      </c>
      <c r="F945" s="26" t="s">
        <v>1014</v>
      </c>
      <c r="G945" s="26" t="s">
        <v>248</v>
      </c>
      <c r="H945" s="26" t="s">
        <v>46</v>
      </c>
      <c r="I945" s="26" t="s">
        <v>267</v>
      </c>
      <c r="J945" s="26">
        <v>2.0</v>
      </c>
      <c r="K945" s="26" t="s">
        <v>136</v>
      </c>
      <c r="L945" s="26" t="s">
        <v>29</v>
      </c>
      <c r="M945" s="26" t="s">
        <v>95</v>
      </c>
      <c r="N945" s="26" t="s">
        <v>307</v>
      </c>
      <c r="O945" s="26">
        <v>4.0</v>
      </c>
    </row>
    <row r="946" ht="15.75" customHeight="1">
      <c r="A946" s="26" t="s">
        <v>4102</v>
      </c>
      <c r="B946" s="26" t="s">
        <v>4103</v>
      </c>
      <c r="C946" s="26" t="s">
        <v>429</v>
      </c>
      <c r="D946" s="26" t="s">
        <v>48</v>
      </c>
      <c r="E946" s="26" t="s">
        <v>4104</v>
      </c>
      <c r="F946" s="26" t="s">
        <v>984</v>
      </c>
      <c r="G946" s="26" t="s">
        <v>265</v>
      </c>
      <c r="H946" s="26" t="s">
        <v>34</v>
      </c>
      <c r="I946" s="26" t="s">
        <v>299</v>
      </c>
      <c r="J946" s="26">
        <v>4.0</v>
      </c>
      <c r="K946" s="26" t="s">
        <v>4105</v>
      </c>
      <c r="L946" s="26" t="s">
        <v>19</v>
      </c>
      <c r="M946" s="26" t="s">
        <v>81</v>
      </c>
      <c r="N946" s="26" t="s">
        <v>307</v>
      </c>
      <c r="O946" s="26">
        <v>6.0</v>
      </c>
    </row>
    <row r="947" ht="15.75" customHeight="1">
      <c r="A947" s="26" t="s">
        <v>4106</v>
      </c>
      <c r="B947" s="26" t="s">
        <v>4107</v>
      </c>
      <c r="C947" s="26" t="s">
        <v>429</v>
      </c>
      <c r="D947" s="26" t="s">
        <v>48</v>
      </c>
      <c r="E947" s="26" t="s">
        <v>1726</v>
      </c>
      <c r="F947" s="26" t="s">
        <v>1727</v>
      </c>
      <c r="G947" s="26" t="s">
        <v>284</v>
      </c>
      <c r="H947" s="26" t="s">
        <v>46</v>
      </c>
      <c r="I947" s="26"/>
      <c r="J947" s="26">
        <v>0.0</v>
      </c>
      <c r="K947" s="26" t="s">
        <v>1190</v>
      </c>
      <c r="L947" s="26" t="s">
        <v>29</v>
      </c>
      <c r="M947" s="26" t="s">
        <v>95</v>
      </c>
      <c r="N947" s="26" t="s">
        <v>307</v>
      </c>
      <c r="O947" s="26">
        <v>6.0</v>
      </c>
    </row>
    <row r="948" ht="15.75" customHeight="1">
      <c r="A948" s="26" t="s">
        <v>4108</v>
      </c>
      <c r="B948" s="26" t="s">
        <v>4109</v>
      </c>
      <c r="C948" s="26" t="s">
        <v>429</v>
      </c>
      <c r="D948" s="26" t="s">
        <v>48</v>
      </c>
      <c r="E948" s="26" t="s">
        <v>4110</v>
      </c>
      <c r="F948" s="26" t="s">
        <v>1014</v>
      </c>
      <c r="G948" s="26" t="s">
        <v>248</v>
      </c>
      <c r="H948" s="26" t="s">
        <v>46</v>
      </c>
      <c r="I948" s="26" t="s">
        <v>365</v>
      </c>
      <c r="J948" s="26">
        <v>3.0</v>
      </c>
      <c r="K948" s="26" t="s">
        <v>4111</v>
      </c>
      <c r="L948" s="26" t="s">
        <v>15</v>
      </c>
      <c r="M948" s="26" t="s">
        <v>81</v>
      </c>
      <c r="N948" s="26" t="s">
        <v>307</v>
      </c>
      <c r="O948" s="26">
        <v>6.0</v>
      </c>
    </row>
    <row r="949" ht="15.75" customHeight="1">
      <c r="A949" s="26" t="s">
        <v>4112</v>
      </c>
      <c r="B949" s="26" t="s">
        <v>4113</v>
      </c>
      <c r="C949" s="26" t="s">
        <v>363</v>
      </c>
      <c r="D949" s="26" t="s">
        <v>79</v>
      </c>
      <c r="E949" s="26" t="s">
        <v>4114</v>
      </c>
      <c r="F949" s="26" t="s">
        <v>1895</v>
      </c>
      <c r="G949" s="26" t="s">
        <v>255</v>
      </c>
      <c r="H949" s="26" t="s">
        <v>49</v>
      </c>
      <c r="I949" s="26"/>
      <c r="J949" s="26">
        <v>1.0</v>
      </c>
      <c r="K949" s="26" t="s">
        <v>4115</v>
      </c>
      <c r="L949" s="26" t="s">
        <v>15</v>
      </c>
      <c r="M949" s="26" t="s">
        <v>81</v>
      </c>
      <c r="N949" s="26" t="s">
        <v>307</v>
      </c>
      <c r="O949" s="26">
        <v>1.0</v>
      </c>
    </row>
    <row r="950" ht="15.75" customHeight="1">
      <c r="A950" s="26" t="s">
        <v>4116</v>
      </c>
      <c r="B950" s="26" t="s">
        <v>4117</v>
      </c>
      <c r="C950" s="26" t="s">
        <v>429</v>
      </c>
      <c r="D950" s="26" t="s">
        <v>48</v>
      </c>
      <c r="E950" s="26" t="s">
        <v>4118</v>
      </c>
      <c r="F950" s="26" t="s">
        <v>1727</v>
      </c>
      <c r="G950" s="26" t="s">
        <v>284</v>
      </c>
      <c r="H950" s="26" t="s">
        <v>46</v>
      </c>
      <c r="I950" s="26"/>
      <c r="J950" s="26">
        <v>0.0</v>
      </c>
      <c r="K950" s="26" t="s">
        <v>1190</v>
      </c>
      <c r="L950" s="26" t="s">
        <v>29</v>
      </c>
      <c r="M950" s="26" t="s">
        <v>95</v>
      </c>
      <c r="N950" s="26" t="s">
        <v>307</v>
      </c>
      <c r="O950" s="26">
        <v>6.0</v>
      </c>
    </row>
    <row r="951" ht="15.75" customHeight="1">
      <c r="A951" s="26" t="s">
        <v>4119</v>
      </c>
      <c r="B951" s="26" t="s">
        <v>4120</v>
      </c>
      <c r="C951" s="26" t="s">
        <v>429</v>
      </c>
      <c r="D951" s="26" t="s">
        <v>48</v>
      </c>
      <c r="E951" s="26" t="s">
        <v>4121</v>
      </c>
      <c r="F951" s="26" t="s">
        <v>1014</v>
      </c>
      <c r="G951" s="26" t="s">
        <v>248</v>
      </c>
      <c r="H951" s="26" t="s">
        <v>46</v>
      </c>
      <c r="I951" s="26"/>
      <c r="J951" s="26">
        <v>1.0</v>
      </c>
      <c r="K951" s="26" t="s">
        <v>4122</v>
      </c>
      <c r="L951" s="26" t="s">
        <v>15</v>
      </c>
      <c r="M951" s="26" t="s">
        <v>81</v>
      </c>
      <c r="N951" s="26" t="s">
        <v>307</v>
      </c>
      <c r="O951" s="26">
        <v>6.0</v>
      </c>
    </row>
    <row r="952" ht="15.75" customHeight="1">
      <c r="A952" s="26" t="s">
        <v>4123</v>
      </c>
      <c r="B952" s="26" t="s">
        <v>4124</v>
      </c>
      <c r="C952" s="26" t="s">
        <v>363</v>
      </c>
      <c r="D952" s="26" t="s">
        <v>69</v>
      </c>
      <c r="E952" s="26" t="s">
        <v>4125</v>
      </c>
      <c r="F952" s="26" t="s">
        <v>2870</v>
      </c>
      <c r="G952" s="26" t="s">
        <v>115</v>
      </c>
      <c r="H952" s="26" t="s">
        <v>53</v>
      </c>
      <c r="I952" s="26" t="s">
        <v>1070</v>
      </c>
      <c r="J952" s="26">
        <v>2.0</v>
      </c>
      <c r="K952" s="26" t="s">
        <v>4126</v>
      </c>
      <c r="L952" s="26" t="s">
        <v>15</v>
      </c>
      <c r="M952" s="26" t="s">
        <v>81</v>
      </c>
      <c r="N952" s="26" t="s">
        <v>307</v>
      </c>
      <c r="O952" s="26">
        <v>1.0</v>
      </c>
    </row>
    <row r="953" ht="15.75" customHeight="1">
      <c r="A953" s="26" t="s">
        <v>4127</v>
      </c>
      <c r="B953" s="26" t="s">
        <v>4128</v>
      </c>
      <c r="C953" s="26" t="s">
        <v>312</v>
      </c>
      <c r="D953" s="26" t="s">
        <v>36</v>
      </c>
      <c r="E953" s="26" t="s">
        <v>159</v>
      </c>
      <c r="F953" s="26" t="s">
        <v>1583</v>
      </c>
      <c r="G953" s="26" t="s">
        <v>73</v>
      </c>
      <c r="H953" s="26" t="s">
        <v>46</v>
      </c>
      <c r="I953" s="26"/>
      <c r="J953" s="26">
        <v>1.0</v>
      </c>
      <c r="K953" s="26" t="s">
        <v>160</v>
      </c>
      <c r="L953" s="26" t="s">
        <v>15</v>
      </c>
      <c r="M953" s="26" t="s">
        <v>81</v>
      </c>
      <c r="N953" s="26" t="s">
        <v>307</v>
      </c>
      <c r="O953" s="26">
        <v>4.0</v>
      </c>
    </row>
    <row r="954" ht="15.75" customHeight="1">
      <c r="A954" s="26" t="s">
        <v>4129</v>
      </c>
      <c r="B954" s="26" t="s">
        <v>4130</v>
      </c>
      <c r="C954" s="26" t="s">
        <v>363</v>
      </c>
      <c r="D954" s="26" t="s">
        <v>45</v>
      </c>
      <c r="E954" s="26" t="s">
        <v>4131</v>
      </c>
      <c r="F954" s="26" t="s">
        <v>744</v>
      </c>
      <c r="G954" s="26" t="s">
        <v>148</v>
      </c>
      <c r="H954" s="26" t="s">
        <v>34</v>
      </c>
      <c r="I954" s="26" t="s">
        <v>82</v>
      </c>
      <c r="J954" s="26">
        <v>2.0</v>
      </c>
      <c r="K954" s="26" t="s">
        <v>4132</v>
      </c>
      <c r="L954" s="26" t="s">
        <v>15</v>
      </c>
      <c r="M954" s="26" t="s">
        <v>81</v>
      </c>
      <c r="N954" s="26" t="s">
        <v>307</v>
      </c>
      <c r="O954" s="26">
        <v>1.0</v>
      </c>
    </row>
    <row r="955" ht="15.75" customHeight="1">
      <c r="A955" s="26" t="s">
        <v>4133</v>
      </c>
      <c r="B955" s="26" t="s">
        <v>4134</v>
      </c>
      <c r="C955" s="26" t="s">
        <v>363</v>
      </c>
      <c r="D955" s="26" t="s">
        <v>48</v>
      </c>
      <c r="E955" s="26" t="s">
        <v>4135</v>
      </c>
      <c r="F955" s="26" t="s">
        <v>1014</v>
      </c>
      <c r="G955" s="26" t="s">
        <v>248</v>
      </c>
      <c r="H955" s="26" t="s">
        <v>46</v>
      </c>
      <c r="I955" s="26" t="s">
        <v>339</v>
      </c>
      <c r="J955" s="26">
        <v>3.0</v>
      </c>
      <c r="K955" s="26" t="s">
        <v>4136</v>
      </c>
      <c r="L955" s="26" t="s">
        <v>15</v>
      </c>
      <c r="M955" s="26" t="s">
        <v>81</v>
      </c>
      <c r="N955" s="26" t="s">
        <v>307</v>
      </c>
      <c r="O955" s="26">
        <v>6.0</v>
      </c>
    </row>
    <row r="956" ht="15.75" customHeight="1">
      <c r="A956" s="26" t="s">
        <v>4137</v>
      </c>
      <c r="B956" s="26" t="s">
        <v>4138</v>
      </c>
      <c r="C956" s="26" t="s">
        <v>363</v>
      </c>
      <c r="D956" s="26" t="s">
        <v>69</v>
      </c>
      <c r="E956" s="26" t="s">
        <v>1018</v>
      </c>
      <c r="F956" s="26" t="s">
        <v>537</v>
      </c>
      <c r="G956" s="26" t="s">
        <v>197</v>
      </c>
      <c r="H956" s="26" t="s">
        <v>34</v>
      </c>
      <c r="I956" s="26" t="s">
        <v>115</v>
      </c>
      <c r="J956" s="26">
        <v>2.0</v>
      </c>
      <c r="K956" s="26" t="s">
        <v>136</v>
      </c>
      <c r="L956" s="26" t="s">
        <v>29</v>
      </c>
      <c r="M956" s="26" t="s">
        <v>95</v>
      </c>
      <c r="N956" s="26" t="s">
        <v>307</v>
      </c>
      <c r="O956" s="26">
        <v>1.0</v>
      </c>
    </row>
    <row r="957" ht="15.75" customHeight="1">
      <c r="A957" s="26" t="s">
        <v>4139</v>
      </c>
      <c r="B957" s="26" t="s">
        <v>4140</v>
      </c>
      <c r="C957" s="26" t="s">
        <v>312</v>
      </c>
      <c r="D957" s="26" t="s">
        <v>48</v>
      </c>
      <c r="E957" s="26" t="s">
        <v>4141</v>
      </c>
      <c r="F957" s="26" t="s">
        <v>834</v>
      </c>
      <c r="G957" s="26" t="s">
        <v>267</v>
      </c>
      <c r="H957" s="26" t="s">
        <v>34</v>
      </c>
      <c r="I957" s="26" t="s">
        <v>339</v>
      </c>
      <c r="J957" s="26">
        <v>2.0</v>
      </c>
      <c r="K957" s="26" t="s">
        <v>244</v>
      </c>
      <c r="L957" s="26" t="s">
        <v>29</v>
      </c>
      <c r="M957" s="26" t="s">
        <v>95</v>
      </c>
      <c r="N957" s="26" t="s">
        <v>307</v>
      </c>
      <c r="O957" s="26">
        <v>0.0</v>
      </c>
    </row>
    <row r="958" ht="15.75" customHeight="1">
      <c r="A958" s="26" t="s">
        <v>4142</v>
      </c>
      <c r="B958" s="26" t="s">
        <v>4143</v>
      </c>
      <c r="C958" s="26" t="s">
        <v>300</v>
      </c>
      <c r="D958" s="26" t="s">
        <v>69</v>
      </c>
      <c r="E958" s="26" t="s">
        <v>4144</v>
      </c>
      <c r="F958" s="26" t="s">
        <v>440</v>
      </c>
      <c r="G958" s="26" t="s">
        <v>83</v>
      </c>
      <c r="H958" s="26" t="s">
        <v>46</v>
      </c>
      <c r="I958" s="26"/>
      <c r="J958" s="26">
        <v>1.0</v>
      </c>
      <c r="K958" s="26" t="s">
        <v>136</v>
      </c>
      <c r="L958" s="26" t="s">
        <v>29</v>
      </c>
      <c r="M958" s="26" t="s">
        <v>95</v>
      </c>
      <c r="N958" s="26" t="s">
        <v>307</v>
      </c>
      <c r="O958" s="26">
        <v>0.0</v>
      </c>
    </row>
    <row r="959" ht="15.75" customHeight="1">
      <c r="A959" s="26" t="s">
        <v>4145</v>
      </c>
      <c r="B959" s="26" t="s">
        <v>4146</v>
      </c>
      <c r="C959" s="26" t="s">
        <v>363</v>
      </c>
      <c r="D959" s="26" t="s">
        <v>69</v>
      </c>
      <c r="E959" s="26" t="s">
        <v>1015</v>
      </c>
      <c r="F959" s="26" t="s">
        <v>537</v>
      </c>
      <c r="G959" s="26" t="s">
        <v>197</v>
      </c>
      <c r="H959" s="26" t="s">
        <v>34</v>
      </c>
      <c r="I959" s="26"/>
      <c r="J959" s="26">
        <v>1.0</v>
      </c>
      <c r="K959" s="26" t="s">
        <v>1016</v>
      </c>
      <c r="L959" s="26" t="s">
        <v>15</v>
      </c>
      <c r="M959" s="26" t="s">
        <v>81</v>
      </c>
      <c r="N959" s="26" t="s">
        <v>307</v>
      </c>
      <c r="O959" s="26">
        <v>1.0</v>
      </c>
    </row>
    <row r="960" ht="15.75" customHeight="1">
      <c r="A960" s="26" t="s">
        <v>4147</v>
      </c>
      <c r="B960" s="26" t="s">
        <v>4148</v>
      </c>
      <c r="C960" s="26" t="s">
        <v>363</v>
      </c>
      <c r="D960" s="26" t="s">
        <v>96</v>
      </c>
      <c r="E960" s="26" t="s">
        <v>1440</v>
      </c>
      <c r="F960" s="26" t="s">
        <v>4149</v>
      </c>
      <c r="G960" s="26" t="s">
        <v>1439</v>
      </c>
      <c r="H960" s="26" t="s">
        <v>46</v>
      </c>
      <c r="I960" s="26"/>
      <c r="J960" s="26">
        <v>0.0</v>
      </c>
      <c r="K960" s="26" t="s">
        <v>1441</v>
      </c>
      <c r="L960" s="26" t="s">
        <v>23</v>
      </c>
      <c r="M960" s="26" t="s">
        <v>91</v>
      </c>
      <c r="N960" s="26" t="s">
        <v>307</v>
      </c>
      <c r="O960" s="26">
        <v>1.0</v>
      </c>
    </row>
    <row r="961" ht="15.75" customHeight="1">
      <c r="A961" s="26" t="s">
        <v>4150</v>
      </c>
      <c r="B961" s="26" t="s">
        <v>4151</v>
      </c>
      <c r="C961" s="26" t="s">
        <v>363</v>
      </c>
      <c r="D961" s="26" t="s">
        <v>48</v>
      </c>
      <c r="E961" s="26" t="s">
        <v>4152</v>
      </c>
      <c r="F961" s="26" t="s">
        <v>984</v>
      </c>
      <c r="G961" s="26" t="s">
        <v>265</v>
      </c>
      <c r="H961" s="26" t="s">
        <v>34</v>
      </c>
      <c r="I961" s="26"/>
      <c r="J961" s="26">
        <v>1.0</v>
      </c>
      <c r="K961" s="26" t="s">
        <v>4153</v>
      </c>
      <c r="L961" s="26" t="s">
        <v>15</v>
      </c>
      <c r="M961" s="26" t="s">
        <v>81</v>
      </c>
      <c r="N961" s="26" t="s">
        <v>307</v>
      </c>
      <c r="O961" s="26">
        <v>5.0</v>
      </c>
    </row>
    <row r="962" ht="15.75" customHeight="1">
      <c r="A962" s="26" t="s">
        <v>4154</v>
      </c>
      <c r="B962" s="26" t="s">
        <v>4155</v>
      </c>
      <c r="C962" s="26" t="s">
        <v>429</v>
      </c>
      <c r="D962" s="26" t="s">
        <v>45</v>
      </c>
      <c r="E962" s="26" t="s">
        <v>4156</v>
      </c>
      <c r="F962" s="26" t="s">
        <v>799</v>
      </c>
      <c r="G962" s="26" t="s">
        <v>130</v>
      </c>
      <c r="H962" s="26" t="s">
        <v>34</v>
      </c>
      <c r="I962" s="26" t="s">
        <v>1433</v>
      </c>
      <c r="J962" s="26">
        <v>2.0</v>
      </c>
      <c r="K962" s="26" t="s">
        <v>4157</v>
      </c>
      <c r="L962" s="26" t="s">
        <v>15</v>
      </c>
      <c r="M962" s="26" t="s">
        <v>81</v>
      </c>
      <c r="N962" s="26" t="s">
        <v>307</v>
      </c>
      <c r="O962" s="26">
        <v>3.0</v>
      </c>
    </row>
    <row r="963" ht="15.75" customHeight="1">
      <c r="A963" s="26" t="s">
        <v>4158</v>
      </c>
      <c r="B963" s="26" t="s">
        <v>4159</v>
      </c>
      <c r="C963" s="26" t="s">
        <v>312</v>
      </c>
      <c r="D963" s="26" t="s">
        <v>48</v>
      </c>
      <c r="E963" s="26" t="s">
        <v>4160</v>
      </c>
      <c r="F963" s="26" t="s">
        <v>834</v>
      </c>
      <c r="G963" s="26" t="s">
        <v>267</v>
      </c>
      <c r="H963" s="26" t="s">
        <v>34</v>
      </c>
      <c r="I963" s="26" t="s">
        <v>365</v>
      </c>
      <c r="J963" s="26">
        <v>3.0</v>
      </c>
      <c r="K963" s="26" t="s">
        <v>4161</v>
      </c>
      <c r="L963" s="26" t="s">
        <v>19</v>
      </c>
      <c r="M963" s="26" t="s">
        <v>81</v>
      </c>
      <c r="N963" s="26" t="s">
        <v>307</v>
      </c>
      <c r="O963" s="26">
        <v>5.0</v>
      </c>
    </row>
    <row r="964" ht="15.75" customHeight="1">
      <c r="A964" s="26" t="s">
        <v>4162</v>
      </c>
      <c r="B964" s="26" t="s">
        <v>4163</v>
      </c>
      <c r="C964" s="26" t="s">
        <v>429</v>
      </c>
      <c r="D964" s="26" t="s">
        <v>36</v>
      </c>
      <c r="E964" s="26" t="s">
        <v>164</v>
      </c>
      <c r="F964" s="26" t="s">
        <v>1583</v>
      </c>
      <c r="G964" s="26" t="s">
        <v>73</v>
      </c>
      <c r="H964" s="26" t="s">
        <v>46</v>
      </c>
      <c r="I964" s="26"/>
      <c r="J964" s="26">
        <v>1.0</v>
      </c>
      <c r="K964" s="26" t="s">
        <v>165</v>
      </c>
      <c r="L964" s="26" t="s">
        <v>15</v>
      </c>
      <c r="M964" s="26" t="s">
        <v>81</v>
      </c>
      <c r="N964" s="26" t="s">
        <v>307</v>
      </c>
      <c r="O964" s="26">
        <v>3.0</v>
      </c>
    </row>
    <row r="965" ht="15.75" customHeight="1">
      <c r="A965" s="26" t="s">
        <v>4164</v>
      </c>
      <c r="B965" s="26" t="s">
        <v>4165</v>
      </c>
      <c r="C965" s="26" t="s">
        <v>429</v>
      </c>
      <c r="D965" s="26" t="s">
        <v>54</v>
      </c>
      <c r="E965" s="26" t="s">
        <v>748</v>
      </c>
      <c r="F965" s="26" t="s">
        <v>644</v>
      </c>
      <c r="G965" s="26" t="s">
        <v>217</v>
      </c>
      <c r="H965" s="26" t="s">
        <v>52</v>
      </c>
      <c r="I965" s="26"/>
      <c r="J965" s="26">
        <v>1.0</v>
      </c>
      <c r="K965" s="26" t="s">
        <v>749</v>
      </c>
      <c r="L965" s="26" t="s">
        <v>19</v>
      </c>
      <c r="M965" s="26" t="s">
        <v>66</v>
      </c>
      <c r="N965" s="26" t="s">
        <v>307</v>
      </c>
      <c r="O965" s="26">
        <v>3.0</v>
      </c>
    </row>
    <row r="966" ht="15.75" customHeight="1">
      <c r="A966" s="26" t="s">
        <v>4166</v>
      </c>
      <c r="B966" s="26" t="s">
        <v>4167</v>
      </c>
      <c r="C966" s="26" t="s">
        <v>429</v>
      </c>
      <c r="D966" s="26" t="s">
        <v>48</v>
      </c>
      <c r="E966" s="26" t="s">
        <v>4104</v>
      </c>
      <c r="F966" s="26" t="s">
        <v>984</v>
      </c>
      <c r="G966" s="26" t="s">
        <v>265</v>
      </c>
      <c r="H966" s="26" t="s">
        <v>34</v>
      </c>
      <c r="I966" s="26" t="s">
        <v>299</v>
      </c>
      <c r="J966" s="26">
        <v>4.0</v>
      </c>
      <c r="K966" s="26" t="s">
        <v>1190</v>
      </c>
      <c r="L966" s="26" t="s">
        <v>29</v>
      </c>
      <c r="M966" s="26" t="s">
        <v>95</v>
      </c>
      <c r="N966" s="26" t="s">
        <v>307</v>
      </c>
      <c r="O966" s="26">
        <v>5.0</v>
      </c>
    </row>
    <row r="967" ht="15.75" customHeight="1">
      <c r="A967" s="26" t="s">
        <v>4168</v>
      </c>
      <c r="B967" s="26" t="s">
        <v>4169</v>
      </c>
      <c r="C967" s="26" t="s">
        <v>322</v>
      </c>
      <c r="D967" s="26" t="s">
        <v>69</v>
      </c>
      <c r="E967" s="26" t="s">
        <v>4170</v>
      </c>
      <c r="F967" s="26" t="s">
        <v>440</v>
      </c>
      <c r="G967" s="26" t="s">
        <v>83</v>
      </c>
      <c r="H967" s="26" t="s">
        <v>46</v>
      </c>
      <c r="I967" s="26"/>
      <c r="J967" s="26">
        <v>1.0</v>
      </c>
      <c r="K967" s="26" t="s">
        <v>136</v>
      </c>
      <c r="L967" s="26" t="s">
        <v>29</v>
      </c>
      <c r="M967" s="26" t="s">
        <v>95</v>
      </c>
      <c r="N967" s="26" t="s">
        <v>307</v>
      </c>
      <c r="O967" s="26">
        <v>1.0</v>
      </c>
    </row>
    <row r="968" ht="15.75" customHeight="1">
      <c r="A968" s="26" t="s">
        <v>4171</v>
      </c>
      <c r="B968" s="26" t="s">
        <v>4172</v>
      </c>
      <c r="C968" s="26" t="s">
        <v>363</v>
      </c>
      <c r="D968" s="26" t="s">
        <v>69</v>
      </c>
      <c r="E968" s="26" t="s">
        <v>4173</v>
      </c>
      <c r="F968" s="26" t="s">
        <v>1422</v>
      </c>
      <c r="G968" s="26" t="s">
        <v>86</v>
      </c>
      <c r="H968" s="26" t="s">
        <v>34</v>
      </c>
      <c r="I968" s="26"/>
      <c r="J968" s="26">
        <v>1.0</v>
      </c>
      <c r="K968" s="26" t="s">
        <v>136</v>
      </c>
      <c r="L968" s="26" t="s">
        <v>29</v>
      </c>
      <c r="M968" s="26" t="s">
        <v>95</v>
      </c>
      <c r="N968" s="26" t="s">
        <v>307</v>
      </c>
      <c r="O968" s="26">
        <v>0.0</v>
      </c>
    </row>
    <row r="969" ht="15.75" customHeight="1">
      <c r="A969" s="26" t="s">
        <v>4174</v>
      </c>
      <c r="B969" s="26" t="s">
        <v>4175</v>
      </c>
      <c r="C969" s="26" t="s">
        <v>429</v>
      </c>
      <c r="D969" s="26" t="s">
        <v>69</v>
      </c>
      <c r="E969" s="26" t="s">
        <v>1042</v>
      </c>
      <c r="F969" s="26" t="s">
        <v>2870</v>
      </c>
      <c r="G969" s="26" t="s">
        <v>115</v>
      </c>
      <c r="H969" s="26" t="s">
        <v>53</v>
      </c>
      <c r="I969" s="26" t="s">
        <v>83</v>
      </c>
      <c r="J969" s="26">
        <v>2.0</v>
      </c>
      <c r="K969" s="26" t="s">
        <v>136</v>
      </c>
      <c r="L969" s="26" t="s">
        <v>29</v>
      </c>
      <c r="M969" s="26" t="s">
        <v>95</v>
      </c>
      <c r="N969" s="26" t="s">
        <v>307</v>
      </c>
      <c r="O969" s="26">
        <v>0.0</v>
      </c>
    </row>
    <row r="970" ht="15.75" customHeight="1">
      <c r="A970" s="26" t="s">
        <v>4176</v>
      </c>
      <c r="B970" s="26" t="s">
        <v>4177</v>
      </c>
      <c r="C970" s="26" t="s">
        <v>300</v>
      </c>
      <c r="D970" s="26" t="s">
        <v>69</v>
      </c>
      <c r="E970" s="26" t="s">
        <v>4178</v>
      </c>
      <c r="F970" s="26" t="s">
        <v>2870</v>
      </c>
      <c r="G970" s="26" t="s">
        <v>115</v>
      </c>
      <c r="H970" s="26" t="s">
        <v>53</v>
      </c>
      <c r="I970" s="26" t="s">
        <v>83</v>
      </c>
      <c r="J970" s="26">
        <v>3.0</v>
      </c>
      <c r="K970" s="26" t="s">
        <v>4179</v>
      </c>
      <c r="L970" s="26" t="s">
        <v>15</v>
      </c>
      <c r="M970" s="26" t="s">
        <v>81</v>
      </c>
      <c r="N970" s="26" t="s">
        <v>307</v>
      </c>
      <c r="O970" s="26">
        <v>2.0</v>
      </c>
    </row>
    <row r="971" ht="15.75" customHeight="1">
      <c r="A971" s="26" t="s">
        <v>4180</v>
      </c>
      <c r="B971" s="26" t="s">
        <v>4181</v>
      </c>
      <c r="C971" s="26" t="s">
        <v>363</v>
      </c>
      <c r="D971" s="26" t="s">
        <v>96</v>
      </c>
      <c r="E971" s="26" t="s">
        <v>4182</v>
      </c>
      <c r="F971" s="26" t="s">
        <v>4183</v>
      </c>
      <c r="G971" s="26" t="s">
        <v>1436</v>
      </c>
      <c r="H971" s="26" t="s">
        <v>46</v>
      </c>
      <c r="I971" s="26"/>
      <c r="J971" s="26">
        <v>1.0</v>
      </c>
      <c r="K971" s="26" t="s">
        <v>4184</v>
      </c>
      <c r="L971" s="26" t="s">
        <v>15</v>
      </c>
      <c r="M971" s="26" t="s">
        <v>81</v>
      </c>
      <c r="N971" s="26" t="s">
        <v>307</v>
      </c>
      <c r="O971" s="26">
        <v>1.0</v>
      </c>
    </row>
    <row r="972" ht="15.75" customHeight="1">
      <c r="A972" s="26" t="s">
        <v>4185</v>
      </c>
      <c r="B972" s="26" t="s">
        <v>4186</v>
      </c>
      <c r="C972" s="26" t="s">
        <v>363</v>
      </c>
      <c r="D972" s="26" t="s">
        <v>62</v>
      </c>
      <c r="E972" s="26" t="s">
        <v>4187</v>
      </c>
      <c r="F972" s="26" t="s">
        <v>383</v>
      </c>
      <c r="G972" s="26" t="s">
        <v>111</v>
      </c>
      <c r="H972" s="26" t="s">
        <v>49</v>
      </c>
      <c r="I972" s="26" t="s">
        <v>261</v>
      </c>
      <c r="J972" s="26">
        <v>3.0</v>
      </c>
      <c r="K972" s="26" t="s">
        <v>4188</v>
      </c>
      <c r="L972" s="26" t="s">
        <v>19</v>
      </c>
      <c r="M972" s="26" t="s">
        <v>66</v>
      </c>
      <c r="N972" s="26" t="s">
        <v>307</v>
      </c>
      <c r="O972" s="26">
        <v>3.0</v>
      </c>
    </row>
    <row r="973" ht="15.75" customHeight="1">
      <c r="A973" s="26" t="s">
        <v>4189</v>
      </c>
      <c r="B973" s="26" t="s">
        <v>4190</v>
      </c>
      <c r="C973" s="26" t="s">
        <v>363</v>
      </c>
      <c r="D973" s="26" t="s">
        <v>50</v>
      </c>
      <c r="E973" s="26" t="s">
        <v>4191</v>
      </c>
      <c r="F973" s="26" t="s">
        <v>1309</v>
      </c>
      <c r="G973" s="26" t="s">
        <v>245</v>
      </c>
      <c r="H973" s="26" t="s">
        <v>57</v>
      </c>
      <c r="I973" s="26" t="s">
        <v>328</v>
      </c>
      <c r="J973" s="26">
        <v>2.0</v>
      </c>
      <c r="K973" s="26" t="s">
        <v>4192</v>
      </c>
      <c r="L973" s="26" t="s">
        <v>15</v>
      </c>
      <c r="M973" s="26" t="s">
        <v>81</v>
      </c>
      <c r="N973" s="26" t="s">
        <v>307</v>
      </c>
      <c r="O973" s="26">
        <v>2.0</v>
      </c>
    </row>
    <row r="974" ht="15.75" customHeight="1">
      <c r="A974" s="26" t="s">
        <v>4193</v>
      </c>
      <c r="B974" s="26" t="s">
        <v>4194</v>
      </c>
      <c r="C974" s="26" t="s">
        <v>363</v>
      </c>
      <c r="D974" s="26" t="s">
        <v>62</v>
      </c>
      <c r="E974" s="26" t="s">
        <v>988</v>
      </c>
      <c r="F974" s="26" t="s">
        <v>3577</v>
      </c>
      <c r="G974" s="26" t="s">
        <v>983</v>
      </c>
      <c r="H974" s="26" t="s">
        <v>61</v>
      </c>
      <c r="I974" s="26"/>
      <c r="J974" s="26">
        <v>1.0</v>
      </c>
      <c r="K974" s="26" t="s">
        <v>4195</v>
      </c>
      <c r="L974" s="26" t="s">
        <v>19</v>
      </c>
      <c r="M974" s="26" t="s">
        <v>66</v>
      </c>
      <c r="N974" s="26" t="s">
        <v>307</v>
      </c>
      <c r="O974" s="26">
        <v>3.0</v>
      </c>
    </row>
    <row r="975" ht="15.75" customHeight="1">
      <c r="A975" s="26" t="s">
        <v>4196</v>
      </c>
      <c r="B975" s="26" t="s">
        <v>4197</v>
      </c>
      <c r="C975" s="26" t="s">
        <v>429</v>
      </c>
      <c r="D975" s="26" t="s">
        <v>50</v>
      </c>
      <c r="E975" s="26" t="s">
        <v>4198</v>
      </c>
      <c r="F975" s="26" t="s">
        <v>336</v>
      </c>
      <c r="G975" s="26" t="s">
        <v>75</v>
      </c>
      <c r="H975" s="26" t="s">
        <v>53</v>
      </c>
      <c r="I975" s="26"/>
      <c r="J975" s="26">
        <v>1.0</v>
      </c>
      <c r="K975" s="26" t="s">
        <v>358</v>
      </c>
      <c r="L975" s="26" t="s">
        <v>19</v>
      </c>
      <c r="M975" s="26" t="s">
        <v>66</v>
      </c>
      <c r="N975" s="26" t="s">
        <v>307</v>
      </c>
      <c r="O975" s="26">
        <v>2.0</v>
      </c>
    </row>
    <row r="976" ht="15.75" customHeight="1">
      <c r="A976" s="26" t="s">
        <v>4199</v>
      </c>
      <c r="B976" s="26" t="s">
        <v>4200</v>
      </c>
      <c r="C976" s="26" t="s">
        <v>363</v>
      </c>
      <c r="D976" s="26" t="s">
        <v>59</v>
      </c>
      <c r="E976" s="26" t="s">
        <v>4201</v>
      </c>
      <c r="F976" s="26" t="s">
        <v>423</v>
      </c>
      <c r="G976" s="26" t="s">
        <v>117</v>
      </c>
      <c r="H976" s="26" t="s">
        <v>34</v>
      </c>
      <c r="I976" s="26" t="s">
        <v>373</v>
      </c>
      <c r="J976" s="26">
        <v>2.0</v>
      </c>
      <c r="K976" s="26" t="s">
        <v>4202</v>
      </c>
      <c r="L976" s="26" t="s">
        <v>15</v>
      </c>
      <c r="M976" s="26" t="s">
        <v>81</v>
      </c>
      <c r="N976" s="26" t="s">
        <v>307</v>
      </c>
      <c r="O976" s="26">
        <v>2.0</v>
      </c>
    </row>
    <row r="977" ht="15.75" customHeight="1">
      <c r="A977" s="26" t="s">
        <v>4203</v>
      </c>
      <c r="B977" s="26" t="s">
        <v>4204</v>
      </c>
      <c r="C977" s="26" t="s">
        <v>363</v>
      </c>
      <c r="D977" s="26" t="s">
        <v>62</v>
      </c>
      <c r="E977" s="26" t="s">
        <v>4205</v>
      </c>
      <c r="F977" s="26" t="s">
        <v>383</v>
      </c>
      <c r="G977" s="26" t="s">
        <v>111</v>
      </c>
      <c r="H977" s="26" t="s">
        <v>49</v>
      </c>
      <c r="I977" s="26" t="s">
        <v>261</v>
      </c>
      <c r="J977" s="26">
        <v>2.0</v>
      </c>
      <c r="K977" s="26" t="s">
        <v>4206</v>
      </c>
      <c r="L977" s="26" t="s">
        <v>15</v>
      </c>
      <c r="M977" s="26" t="s">
        <v>81</v>
      </c>
      <c r="N977" s="26" t="s">
        <v>307</v>
      </c>
      <c r="O977" s="26">
        <v>3.0</v>
      </c>
    </row>
    <row r="978" ht="15.75" customHeight="1">
      <c r="A978" s="26" t="s">
        <v>4207</v>
      </c>
      <c r="B978" s="26" t="s">
        <v>4208</v>
      </c>
      <c r="C978" s="26" t="s">
        <v>300</v>
      </c>
      <c r="D978" s="26" t="s">
        <v>45</v>
      </c>
      <c r="E978" s="26" t="s">
        <v>4209</v>
      </c>
      <c r="F978" s="26" t="s">
        <v>744</v>
      </c>
      <c r="G978" s="26" t="s">
        <v>148</v>
      </c>
      <c r="H978" s="26" t="s">
        <v>34</v>
      </c>
      <c r="I978" s="26" t="s">
        <v>130</v>
      </c>
      <c r="J978" s="26">
        <v>5.0</v>
      </c>
      <c r="K978" s="26" t="s">
        <v>199</v>
      </c>
      <c r="L978" s="26" t="s">
        <v>29</v>
      </c>
      <c r="M978" s="26" t="s">
        <v>95</v>
      </c>
      <c r="N978" s="26" t="s">
        <v>307</v>
      </c>
      <c r="O978" s="26">
        <v>22.0</v>
      </c>
    </row>
    <row r="979" ht="15.75" customHeight="1">
      <c r="A979" s="26" t="s">
        <v>4210</v>
      </c>
      <c r="B979" s="26" t="s">
        <v>4211</v>
      </c>
      <c r="C979" s="26" t="s">
        <v>363</v>
      </c>
      <c r="D979" s="26" t="s">
        <v>45</v>
      </c>
      <c r="E979" s="26" t="s">
        <v>4212</v>
      </c>
      <c r="F979" s="26" t="s">
        <v>799</v>
      </c>
      <c r="G979" s="26" t="s">
        <v>130</v>
      </c>
      <c r="H979" s="26" t="s">
        <v>34</v>
      </c>
      <c r="I979" s="26"/>
      <c r="J979" s="26">
        <v>1.0</v>
      </c>
      <c r="K979" s="26" t="s">
        <v>4213</v>
      </c>
      <c r="L979" s="26" t="s">
        <v>15</v>
      </c>
      <c r="M979" s="26" t="s">
        <v>81</v>
      </c>
      <c r="N979" s="26" t="s">
        <v>307</v>
      </c>
      <c r="O979" s="26">
        <v>4.0</v>
      </c>
    </row>
    <row r="980" ht="15.75" customHeight="1">
      <c r="A980" s="26" t="s">
        <v>4214</v>
      </c>
      <c r="B980" s="26" t="s">
        <v>4215</v>
      </c>
      <c r="C980" s="26" t="s">
        <v>300</v>
      </c>
      <c r="D980" s="26" t="s">
        <v>36</v>
      </c>
      <c r="E980" s="26" t="s">
        <v>4216</v>
      </c>
      <c r="F980" s="26" t="s">
        <v>1292</v>
      </c>
      <c r="G980" s="26" t="s">
        <v>65</v>
      </c>
      <c r="H980" s="26" t="s">
        <v>34</v>
      </c>
      <c r="I980" s="26" t="s">
        <v>82</v>
      </c>
      <c r="J980" s="26">
        <v>3.0</v>
      </c>
      <c r="K980" s="26" t="s">
        <v>4217</v>
      </c>
      <c r="L980" s="26" t="s">
        <v>15</v>
      </c>
      <c r="M980" s="26" t="s">
        <v>81</v>
      </c>
      <c r="N980" s="26" t="s">
        <v>307</v>
      </c>
      <c r="O980" s="26">
        <v>1.0</v>
      </c>
    </row>
    <row r="981" ht="15.75" customHeight="1">
      <c r="A981" s="26" t="s">
        <v>4218</v>
      </c>
      <c r="B981" s="26" t="s">
        <v>4219</v>
      </c>
      <c r="C981" s="26" t="s">
        <v>300</v>
      </c>
      <c r="D981" s="26" t="s">
        <v>48</v>
      </c>
      <c r="E981" s="26" t="s">
        <v>481</v>
      </c>
      <c r="F981" s="26" t="s">
        <v>1727</v>
      </c>
      <c r="G981" s="26" t="s">
        <v>284</v>
      </c>
      <c r="H981" s="26" t="s">
        <v>46</v>
      </c>
      <c r="I981" s="26"/>
      <c r="J981" s="26">
        <v>0.0</v>
      </c>
      <c r="K981" s="26" t="s">
        <v>484</v>
      </c>
      <c r="L981" s="26" t="s">
        <v>15</v>
      </c>
      <c r="M981" s="26" t="s">
        <v>81</v>
      </c>
      <c r="N981" s="26" t="s">
        <v>307</v>
      </c>
      <c r="O981" s="26">
        <v>3.0</v>
      </c>
    </row>
    <row r="982" ht="15.75" customHeight="1">
      <c r="A982" s="26" t="s">
        <v>4220</v>
      </c>
      <c r="B982" s="26" t="s">
        <v>4221</v>
      </c>
      <c r="C982" s="26" t="s">
        <v>300</v>
      </c>
      <c r="D982" s="26" t="s">
        <v>76</v>
      </c>
      <c r="E982" s="26" t="s">
        <v>1189</v>
      </c>
      <c r="F982" s="26" t="s">
        <v>1201</v>
      </c>
      <c r="G982" s="26" t="s">
        <v>222</v>
      </c>
      <c r="H982" s="26" t="s">
        <v>34</v>
      </c>
      <c r="I982" s="26"/>
      <c r="J982" s="26">
        <v>1.0</v>
      </c>
      <c r="K982" s="26" t="s">
        <v>1190</v>
      </c>
      <c r="L982" s="26" t="s">
        <v>29</v>
      </c>
      <c r="M982" s="26" t="s">
        <v>95</v>
      </c>
      <c r="N982" s="26" t="s">
        <v>307</v>
      </c>
      <c r="O982" s="26">
        <v>2.0</v>
      </c>
    </row>
    <row r="983" ht="15.75" customHeight="1">
      <c r="A983" s="26" t="s">
        <v>4222</v>
      </c>
      <c r="B983" s="26" t="s">
        <v>4223</v>
      </c>
      <c r="C983" s="26" t="s">
        <v>429</v>
      </c>
      <c r="D983" s="26" t="s">
        <v>48</v>
      </c>
      <c r="E983" s="26" t="s">
        <v>4224</v>
      </c>
      <c r="F983" s="26" t="s">
        <v>463</v>
      </c>
      <c r="G983" s="26" t="s">
        <v>365</v>
      </c>
      <c r="H983" s="26" t="s">
        <v>53</v>
      </c>
      <c r="I983" s="26"/>
      <c r="J983" s="26">
        <v>1.0</v>
      </c>
      <c r="K983" s="26" t="s">
        <v>4225</v>
      </c>
      <c r="L983" s="26" t="s">
        <v>15</v>
      </c>
      <c r="M983" s="26" t="s">
        <v>81</v>
      </c>
      <c r="N983" s="26" t="s">
        <v>307</v>
      </c>
      <c r="O983" s="26">
        <v>3.0</v>
      </c>
    </row>
    <row r="984" ht="15.75" customHeight="1">
      <c r="A984" s="26" t="s">
        <v>4226</v>
      </c>
      <c r="B984" s="26" t="s">
        <v>4227</v>
      </c>
      <c r="C984" s="26" t="s">
        <v>300</v>
      </c>
      <c r="D984" s="26" t="s">
        <v>48</v>
      </c>
      <c r="E984" s="26" t="s">
        <v>4228</v>
      </c>
      <c r="F984" s="26" t="s">
        <v>834</v>
      </c>
      <c r="G984" s="26" t="s">
        <v>267</v>
      </c>
      <c r="H984" s="26" t="s">
        <v>34</v>
      </c>
      <c r="I984" s="26" t="s">
        <v>378</v>
      </c>
      <c r="J984" s="26">
        <v>2.0</v>
      </c>
      <c r="K984" s="26" t="s">
        <v>4229</v>
      </c>
      <c r="L984" s="26" t="s">
        <v>15</v>
      </c>
      <c r="M984" s="26" t="s">
        <v>81</v>
      </c>
      <c r="N984" s="26" t="s">
        <v>307</v>
      </c>
      <c r="O984" s="26">
        <v>3.0</v>
      </c>
    </row>
    <row r="985" ht="15.75" customHeight="1">
      <c r="A985" s="26" t="s">
        <v>4230</v>
      </c>
      <c r="B985" s="26" t="s">
        <v>4231</v>
      </c>
      <c r="C985" s="26" t="s">
        <v>429</v>
      </c>
      <c r="D985" s="26" t="s">
        <v>48</v>
      </c>
      <c r="E985" s="26" t="s">
        <v>4232</v>
      </c>
      <c r="F985" s="26" t="s">
        <v>366</v>
      </c>
      <c r="G985" s="26" t="s">
        <v>258</v>
      </c>
      <c r="H985" s="26" t="s">
        <v>61</v>
      </c>
      <c r="I985" s="26" t="s">
        <v>248</v>
      </c>
      <c r="J985" s="26">
        <v>3.0</v>
      </c>
      <c r="K985" s="26" t="s">
        <v>244</v>
      </c>
      <c r="L985" s="26" t="s">
        <v>29</v>
      </c>
      <c r="M985" s="26" t="s">
        <v>95</v>
      </c>
      <c r="N985" s="26" t="s">
        <v>307</v>
      </c>
      <c r="O985" s="26">
        <v>3.0</v>
      </c>
    </row>
    <row r="986" ht="15.75" customHeight="1">
      <c r="A986" s="26" t="s">
        <v>4233</v>
      </c>
      <c r="B986" s="26" t="s">
        <v>4234</v>
      </c>
      <c r="C986" s="26" t="s">
        <v>363</v>
      </c>
      <c r="D986" s="26" t="s">
        <v>36</v>
      </c>
      <c r="E986" s="26" t="s">
        <v>4235</v>
      </c>
      <c r="F986" s="26" t="s">
        <v>1583</v>
      </c>
      <c r="G986" s="26" t="s">
        <v>73</v>
      </c>
      <c r="H986" s="26" t="s">
        <v>46</v>
      </c>
      <c r="I986" s="26" t="s">
        <v>108</v>
      </c>
      <c r="J986" s="26">
        <v>2.0</v>
      </c>
      <c r="K986" s="26" t="s">
        <v>4236</v>
      </c>
      <c r="L986" s="26" t="s">
        <v>15</v>
      </c>
      <c r="M986" s="26" t="s">
        <v>81</v>
      </c>
      <c r="N986" s="26" t="s">
        <v>307</v>
      </c>
      <c r="O986" s="26">
        <v>3.0</v>
      </c>
    </row>
    <row r="987" ht="15.75" customHeight="1">
      <c r="A987" s="26" t="s">
        <v>4237</v>
      </c>
      <c r="B987" s="26" t="s">
        <v>4238</v>
      </c>
      <c r="C987" s="26" t="s">
        <v>363</v>
      </c>
      <c r="D987" s="26" t="s">
        <v>45</v>
      </c>
      <c r="E987" s="26" t="s">
        <v>4239</v>
      </c>
      <c r="F987" s="26" t="s">
        <v>799</v>
      </c>
      <c r="G987" s="26" t="s">
        <v>130</v>
      </c>
      <c r="H987" s="26" t="s">
        <v>34</v>
      </c>
      <c r="I987" s="26" t="s">
        <v>140</v>
      </c>
      <c r="J987" s="26">
        <v>5.0</v>
      </c>
      <c r="K987" s="26" t="s">
        <v>4240</v>
      </c>
      <c r="L987" s="26" t="s">
        <v>15</v>
      </c>
      <c r="M987" s="26" t="s">
        <v>87</v>
      </c>
      <c r="N987" s="26" t="s">
        <v>307</v>
      </c>
      <c r="O987" s="26">
        <v>4.0</v>
      </c>
    </row>
    <row r="988" ht="15.75" customHeight="1">
      <c r="A988" s="26" t="s">
        <v>4241</v>
      </c>
      <c r="B988" s="26" t="s">
        <v>4242</v>
      </c>
      <c r="C988" s="26" t="s">
        <v>429</v>
      </c>
      <c r="D988" s="26" t="s">
        <v>36</v>
      </c>
      <c r="E988" s="26" t="s">
        <v>4243</v>
      </c>
      <c r="F988" s="26" t="s">
        <v>315</v>
      </c>
      <c r="G988" s="26" t="s">
        <v>47</v>
      </c>
      <c r="H988" s="26" t="s">
        <v>34</v>
      </c>
      <c r="I988" s="26" t="s">
        <v>51</v>
      </c>
      <c r="J988" s="26">
        <v>3.0</v>
      </c>
      <c r="K988" s="26" t="s">
        <v>4244</v>
      </c>
      <c r="L988" s="26" t="s">
        <v>15</v>
      </c>
      <c r="M988" s="26" t="s">
        <v>81</v>
      </c>
      <c r="N988" s="26" t="s">
        <v>307</v>
      </c>
      <c r="O988" s="26">
        <v>1.0</v>
      </c>
    </row>
    <row r="989" ht="15.75" customHeight="1">
      <c r="A989" s="26" t="s">
        <v>4245</v>
      </c>
      <c r="B989" s="26" t="s">
        <v>4246</v>
      </c>
      <c r="C989" s="26" t="s">
        <v>300</v>
      </c>
      <c r="D989" s="26" t="s">
        <v>76</v>
      </c>
      <c r="E989" s="26" t="s">
        <v>4247</v>
      </c>
      <c r="F989" s="26" t="s">
        <v>1201</v>
      </c>
      <c r="G989" s="26" t="s">
        <v>222</v>
      </c>
      <c r="H989" s="26" t="s">
        <v>34</v>
      </c>
      <c r="I989" s="26" t="s">
        <v>496</v>
      </c>
      <c r="J989" s="26">
        <v>2.0</v>
      </c>
      <c r="K989" s="26" t="s">
        <v>4248</v>
      </c>
      <c r="L989" s="26" t="s">
        <v>15</v>
      </c>
      <c r="M989" s="26" t="s">
        <v>81</v>
      </c>
      <c r="N989" s="26" t="s">
        <v>307</v>
      </c>
      <c r="O989" s="26">
        <v>3.0</v>
      </c>
    </row>
    <row r="990" ht="15.75" customHeight="1">
      <c r="A990" s="26" t="s">
        <v>4249</v>
      </c>
      <c r="B990" s="26" t="s">
        <v>4250</v>
      </c>
      <c r="C990" s="26" t="s">
        <v>429</v>
      </c>
      <c r="D990" s="26" t="s">
        <v>48</v>
      </c>
      <c r="E990" s="26" t="s">
        <v>4251</v>
      </c>
      <c r="F990" s="26" t="s">
        <v>463</v>
      </c>
      <c r="G990" s="26" t="s">
        <v>365</v>
      </c>
      <c r="H990" s="26" t="s">
        <v>53</v>
      </c>
      <c r="I990" s="26"/>
      <c r="J990" s="26">
        <v>1.0</v>
      </c>
      <c r="K990" s="26" t="s">
        <v>4252</v>
      </c>
      <c r="L990" s="26" t="s">
        <v>15</v>
      </c>
      <c r="M990" s="26" t="s">
        <v>81</v>
      </c>
      <c r="N990" s="26" t="s">
        <v>307</v>
      </c>
      <c r="O990" s="26">
        <v>3.0</v>
      </c>
    </row>
    <row r="991" ht="15.75" customHeight="1">
      <c r="A991" s="26" t="s">
        <v>4253</v>
      </c>
      <c r="B991" s="26" t="s">
        <v>4254</v>
      </c>
      <c r="C991" s="26" t="s">
        <v>429</v>
      </c>
      <c r="D991" s="26" t="s">
        <v>72</v>
      </c>
      <c r="E991" s="26" t="s">
        <v>4255</v>
      </c>
      <c r="F991" s="26" t="s">
        <v>2422</v>
      </c>
      <c r="G991" s="26" t="s">
        <v>90</v>
      </c>
      <c r="H991" s="26" t="s">
        <v>34</v>
      </c>
      <c r="I991" s="26"/>
      <c r="J991" s="26">
        <v>1.0</v>
      </c>
      <c r="K991" s="26" t="s">
        <v>4256</v>
      </c>
      <c r="L991" s="26" t="s">
        <v>15</v>
      </c>
      <c r="M991" s="26" t="s">
        <v>81</v>
      </c>
      <c r="N991" s="26" t="s">
        <v>307</v>
      </c>
      <c r="O991" s="26">
        <v>3.0</v>
      </c>
    </row>
    <row r="992" ht="15.75" customHeight="1">
      <c r="A992" s="26" t="s">
        <v>4257</v>
      </c>
      <c r="B992" s="26" t="s">
        <v>4258</v>
      </c>
      <c r="C992" s="26" t="s">
        <v>363</v>
      </c>
      <c r="D992" s="26" t="s">
        <v>59</v>
      </c>
      <c r="E992" s="26" t="s">
        <v>4259</v>
      </c>
      <c r="F992" s="26" t="s">
        <v>1125</v>
      </c>
      <c r="G992" s="26" t="s">
        <v>113</v>
      </c>
      <c r="H992" s="26" t="s">
        <v>49</v>
      </c>
      <c r="I992" s="26"/>
      <c r="J992" s="26">
        <v>1.0</v>
      </c>
      <c r="K992" s="26" t="s">
        <v>4260</v>
      </c>
      <c r="L992" s="26" t="s">
        <v>15</v>
      </c>
      <c r="M992" s="26" t="s">
        <v>81</v>
      </c>
      <c r="N992" s="26" t="s">
        <v>307</v>
      </c>
      <c r="O992" s="26">
        <v>3.0</v>
      </c>
    </row>
    <row r="993" ht="15.75" customHeight="1">
      <c r="A993" s="26" t="s">
        <v>4261</v>
      </c>
      <c r="B993" s="26" t="s">
        <v>4262</v>
      </c>
      <c r="C993" s="26" t="s">
        <v>363</v>
      </c>
      <c r="D993" s="26" t="s">
        <v>50</v>
      </c>
      <c r="E993" s="26" t="s">
        <v>4263</v>
      </c>
      <c r="F993" s="26" t="s">
        <v>336</v>
      </c>
      <c r="G993" s="26" t="s">
        <v>75</v>
      </c>
      <c r="H993" s="26" t="s">
        <v>53</v>
      </c>
      <c r="I993" s="26" t="s">
        <v>245</v>
      </c>
      <c r="J993" s="26">
        <v>3.0</v>
      </c>
      <c r="K993" s="26" t="s">
        <v>244</v>
      </c>
      <c r="L993" s="26" t="s">
        <v>29</v>
      </c>
      <c r="M993" s="26" t="s">
        <v>95</v>
      </c>
      <c r="N993" s="26" t="s">
        <v>307</v>
      </c>
      <c r="O993" s="26">
        <v>3.0</v>
      </c>
    </row>
    <row r="994" ht="15.75" customHeight="1">
      <c r="A994" s="26" t="s">
        <v>4264</v>
      </c>
      <c r="B994" s="26" t="s">
        <v>4265</v>
      </c>
      <c r="C994" s="26" t="s">
        <v>312</v>
      </c>
      <c r="D994" s="26" t="s">
        <v>93</v>
      </c>
      <c r="E994" s="26" t="s">
        <v>4266</v>
      </c>
      <c r="F994" s="26" t="s">
        <v>1826</v>
      </c>
      <c r="G994" s="26" t="s">
        <v>1404</v>
      </c>
      <c r="H994" s="26" t="s">
        <v>34</v>
      </c>
      <c r="I994" s="26" t="s">
        <v>1416</v>
      </c>
      <c r="J994" s="26">
        <v>2.0</v>
      </c>
      <c r="K994" s="26" t="s">
        <v>4267</v>
      </c>
      <c r="L994" s="26" t="s">
        <v>19</v>
      </c>
      <c r="M994" s="26" t="s">
        <v>66</v>
      </c>
      <c r="N994" s="26" t="s">
        <v>307</v>
      </c>
      <c r="O994" s="26">
        <v>4.0</v>
      </c>
    </row>
    <row r="995" ht="15.75" customHeight="1">
      <c r="A995" s="26" t="s">
        <v>4268</v>
      </c>
      <c r="B995" s="26" t="s">
        <v>4269</v>
      </c>
      <c r="C995" s="26" t="s">
        <v>363</v>
      </c>
      <c r="D995" s="26" t="s">
        <v>69</v>
      </c>
      <c r="E995" s="26" t="s">
        <v>4270</v>
      </c>
      <c r="F995" s="26" t="s">
        <v>1422</v>
      </c>
      <c r="G995" s="26" t="s">
        <v>86</v>
      </c>
      <c r="H995" s="26" t="s">
        <v>34</v>
      </c>
      <c r="I995" s="26" t="s">
        <v>83</v>
      </c>
      <c r="J995" s="26">
        <v>2.0</v>
      </c>
      <c r="K995" s="26" t="s">
        <v>4271</v>
      </c>
      <c r="L995" s="26" t="s">
        <v>15</v>
      </c>
      <c r="M995" s="26" t="s">
        <v>81</v>
      </c>
      <c r="N995" s="26" t="s">
        <v>307</v>
      </c>
      <c r="O995" s="26">
        <v>4.0</v>
      </c>
    </row>
    <row r="996" ht="15.75" customHeight="1">
      <c r="A996" s="26" t="s">
        <v>4272</v>
      </c>
      <c r="B996" s="26" t="s">
        <v>4273</v>
      </c>
      <c r="C996" s="26" t="s">
        <v>429</v>
      </c>
      <c r="D996" s="26" t="s">
        <v>54</v>
      </c>
      <c r="E996" s="26" t="s">
        <v>4274</v>
      </c>
      <c r="F996" s="26" t="s">
        <v>644</v>
      </c>
      <c r="G996" s="26" t="s">
        <v>217</v>
      </c>
      <c r="H996" s="26" t="s">
        <v>52</v>
      </c>
      <c r="I996" s="26"/>
      <c r="J996" s="26">
        <v>1.0</v>
      </c>
      <c r="K996" s="26" t="s">
        <v>4275</v>
      </c>
      <c r="L996" s="26" t="s">
        <v>19</v>
      </c>
      <c r="M996" s="26" t="s">
        <v>66</v>
      </c>
      <c r="N996" s="26" t="s">
        <v>307</v>
      </c>
      <c r="O996" s="26">
        <v>3.0</v>
      </c>
    </row>
    <row r="997" ht="15.75" customHeight="1">
      <c r="A997" s="26" t="s">
        <v>4276</v>
      </c>
      <c r="B997" s="26" t="s">
        <v>4277</v>
      </c>
      <c r="C997" s="26" t="s">
        <v>363</v>
      </c>
      <c r="D997" s="26" t="s">
        <v>54</v>
      </c>
      <c r="E997" s="26" t="s">
        <v>822</v>
      </c>
      <c r="F997" s="26" t="s">
        <v>391</v>
      </c>
      <c r="G997" s="26" t="s">
        <v>114</v>
      </c>
      <c r="H997" s="26" t="s">
        <v>74</v>
      </c>
      <c r="I997" s="26"/>
      <c r="J997" s="26">
        <v>0.0</v>
      </c>
      <c r="K997" s="26" t="s">
        <v>136</v>
      </c>
      <c r="L997" s="26" t="s">
        <v>29</v>
      </c>
      <c r="M997" s="26" t="s">
        <v>95</v>
      </c>
      <c r="N997" s="26" t="s">
        <v>307</v>
      </c>
      <c r="O997" s="26">
        <v>3.0</v>
      </c>
    </row>
    <row r="998" ht="15.75" customHeight="1">
      <c r="A998" s="26" t="s">
        <v>4278</v>
      </c>
      <c r="B998" s="26" t="s">
        <v>4279</v>
      </c>
      <c r="C998" s="26" t="s">
        <v>363</v>
      </c>
      <c r="D998" s="26" t="s">
        <v>69</v>
      </c>
      <c r="E998" s="26" t="s">
        <v>4280</v>
      </c>
      <c r="F998" s="26" t="s">
        <v>537</v>
      </c>
      <c r="G998" s="26" t="s">
        <v>197</v>
      </c>
      <c r="H998" s="26" t="s">
        <v>34</v>
      </c>
      <c r="I998" s="26"/>
      <c r="J998" s="26">
        <v>1.0</v>
      </c>
      <c r="K998" s="26" t="s">
        <v>136</v>
      </c>
      <c r="L998" s="26" t="s">
        <v>29</v>
      </c>
      <c r="M998" s="26" t="s">
        <v>95</v>
      </c>
      <c r="N998" s="26" t="s">
        <v>307</v>
      </c>
      <c r="O998" s="26">
        <v>3.0</v>
      </c>
    </row>
    <row r="999" ht="15.75" customHeight="1">
      <c r="A999" s="26" t="s">
        <v>4281</v>
      </c>
      <c r="B999" s="26" t="s">
        <v>4282</v>
      </c>
      <c r="C999" s="26" t="s">
        <v>363</v>
      </c>
      <c r="D999" s="26" t="s">
        <v>69</v>
      </c>
      <c r="E999" s="26" t="s">
        <v>4283</v>
      </c>
      <c r="F999" s="26" t="s">
        <v>2870</v>
      </c>
      <c r="G999" s="26" t="s">
        <v>115</v>
      </c>
      <c r="H999" s="26" t="s">
        <v>53</v>
      </c>
      <c r="I999" s="26" t="s">
        <v>83</v>
      </c>
      <c r="J999" s="26">
        <v>2.0</v>
      </c>
      <c r="K999" s="26" t="s">
        <v>491</v>
      </c>
      <c r="L999" s="26" t="s">
        <v>29</v>
      </c>
      <c r="M999" s="26" t="s">
        <v>95</v>
      </c>
      <c r="N999" s="26" t="s">
        <v>307</v>
      </c>
      <c r="O999" s="26">
        <v>3.0</v>
      </c>
    </row>
    <row r="1000" ht="15.75" customHeight="1">
      <c r="A1000" s="26" t="s">
        <v>4284</v>
      </c>
      <c r="B1000" s="26" t="s">
        <v>4285</v>
      </c>
      <c r="C1000" s="26" t="s">
        <v>312</v>
      </c>
      <c r="D1000" s="26" t="s">
        <v>36</v>
      </c>
      <c r="E1000" s="26" t="s">
        <v>4286</v>
      </c>
      <c r="F1000" s="26" t="s">
        <v>3132</v>
      </c>
      <c r="G1000" s="26" t="s">
        <v>77</v>
      </c>
      <c r="H1000" s="26" t="s">
        <v>46</v>
      </c>
      <c r="I1000" s="26"/>
      <c r="J1000" s="26">
        <v>0.0</v>
      </c>
      <c r="K1000" s="26" t="s">
        <v>4287</v>
      </c>
      <c r="L1000" s="26" t="s">
        <v>15</v>
      </c>
      <c r="M1000" s="26" t="s">
        <v>81</v>
      </c>
      <c r="N1000" s="26" t="s">
        <v>307</v>
      </c>
      <c r="O1000" s="26">
        <v>4.0</v>
      </c>
    </row>
    <row r="1001" ht="15.75" customHeight="1">
      <c r="A1001" s="26" t="s">
        <v>4288</v>
      </c>
      <c r="B1001" s="26" t="s">
        <v>4289</v>
      </c>
      <c r="C1001" s="26" t="s">
        <v>363</v>
      </c>
      <c r="D1001" s="26" t="s">
        <v>36</v>
      </c>
      <c r="E1001" s="26" t="s">
        <v>4290</v>
      </c>
      <c r="F1001" s="26" t="s">
        <v>663</v>
      </c>
      <c r="G1001" s="26" t="s">
        <v>44</v>
      </c>
      <c r="H1001" s="26" t="s">
        <v>34</v>
      </c>
      <c r="I1001" s="26" t="s">
        <v>47</v>
      </c>
      <c r="J1001" s="26">
        <v>3.0</v>
      </c>
      <c r="K1001" s="26" t="s">
        <v>4291</v>
      </c>
      <c r="L1001" s="26" t="s">
        <v>15</v>
      </c>
      <c r="M1001" s="26" t="s">
        <v>87</v>
      </c>
      <c r="N1001" s="26" t="s">
        <v>307</v>
      </c>
      <c r="O1001" s="26">
        <v>3.0</v>
      </c>
    </row>
    <row r="1002" ht="15.75" customHeight="1">
      <c r="A1002" s="26" t="s">
        <v>4292</v>
      </c>
      <c r="B1002" s="26" t="s">
        <v>4293</v>
      </c>
      <c r="C1002" s="26" t="s">
        <v>363</v>
      </c>
      <c r="D1002" s="26" t="s">
        <v>72</v>
      </c>
      <c r="E1002" s="26" t="s">
        <v>4294</v>
      </c>
      <c r="F1002" s="26" t="s">
        <v>2422</v>
      </c>
      <c r="G1002" s="26" t="s">
        <v>90</v>
      </c>
      <c r="H1002" s="26" t="s">
        <v>34</v>
      </c>
      <c r="I1002" s="26" t="s">
        <v>1133</v>
      </c>
      <c r="J1002" s="26">
        <v>3.0</v>
      </c>
      <c r="K1002" s="26" t="s">
        <v>4295</v>
      </c>
      <c r="L1002" s="26" t="s">
        <v>15</v>
      </c>
      <c r="M1002" s="26" t="s">
        <v>81</v>
      </c>
      <c r="N1002" s="26" t="s">
        <v>307</v>
      </c>
      <c r="O1002" s="26">
        <v>4.0</v>
      </c>
    </row>
    <row r="1003" ht="15.75" customHeight="1">
      <c r="A1003" s="26" t="s">
        <v>4296</v>
      </c>
      <c r="B1003" s="26" t="s">
        <v>4297</v>
      </c>
      <c r="C1003" s="26" t="s">
        <v>429</v>
      </c>
      <c r="D1003" s="26" t="s">
        <v>72</v>
      </c>
      <c r="E1003" s="26" t="s">
        <v>1126</v>
      </c>
      <c r="F1003" s="26" t="s">
        <v>1394</v>
      </c>
      <c r="G1003" s="26" t="s">
        <v>109</v>
      </c>
      <c r="H1003" s="26" t="s">
        <v>61</v>
      </c>
      <c r="I1003" s="26"/>
      <c r="J1003" s="26">
        <v>1.0</v>
      </c>
      <c r="K1003" s="26" t="s">
        <v>491</v>
      </c>
      <c r="L1003" s="26" t="s">
        <v>29</v>
      </c>
      <c r="M1003" s="26" t="s">
        <v>95</v>
      </c>
      <c r="N1003" s="26" t="s">
        <v>307</v>
      </c>
      <c r="O1003" s="26">
        <v>0.0</v>
      </c>
    </row>
    <row r="1004" ht="15.75" customHeight="1">
      <c r="A1004" s="26" t="s">
        <v>4298</v>
      </c>
      <c r="B1004" s="26" t="s">
        <v>4299</v>
      </c>
      <c r="C1004" s="26" t="s">
        <v>429</v>
      </c>
      <c r="D1004" s="26" t="s">
        <v>72</v>
      </c>
      <c r="E1004" s="26" t="s">
        <v>4300</v>
      </c>
      <c r="F1004" s="26" t="s">
        <v>2422</v>
      </c>
      <c r="G1004" s="26" t="s">
        <v>90</v>
      </c>
      <c r="H1004" s="26" t="s">
        <v>34</v>
      </c>
      <c r="I1004" s="26" t="s">
        <v>109</v>
      </c>
      <c r="J1004" s="26">
        <v>2.0</v>
      </c>
      <c r="K1004" s="26" t="s">
        <v>4301</v>
      </c>
      <c r="L1004" s="26" t="s">
        <v>15</v>
      </c>
      <c r="M1004" s="26" t="s">
        <v>81</v>
      </c>
      <c r="N1004" s="26" t="s">
        <v>307</v>
      </c>
      <c r="O1004" s="26">
        <v>0.0</v>
      </c>
    </row>
    <row r="1005" ht="15.75" customHeight="1">
      <c r="A1005" s="26" t="s">
        <v>4302</v>
      </c>
      <c r="B1005" s="26" t="s">
        <v>4303</v>
      </c>
      <c r="C1005" s="26" t="s">
        <v>363</v>
      </c>
      <c r="D1005" s="26" t="s">
        <v>36</v>
      </c>
      <c r="E1005" s="26" t="s">
        <v>4304</v>
      </c>
      <c r="F1005" s="26" t="s">
        <v>663</v>
      </c>
      <c r="G1005" s="26" t="s">
        <v>44</v>
      </c>
      <c r="H1005" s="26" t="s">
        <v>34</v>
      </c>
      <c r="I1005" s="26"/>
      <c r="J1005" s="26">
        <v>1.0</v>
      </c>
      <c r="K1005" s="26" t="s">
        <v>4305</v>
      </c>
      <c r="L1005" s="26" t="s">
        <v>15</v>
      </c>
      <c r="M1005" s="26" t="s">
        <v>81</v>
      </c>
      <c r="N1005" s="26" t="s">
        <v>307</v>
      </c>
      <c r="O1005" s="26">
        <v>3.0</v>
      </c>
    </row>
    <row r="1006" ht="15.75" customHeight="1">
      <c r="A1006" s="26" t="s">
        <v>4306</v>
      </c>
      <c r="B1006" s="26" t="s">
        <v>4307</v>
      </c>
      <c r="C1006" s="26" t="s">
        <v>363</v>
      </c>
      <c r="D1006" s="26" t="s">
        <v>48</v>
      </c>
      <c r="E1006" s="26" t="s">
        <v>4308</v>
      </c>
      <c r="F1006" s="26" t="s">
        <v>1014</v>
      </c>
      <c r="G1006" s="26" t="s">
        <v>248</v>
      </c>
      <c r="H1006" s="26" t="s">
        <v>46</v>
      </c>
      <c r="I1006" s="26" t="s">
        <v>267</v>
      </c>
      <c r="J1006" s="26">
        <v>4.0</v>
      </c>
      <c r="K1006" s="26" t="s">
        <v>4309</v>
      </c>
      <c r="L1006" s="26" t="s">
        <v>15</v>
      </c>
      <c r="M1006" s="26" t="s">
        <v>81</v>
      </c>
      <c r="N1006" s="26" t="s">
        <v>307</v>
      </c>
      <c r="O1006" s="26">
        <v>3.0</v>
      </c>
    </row>
    <row r="1007" ht="15.75" customHeight="1">
      <c r="A1007" s="26" t="s">
        <v>4310</v>
      </c>
      <c r="B1007" s="26" t="s">
        <v>4311</v>
      </c>
      <c r="C1007" s="26" t="s">
        <v>363</v>
      </c>
      <c r="D1007" s="26" t="s">
        <v>48</v>
      </c>
      <c r="E1007" s="26" t="s">
        <v>4312</v>
      </c>
      <c r="F1007" s="26" t="s">
        <v>984</v>
      </c>
      <c r="G1007" s="26" t="s">
        <v>265</v>
      </c>
      <c r="H1007" s="26" t="s">
        <v>34</v>
      </c>
      <c r="I1007" s="26" t="s">
        <v>258</v>
      </c>
      <c r="J1007" s="26">
        <v>2.0</v>
      </c>
      <c r="K1007" s="26" t="s">
        <v>4313</v>
      </c>
      <c r="L1007" s="26" t="s">
        <v>15</v>
      </c>
      <c r="M1007" s="26" t="s">
        <v>81</v>
      </c>
      <c r="N1007" s="26" t="s">
        <v>307</v>
      </c>
      <c r="O1007" s="26">
        <v>3.0</v>
      </c>
    </row>
    <row r="1008" ht="15.75" customHeight="1">
      <c r="A1008" s="26" t="s">
        <v>4314</v>
      </c>
      <c r="B1008" s="26" t="s">
        <v>4315</v>
      </c>
      <c r="C1008" s="26" t="s">
        <v>363</v>
      </c>
      <c r="D1008" s="26" t="s">
        <v>48</v>
      </c>
      <c r="E1008" s="26" t="s">
        <v>4316</v>
      </c>
      <c r="F1008" s="26" t="s">
        <v>366</v>
      </c>
      <c r="G1008" s="26" t="s">
        <v>258</v>
      </c>
      <c r="H1008" s="26" t="s">
        <v>61</v>
      </c>
      <c r="I1008" s="26" t="s">
        <v>248</v>
      </c>
      <c r="J1008" s="26">
        <v>2.0</v>
      </c>
      <c r="K1008" s="26" t="s">
        <v>4317</v>
      </c>
      <c r="L1008" s="26" t="s">
        <v>15</v>
      </c>
      <c r="M1008" s="26" t="s">
        <v>81</v>
      </c>
      <c r="N1008" s="26" t="s">
        <v>307</v>
      </c>
      <c r="O1008" s="26">
        <v>3.0</v>
      </c>
    </row>
    <row r="1009" ht="15.75" customHeight="1">
      <c r="A1009" s="26" t="s">
        <v>4318</v>
      </c>
      <c r="B1009" s="26" t="s">
        <v>4319</v>
      </c>
      <c r="C1009" s="26" t="s">
        <v>300</v>
      </c>
      <c r="D1009" s="26" t="s">
        <v>36</v>
      </c>
      <c r="E1009" s="26" t="s">
        <v>4320</v>
      </c>
      <c r="F1009" s="26" t="s">
        <v>663</v>
      </c>
      <c r="G1009" s="26" t="s">
        <v>44</v>
      </c>
      <c r="H1009" s="26" t="s">
        <v>34</v>
      </c>
      <c r="I1009" s="26" t="s">
        <v>82</v>
      </c>
      <c r="J1009" s="26">
        <v>2.0</v>
      </c>
      <c r="K1009" s="26" t="s">
        <v>4321</v>
      </c>
      <c r="L1009" s="26" t="s">
        <v>15</v>
      </c>
      <c r="M1009" s="26" t="s">
        <v>87</v>
      </c>
      <c r="N1009" s="26" t="s">
        <v>307</v>
      </c>
      <c r="O1009" s="26">
        <v>40.0</v>
      </c>
    </row>
    <row r="1010" ht="15.75" customHeight="1">
      <c r="A1010" s="26" t="s">
        <v>4322</v>
      </c>
      <c r="B1010" s="26" t="s">
        <v>4323</v>
      </c>
      <c r="C1010" s="26" t="s">
        <v>429</v>
      </c>
      <c r="D1010" s="26" t="s">
        <v>36</v>
      </c>
      <c r="E1010" s="26" t="s">
        <v>4324</v>
      </c>
      <c r="F1010" s="26" t="s">
        <v>315</v>
      </c>
      <c r="G1010" s="26" t="s">
        <v>47</v>
      </c>
      <c r="H1010" s="26" t="s">
        <v>34</v>
      </c>
      <c r="I1010" s="26"/>
      <c r="J1010" s="26">
        <v>1.0</v>
      </c>
      <c r="K1010" s="26" t="s">
        <v>491</v>
      </c>
      <c r="L1010" s="26" t="s">
        <v>29</v>
      </c>
      <c r="M1010" s="26" t="s">
        <v>95</v>
      </c>
      <c r="N1010" s="26" t="s">
        <v>307</v>
      </c>
      <c r="O1010" s="26">
        <v>3.0</v>
      </c>
    </row>
    <row r="1011" ht="15.75" customHeight="1">
      <c r="A1011" s="26" t="s">
        <v>4325</v>
      </c>
      <c r="B1011" s="26" t="s">
        <v>4326</v>
      </c>
      <c r="C1011" s="26" t="s">
        <v>429</v>
      </c>
      <c r="D1011" s="26" t="s">
        <v>50</v>
      </c>
      <c r="E1011" s="26" t="s">
        <v>4327</v>
      </c>
      <c r="F1011" s="26" t="s">
        <v>1877</v>
      </c>
      <c r="G1011" s="26" t="s">
        <v>311</v>
      </c>
      <c r="H1011" s="26" t="s">
        <v>34</v>
      </c>
      <c r="I1011" s="26" t="s">
        <v>328</v>
      </c>
      <c r="J1011" s="26">
        <v>2.0</v>
      </c>
      <c r="K1011" s="26" t="s">
        <v>4328</v>
      </c>
      <c r="L1011" s="26" t="s">
        <v>15</v>
      </c>
      <c r="M1011" s="26" t="s">
        <v>81</v>
      </c>
      <c r="N1011" s="26" t="s">
        <v>307</v>
      </c>
      <c r="O1011" s="26">
        <v>3.0</v>
      </c>
    </row>
    <row r="1012" ht="15.75" customHeight="1">
      <c r="A1012" s="26" t="s">
        <v>4329</v>
      </c>
      <c r="B1012" s="26" t="s">
        <v>4330</v>
      </c>
      <c r="C1012" s="26" t="s">
        <v>363</v>
      </c>
      <c r="D1012" s="26" t="s">
        <v>48</v>
      </c>
      <c r="E1012" s="26" t="s">
        <v>4331</v>
      </c>
      <c r="F1012" s="26" t="s">
        <v>984</v>
      </c>
      <c r="G1012" s="26" t="s">
        <v>265</v>
      </c>
      <c r="H1012" s="26" t="s">
        <v>34</v>
      </c>
      <c r="I1012" s="26" t="s">
        <v>299</v>
      </c>
      <c r="J1012" s="26">
        <v>3.0</v>
      </c>
      <c r="K1012" s="26" t="s">
        <v>4332</v>
      </c>
      <c r="L1012" s="26" t="s">
        <v>15</v>
      </c>
      <c r="M1012" s="26" t="s">
        <v>81</v>
      </c>
      <c r="N1012" s="26" t="s">
        <v>307</v>
      </c>
      <c r="O1012" s="26">
        <v>3.0</v>
      </c>
    </row>
    <row r="1013" ht="15.75" customHeight="1">
      <c r="A1013" s="26" t="s">
        <v>4333</v>
      </c>
      <c r="B1013" s="26" t="s">
        <v>4334</v>
      </c>
      <c r="C1013" s="26" t="s">
        <v>312</v>
      </c>
      <c r="D1013" s="26" t="s">
        <v>48</v>
      </c>
      <c r="E1013" s="26" t="s">
        <v>4335</v>
      </c>
      <c r="F1013" s="26" t="s">
        <v>834</v>
      </c>
      <c r="G1013" s="26" t="s">
        <v>267</v>
      </c>
      <c r="H1013" s="26" t="s">
        <v>34</v>
      </c>
      <c r="I1013" s="26"/>
      <c r="J1013" s="26">
        <v>1.0</v>
      </c>
      <c r="K1013" s="26" t="s">
        <v>491</v>
      </c>
      <c r="L1013" s="26" t="s">
        <v>29</v>
      </c>
      <c r="M1013" s="26" t="s">
        <v>95</v>
      </c>
      <c r="N1013" s="26" t="s">
        <v>307</v>
      </c>
      <c r="O1013" s="26">
        <v>3.0</v>
      </c>
    </row>
    <row r="1014" ht="15.75" customHeight="1">
      <c r="A1014" s="26" t="s">
        <v>4336</v>
      </c>
      <c r="B1014" s="26" t="s">
        <v>4337</v>
      </c>
      <c r="C1014" s="26" t="s">
        <v>312</v>
      </c>
      <c r="D1014" s="26" t="s">
        <v>48</v>
      </c>
      <c r="E1014" s="26" t="s">
        <v>4338</v>
      </c>
      <c r="F1014" s="26" t="s">
        <v>834</v>
      </c>
      <c r="G1014" s="26" t="s">
        <v>267</v>
      </c>
      <c r="H1014" s="26" t="s">
        <v>34</v>
      </c>
      <c r="I1014" s="26"/>
      <c r="J1014" s="26">
        <v>1.0</v>
      </c>
      <c r="K1014" s="26" t="s">
        <v>4339</v>
      </c>
      <c r="L1014" s="26" t="s">
        <v>15</v>
      </c>
      <c r="M1014" s="26" t="s">
        <v>81</v>
      </c>
      <c r="N1014" s="26" t="s">
        <v>307</v>
      </c>
      <c r="O1014" s="26">
        <v>3.0</v>
      </c>
    </row>
    <row r="1015" ht="15.75" customHeight="1">
      <c r="A1015" s="26" t="s">
        <v>4340</v>
      </c>
      <c r="B1015" s="26" t="s">
        <v>4341</v>
      </c>
      <c r="C1015" s="26" t="s">
        <v>429</v>
      </c>
      <c r="D1015" s="26" t="s">
        <v>59</v>
      </c>
      <c r="E1015" s="26" t="s">
        <v>852</v>
      </c>
      <c r="F1015" s="26" t="s">
        <v>1125</v>
      </c>
      <c r="G1015" s="26" t="s">
        <v>113</v>
      </c>
      <c r="H1015" s="26" t="s">
        <v>49</v>
      </c>
      <c r="I1015" s="26" t="s">
        <v>373</v>
      </c>
      <c r="J1015" s="26">
        <v>2.0</v>
      </c>
      <c r="K1015" s="26" t="s">
        <v>136</v>
      </c>
      <c r="L1015" s="26" t="s">
        <v>29</v>
      </c>
      <c r="M1015" s="26" t="s">
        <v>95</v>
      </c>
      <c r="N1015" s="26" t="s">
        <v>307</v>
      </c>
      <c r="O1015" s="26">
        <v>2.0</v>
      </c>
    </row>
    <row r="1016" ht="15.75" customHeight="1">
      <c r="A1016" s="26" t="s">
        <v>4340</v>
      </c>
      <c r="B1016" s="26" t="s">
        <v>4341</v>
      </c>
      <c r="C1016" s="26" t="s">
        <v>429</v>
      </c>
      <c r="D1016" s="26" t="s">
        <v>59</v>
      </c>
      <c r="E1016" s="26" t="s">
        <v>852</v>
      </c>
      <c r="F1016" s="26" t="s">
        <v>1125</v>
      </c>
      <c r="G1016" s="26" t="s">
        <v>113</v>
      </c>
      <c r="H1016" s="26" t="s">
        <v>49</v>
      </c>
      <c r="I1016" s="26" t="s">
        <v>373</v>
      </c>
      <c r="J1016" s="26">
        <v>2.0</v>
      </c>
      <c r="K1016" s="26" t="s">
        <v>491</v>
      </c>
      <c r="L1016" s="26" t="s">
        <v>29</v>
      </c>
      <c r="M1016" s="26" t="s">
        <v>95</v>
      </c>
      <c r="N1016" s="26" t="s">
        <v>307</v>
      </c>
      <c r="O1016" s="26">
        <v>2.0</v>
      </c>
    </row>
    <row r="1017" ht="15.75" customHeight="1">
      <c r="A1017" s="26" t="s">
        <v>4342</v>
      </c>
      <c r="B1017" s="26" t="s">
        <v>4343</v>
      </c>
      <c r="C1017" s="26" t="s">
        <v>300</v>
      </c>
      <c r="D1017" s="26" t="s">
        <v>48</v>
      </c>
      <c r="E1017" s="26" t="s">
        <v>4344</v>
      </c>
      <c r="F1017" s="26" t="s">
        <v>834</v>
      </c>
      <c r="G1017" s="26" t="s">
        <v>267</v>
      </c>
      <c r="H1017" s="26" t="s">
        <v>34</v>
      </c>
      <c r="I1017" s="26"/>
      <c r="J1017" s="26">
        <v>1.0</v>
      </c>
      <c r="K1017" s="26" t="s">
        <v>4345</v>
      </c>
      <c r="L1017" s="26" t="s">
        <v>15</v>
      </c>
      <c r="M1017" s="26" t="s">
        <v>81</v>
      </c>
      <c r="N1017" s="26" t="s">
        <v>307</v>
      </c>
      <c r="O1017" s="26">
        <v>2.0</v>
      </c>
    </row>
    <row r="1018" ht="15.75" customHeight="1">
      <c r="A1018" s="26" t="s">
        <v>4346</v>
      </c>
      <c r="B1018" s="26" t="s">
        <v>4347</v>
      </c>
      <c r="C1018" s="26" t="s">
        <v>363</v>
      </c>
      <c r="D1018" s="26" t="s">
        <v>69</v>
      </c>
      <c r="E1018" s="26" t="s">
        <v>4348</v>
      </c>
      <c r="F1018" s="26" t="s">
        <v>537</v>
      </c>
      <c r="G1018" s="26" t="s">
        <v>197</v>
      </c>
      <c r="H1018" s="26" t="s">
        <v>34</v>
      </c>
      <c r="I1018" s="26" t="s">
        <v>83</v>
      </c>
      <c r="J1018" s="26">
        <v>2.0</v>
      </c>
      <c r="K1018" s="26" t="s">
        <v>4349</v>
      </c>
      <c r="L1018" s="26" t="s">
        <v>15</v>
      </c>
      <c r="M1018" s="26" t="s">
        <v>81</v>
      </c>
      <c r="N1018" s="26" t="s">
        <v>307</v>
      </c>
      <c r="O1018" s="26">
        <v>3.0</v>
      </c>
    </row>
    <row r="1019" ht="15.75" customHeight="1">
      <c r="A1019" s="26" t="s">
        <v>4350</v>
      </c>
      <c r="B1019" s="26" t="s">
        <v>4351</v>
      </c>
      <c r="C1019" s="26" t="s">
        <v>363</v>
      </c>
      <c r="D1019" s="26" t="s">
        <v>76</v>
      </c>
      <c r="E1019" s="26" t="s">
        <v>4352</v>
      </c>
      <c r="F1019" s="26" t="s">
        <v>1201</v>
      </c>
      <c r="G1019" s="26" t="s">
        <v>222</v>
      </c>
      <c r="H1019" s="26" t="s">
        <v>34</v>
      </c>
      <c r="I1019" s="26" t="s">
        <v>1205</v>
      </c>
      <c r="J1019" s="26">
        <v>3.0</v>
      </c>
      <c r="K1019" s="26" t="s">
        <v>4353</v>
      </c>
      <c r="L1019" s="26" t="s">
        <v>15</v>
      </c>
      <c r="M1019" s="26" t="s">
        <v>81</v>
      </c>
      <c r="N1019" s="26" t="s">
        <v>307</v>
      </c>
      <c r="O1019" s="26">
        <v>2.0</v>
      </c>
    </row>
    <row r="1020" ht="15.75" customHeight="1">
      <c r="A1020" s="26" t="s">
        <v>4354</v>
      </c>
      <c r="B1020" s="26" t="s">
        <v>4355</v>
      </c>
      <c r="C1020" s="26" t="s">
        <v>363</v>
      </c>
      <c r="D1020" s="26" t="s">
        <v>45</v>
      </c>
      <c r="E1020" s="26" t="s">
        <v>4356</v>
      </c>
      <c r="F1020" s="26" t="s">
        <v>799</v>
      </c>
      <c r="G1020" s="26" t="s">
        <v>130</v>
      </c>
      <c r="H1020" s="26" t="s">
        <v>34</v>
      </c>
      <c r="I1020" s="26" t="s">
        <v>82</v>
      </c>
      <c r="J1020" s="26">
        <v>2.0</v>
      </c>
      <c r="K1020" s="26" t="s">
        <v>4357</v>
      </c>
      <c r="L1020" s="26" t="s">
        <v>15</v>
      </c>
      <c r="M1020" s="26" t="s">
        <v>81</v>
      </c>
      <c r="N1020" s="26" t="s">
        <v>307</v>
      </c>
      <c r="O1020" s="26">
        <v>1.0</v>
      </c>
    </row>
    <row r="1021" ht="15.75" customHeight="1">
      <c r="A1021" s="26" t="s">
        <v>4358</v>
      </c>
      <c r="B1021" s="26" t="s">
        <v>4359</v>
      </c>
      <c r="C1021" s="26" t="s">
        <v>312</v>
      </c>
      <c r="D1021" s="26" t="s">
        <v>76</v>
      </c>
      <c r="E1021" s="26" t="s">
        <v>1196</v>
      </c>
      <c r="F1021" s="26" t="s">
        <v>493</v>
      </c>
      <c r="G1021" s="26" t="s">
        <v>494</v>
      </c>
      <c r="H1021" s="26" t="s">
        <v>34</v>
      </c>
      <c r="I1021" s="26"/>
      <c r="J1021" s="26">
        <v>1.0</v>
      </c>
      <c r="K1021" s="26" t="s">
        <v>1198</v>
      </c>
      <c r="L1021" s="26" t="s">
        <v>15</v>
      </c>
      <c r="M1021" s="26" t="s">
        <v>81</v>
      </c>
      <c r="N1021" s="26" t="s">
        <v>307</v>
      </c>
      <c r="O1021" s="26">
        <v>3.0</v>
      </c>
    </row>
    <row r="1022" ht="15.75" customHeight="1">
      <c r="A1022" s="26" t="s">
        <v>4360</v>
      </c>
      <c r="B1022" s="26" t="s">
        <v>4361</v>
      </c>
      <c r="C1022" s="26" t="s">
        <v>300</v>
      </c>
      <c r="D1022" s="26" t="s">
        <v>48</v>
      </c>
      <c r="E1022" s="26" t="s">
        <v>486</v>
      </c>
      <c r="F1022" s="26" t="s">
        <v>1727</v>
      </c>
      <c r="G1022" s="26" t="s">
        <v>284</v>
      </c>
      <c r="H1022" s="26" t="s">
        <v>46</v>
      </c>
      <c r="I1022" s="26"/>
      <c r="J1022" s="26">
        <v>0.0</v>
      </c>
      <c r="K1022" s="26" t="s">
        <v>487</v>
      </c>
      <c r="L1022" s="26" t="s">
        <v>15</v>
      </c>
      <c r="M1022" s="26" t="s">
        <v>81</v>
      </c>
      <c r="N1022" s="26" t="s">
        <v>307</v>
      </c>
      <c r="O1022" s="26">
        <v>2.0</v>
      </c>
    </row>
    <row r="1023" ht="15.75" customHeight="1">
      <c r="A1023" s="26" t="s">
        <v>4362</v>
      </c>
      <c r="B1023" s="26" t="s">
        <v>4363</v>
      </c>
      <c r="C1023" s="26" t="s">
        <v>312</v>
      </c>
      <c r="D1023" s="26" t="s">
        <v>48</v>
      </c>
      <c r="E1023" s="26" t="s">
        <v>4364</v>
      </c>
      <c r="F1023" s="26" t="s">
        <v>1727</v>
      </c>
      <c r="G1023" s="26" t="s">
        <v>284</v>
      </c>
      <c r="H1023" s="26" t="s">
        <v>46</v>
      </c>
      <c r="I1023" s="26"/>
      <c r="J1023" s="26">
        <v>0.0</v>
      </c>
      <c r="K1023" s="26" t="s">
        <v>4365</v>
      </c>
      <c r="L1023" s="26" t="s">
        <v>15</v>
      </c>
      <c r="M1023" s="26" t="s">
        <v>81</v>
      </c>
      <c r="N1023" s="26" t="s">
        <v>307</v>
      </c>
      <c r="O1023" s="26">
        <v>2.0</v>
      </c>
    </row>
    <row r="1024" ht="15.75" customHeight="1">
      <c r="A1024" s="26" t="s">
        <v>4366</v>
      </c>
      <c r="B1024" s="26" t="s">
        <v>4367</v>
      </c>
      <c r="C1024" s="26" t="s">
        <v>892</v>
      </c>
      <c r="D1024" s="26" t="s">
        <v>48</v>
      </c>
      <c r="E1024" s="26" t="s">
        <v>4368</v>
      </c>
      <c r="F1024" s="26" t="s">
        <v>366</v>
      </c>
      <c r="G1024" s="26" t="s">
        <v>258</v>
      </c>
      <c r="H1024" s="26" t="s">
        <v>61</v>
      </c>
      <c r="I1024" s="26" t="s">
        <v>248</v>
      </c>
      <c r="J1024" s="26">
        <v>2.0</v>
      </c>
      <c r="K1024" s="26" t="s">
        <v>4369</v>
      </c>
      <c r="L1024" s="26" t="s">
        <v>15</v>
      </c>
      <c r="M1024" s="26" t="s">
        <v>81</v>
      </c>
      <c r="N1024" s="26" t="s">
        <v>307</v>
      </c>
      <c r="O1024" s="26">
        <v>3.0</v>
      </c>
    </row>
    <row r="1025" ht="15.75" customHeight="1">
      <c r="A1025" s="26" t="s">
        <v>4370</v>
      </c>
      <c r="B1025" s="26" t="s">
        <v>4371</v>
      </c>
      <c r="C1025" s="26" t="s">
        <v>363</v>
      </c>
      <c r="D1025" s="26" t="s">
        <v>48</v>
      </c>
      <c r="E1025" s="26" t="s">
        <v>4372</v>
      </c>
      <c r="F1025" s="26" t="s">
        <v>973</v>
      </c>
      <c r="G1025" s="26" t="s">
        <v>299</v>
      </c>
      <c r="H1025" s="26" t="s">
        <v>34</v>
      </c>
      <c r="I1025" s="26" t="s">
        <v>248</v>
      </c>
      <c r="J1025" s="26">
        <v>2.0</v>
      </c>
      <c r="K1025" s="26" t="s">
        <v>4373</v>
      </c>
      <c r="L1025" s="26" t="s">
        <v>15</v>
      </c>
      <c r="M1025" s="26" t="s">
        <v>81</v>
      </c>
      <c r="N1025" s="26" t="s">
        <v>307</v>
      </c>
      <c r="O1025" s="26">
        <v>3.0</v>
      </c>
    </row>
    <row r="1026" ht="15.75" customHeight="1">
      <c r="A1026" s="26" t="s">
        <v>4374</v>
      </c>
      <c r="B1026" s="26" t="s">
        <v>4375</v>
      </c>
      <c r="C1026" s="26" t="s">
        <v>363</v>
      </c>
      <c r="D1026" s="26" t="s">
        <v>76</v>
      </c>
      <c r="E1026" s="26" t="s">
        <v>4376</v>
      </c>
      <c r="F1026" s="26" t="s">
        <v>1201</v>
      </c>
      <c r="G1026" s="26" t="s">
        <v>222</v>
      </c>
      <c r="H1026" s="26" t="s">
        <v>34</v>
      </c>
      <c r="I1026" s="26" t="s">
        <v>1243</v>
      </c>
      <c r="J1026" s="26">
        <v>2.0</v>
      </c>
      <c r="K1026" s="26" t="s">
        <v>4377</v>
      </c>
      <c r="L1026" s="26" t="s">
        <v>15</v>
      </c>
      <c r="M1026" s="26" t="s">
        <v>81</v>
      </c>
      <c r="N1026" s="26" t="s">
        <v>307</v>
      </c>
      <c r="O1026" s="26">
        <v>3.0</v>
      </c>
    </row>
    <row r="1027" ht="15.75" customHeight="1">
      <c r="A1027" s="26" t="s">
        <v>4378</v>
      </c>
      <c r="B1027" s="26" t="s">
        <v>4379</v>
      </c>
      <c r="C1027" s="26" t="s">
        <v>363</v>
      </c>
      <c r="D1027" s="26" t="s">
        <v>45</v>
      </c>
      <c r="E1027" s="26" t="s">
        <v>4380</v>
      </c>
      <c r="F1027" s="26" t="s">
        <v>1647</v>
      </c>
      <c r="G1027" s="26" t="s">
        <v>82</v>
      </c>
      <c r="H1027" s="26" t="s">
        <v>34</v>
      </c>
      <c r="I1027" s="26"/>
      <c r="J1027" s="26">
        <v>1.0</v>
      </c>
      <c r="K1027" s="26" t="s">
        <v>4381</v>
      </c>
      <c r="L1027" s="26" t="s">
        <v>15</v>
      </c>
      <c r="M1027" s="26" t="s">
        <v>81</v>
      </c>
      <c r="N1027" s="26" t="s">
        <v>307</v>
      </c>
      <c r="O1027" s="26">
        <v>3.0</v>
      </c>
    </row>
    <row r="1028" ht="15.75" customHeight="1">
      <c r="A1028" s="26" t="s">
        <v>4382</v>
      </c>
      <c r="B1028" s="26" t="s">
        <v>4383</v>
      </c>
      <c r="C1028" s="26" t="s">
        <v>363</v>
      </c>
      <c r="D1028" s="26" t="s">
        <v>62</v>
      </c>
      <c r="E1028" s="26" t="s">
        <v>4384</v>
      </c>
      <c r="F1028" s="26" t="s">
        <v>471</v>
      </c>
      <c r="G1028" s="26" t="s">
        <v>105</v>
      </c>
      <c r="H1028" s="26" t="s">
        <v>46</v>
      </c>
      <c r="I1028" s="26" t="s">
        <v>983</v>
      </c>
      <c r="J1028" s="26">
        <v>2.0</v>
      </c>
      <c r="K1028" s="26" t="s">
        <v>136</v>
      </c>
      <c r="L1028" s="26" t="s">
        <v>29</v>
      </c>
      <c r="M1028" s="26" t="s">
        <v>95</v>
      </c>
      <c r="N1028" s="26" t="s">
        <v>307</v>
      </c>
      <c r="O1028" s="26">
        <v>1.0</v>
      </c>
    </row>
    <row r="1029" ht="15.75" customHeight="1">
      <c r="A1029" s="26" t="s">
        <v>4385</v>
      </c>
      <c r="B1029" s="26" t="s">
        <v>4386</v>
      </c>
      <c r="C1029" s="26" t="s">
        <v>363</v>
      </c>
      <c r="D1029" s="26" t="s">
        <v>79</v>
      </c>
      <c r="E1029" s="26" t="s">
        <v>1261</v>
      </c>
      <c r="F1029" s="26" t="s">
        <v>2863</v>
      </c>
      <c r="G1029" s="26" t="s">
        <v>1260</v>
      </c>
      <c r="H1029" s="26" t="s">
        <v>34</v>
      </c>
      <c r="I1029" s="26" t="s">
        <v>1299</v>
      </c>
      <c r="J1029" s="26">
        <v>2.0</v>
      </c>
      <c r="K1029" s="26" t="s">
        <v>1262</v>
      </c>
      <c r="L1029" s="26" t="s">
        <v>15</v>
      </c>
      <c r="M1029" s="26" t="s">
        <v>81</v>
      </c>
      <c r="N1029" s="26" t="s">
        <v>307</v>
      </c>
      <c r="O1029" s="26">
        <v>4.0</v>
      </c>
    </row>
    <row r="1030" ht="15.75" customHeight="1">
      <c r="A1030" s="26" t="s">
        <v>4387</v>
      </c>
      <c r="B1030" s="26" t="s">
        <v>4388</v>
      </c>
      <c r="C1030" s="26" t="s">
        <v>429</v>
      </c>
      <c r="D1030" s="26" t="s">
        <v>54</v>
      </c>
      <c r="E1030" s="26" t="s">
        <v>4389</v>
      </c>
      <c r="F1030" s="26" t="s">
        <v>347</v>
      </c>
      <c r="G1030" s="26" t="s">
        <v>99</v>
      </c>
      <c r="H1030" s="26" t="s">
        <v>49</v>
      </c>
      <c r="I1030" s="26"/>
      <c r="J1030" s="26">
        <v>1.0</v>
      </c>
      <c r="K1030" s="26" t="s">
        <v>4390</v>
      </c>
      <c r="L1030" s="26" t="s">
        <v>15</v>
      </c>
      <c r="M1030" s="26" t="s">
        <v>81</v>
      </c>
      <c r="N1030" s="26" t="s">
        <v>307</v>
      </c>
      <c r="O1030" s="26">
        <v>3.0</v>
      </c>
    </row>
    <row r="1031" ht="15.75" customHeight="1">
      <c r="A1031" s="26" t="s">
        <v>4391</v>
      </c>
      <c r="B1031" s="26" t="s">
        <v>4392</v>
      </c>
      <c r="C1031" s="26" t="s">
        <v>300</v>
      </c>
      <c r="D1031" s="26" t="s">
        <v>45</v>
      </c>
      <c r="E1031" s="26" t="s">
        <v>4393</v>
      </c>
      <c r="F1031" s="26" t="s">
        <v>1237</v>
      </c>
      <c r="G1031" s="26" t="s">
        <v>166</v>
      </c>
      <c r="H1031" s="26" t="s">
        <v>46</v>
      </c>
      <c r="I1031" s="26"/>
      <c r="J1031" s="26">
        <v>1.0</v>
      </c>
      <c r="K1031" s="26" t="s">
        <v>4394</v>
      </c>
      <c r="L1031" s="26" t="s">
        <v>15</v>
      </c>
      <c r="M1031" s="26" t="s">
        <v>81</v>
      </c>
      <c r="N1031" s="26" t="s">
        <v>307</v>
      </c>
      <c r="O1031" s="26">
        <v>3.0</v>
      </c>
    </row>
    <row r="1032" ht="15.75" customHeight="1">
      <c r="A1032" s="26" t="s">
        <v>4395</v>
      </c>
      <c r="B1032" s="26" t="s">
        <v>4396</v>
      </c>
      <c r="C1032" s="26" t="s">
        <v>4397</v>
      </c>
      <c r="D1032" s="26" t="s">
        <v>62</v>
      </c>
      <c r="E1032" s="26" t="s">
        <v>4398</v>
      </c>
      <c r="F1032" s="26" t="s">
        <v>383</v>
      </c>
      <c r="G1032" s="26" t="s">
        <v>111</v>
      </c>
      <c r="H1032" s="26" t="s">
        <v>49</v>
      </c>
      <c r="I1032" s="26" t="s">
        <v>261</v>
      </c>
      <c r="J1032" s="26">
        <v>3.0</v>
      </c>
      <c r="K1032" s="26" t="s">
        <v>4399</v>
      </c>
      <c r="L1032" s="26" t="s">
        <v>19</v>
      </c>
      <c r="M1032" s="26" t="s">
        <v>66</v>
      </c>
      <c r="N1032" s="26" t="s">
        <v>307</v>
      </c>
      <c r="O1032" s="26">
        <v>5.0</v>
      </c>
    </row>
    <row r="1033" ht="15.75" customHeight="1">
      <c r="A1033" s="26" t="s">
        <v>4400</v>
      </c>
      <c r="B1033" s="26" t="s">
        <v>4401</v>
      </c>
      <c r="C1033" s="26" t="s">
        <v>300</v>
      </c>
      <c r="D1033" s="26" t="s">
        <v>54</v>
      </c>
      <c r="E1033" s="26" t="s">
        <v>4402</v>
      </c>
      <c r="F1033" s="26" t="s">
        <v>432</v>
      </c>
      <c r="G1033" s="26" t="s">
        <v>182</v>
      </c>
      <c r="H1033" s="26" t="s">
        <v>34</v>
      </c>
      <c r="I1033" s="26" t="s">
        <v>572</v>
      </c>
      <c r="J1033" s="26">
        <v>3.0</v>
      </c>
      <c r="K1033" s="26" t="s">
        <v>4403</v>
      </c>
      <c r="L1033" s="26" t="s">
        <v>15</v>
      </c>
      <c r="M1033" s="26" t="s">
        <v>81</v>
      </c>
      <c r="N1033" s="26" t="s">
        <v>307</v>
      </c>
      <c r="O1033" s="26">
        <v>3.0</v>
      </c>
    </row>
    <row r="1034" ht="15.75" customHeight="1">
      <c r="A1034" s="26" t="s">
        <v>4404</v>
      </c>
      <c r="B1034" s="26" t="s">
        <v>4405</v>
      </c>
      <c r="C1034" s="26" t="s">
        <v>363</v>
      </c>
      <c r="D1034" s="26" t="s">
        <v>50</v>
      </c>
      <c r="E1034" s="26" t="s">
        <v>690</v>
      </c>
      <c r="F1034" s="26" t="s">
        <v>1174</v>
      </c>
      <c r="G1034" s="26" t="s">
        <v>539</v>
      </c>
      <c r="H1034" s="26" t="s">
        <v>46</v>
      </c>
      <c r="I1034" s="26"/>
      <c r="J1034" s="26">
        <v>0.0</v>
      </c>
      <c r="K1034" s="26" t="s">
        <v>691</v>
      </c>
      <c r="L1034" s="26" t="s">
        <v>15</v>
      </c>
      <c r="M1034" s="26" t="s">
        <v>81</v>
      </c>
      <c r="N1034" s="26" t="s">
        <v>307</v>
      </c>
      <c r="O1034" s="26">
        <v>3.0</v>
      </c>
    </row>
    <row r="1035" ht="15.75" customHeight="1">
      <c r="A1035" s="26" t="s">
        <v>4406</v>
      </c>
      <c r="B1035" s="26" t="s">
        <v>4407</v>
      </c>
      <c r="C1035" s="26" t="s">
        <v>363</v>
      </c>
      <c r="D1035" s="26" t="s">
        <v>45</v>
      </c>
      <c r="E1035" s="26" t="s">
        <v>400</v>
      </c>
      <c r="F1035" s="26" t="s">
        <v>1691</v>
      </c>
      <c r="G1035" s="26" t="s">
        <v>220</v>
      </c>
      <c r="H1035" s="26" t="s">
        <v>53</v>
      </c>
      <c r="I1035" s="26"/>
      <c r="J1035" s="26">
        <v>1.0</v>
      </c>
      <c r="K1035" s="26" t="s">
        <v>402</v>
      </c>
      <c r="L1035" s="26" t="s">
        <v>19</v>
      </c>
      <c r="M1035" s="26" t="s">
        <v>87</v>
      </c>
      <c r="N1035" s="26" t="s">
        <v>307</v>
      </c>
      <c r="O1035" s="26">
        <v>3.0</v>
      </c>
    </row>
    <row r="1036" ht="15.75" customHeight="1">
      <c r="A1036" s="26" t="s">
        <v>4408</v>
      </c>
      <c r="B1036" s="26" t="s">
        <v>4409</v>
      </c>
      <c r="C1036" s="26" t="s">
        <v>363</v>
      </c>
      <c r="D1036" s="26" t="s">
        <v>69</v>
      </c>
      <c r="E1036" s="26" t="s">
        <v>1051</v>
      </c>
      <c r="F1036" s="26" t="s">
        <v>887</v>
      </c>
      <c r="G1036" s="26" t="s">
        <v>888</v>
      </c>
      <c r="H1036" s="26" t="s">
        <v>46</v>
      </c>
      <c r="I1036" s="26"/>
      <c r="J1036" s="26">
        <v>0.0</v>
      </c>
      <c r="K1036" s="26" t="s">
        <v>1052</v>
      </c>
      <c r="L1036" s="26" t="s">
        <v>15</v>
      </c>
      <c r="M1036" s="26" t="s">
        <v>81</v>
      </c>
      <c r="N1036" s="26" t="s">
        <v>307</v>
      </c>
      <c r="O1036" s="26">
        <v>3.0</v>
      </c>
    </row>
    <row r="1037" ht="15.75" customHeight="1">
      <c r="A1037" s="26" t="s">
        <v>4410</v>
      </c>
      <c r="B1037" s="26" t="s">
        <v>4411</v>
      </c>
      <c r="C1037" s="26" t="s">
        <v>312</v>
      </c>
      <c r="D1037" s="26" t="s">
        <v>48</v>
      </c>
      <c r="E1037" s="26" t="s">
        <v>4412</v>
      </c>
      <c r="F1037" s="26" t="s">
        <v>984</v>
      </c>
      <c r="G1037" s="26" t="s">
        <v>265</v>
      </c>
      <c r="H1037" s="26" t="s">
        <v>34</v>
      </c>
      <c r="I1037" s="26" t="s">
        <v>267</v>
      </c>
      <c r="J1037" s="26">
        <v>3.0</v>
      </c>
      <c r="K1037" s="26" t="s">
        <v>4413</v>
      </c>
      <c r="L1037" s="26" t="s">
        <v>15</v>
      </c>
      <c r="M1037" s="26" t="s">
        <v>81</v>
      </c>
      <c r="N1037" s="26" t="s">
        <v>307</v>
      </c>
      <c r="O1037" s="26">
        <v>4.0</v>
      </c>
    </row>
    <row r="1038" ht="15.75" customHeight="1">
      <c r="A1038" s="26" t="s">
        <v>4414</v>
      </c>
      <c r="B1038" s="26" t="s">
        <v>4415</v>
      </c>
      <c r="C1038" s="26" t="s">
        <v>363</v>
      </c>
      <c r="D1038" s="26" t="s">
        <v>62</v>
      </c>
      <c r="E1038" s="26" t="s">
        <v>4416</v>
      </c>
      <c r="F1038" s="26" t="s">
        <v>2273</v>
      </c>
      <c r="G1038" s="26" t="s">
        <v>261</v>
      </c>
      <c r="H1038" s="26" t="s">
        <v>46</v>
      </c>
      <c r="I1038" s="26"/>
      <c r="J1038" s="26">
        <v>1.0</v>
      </c>
      <c r="K1038" s="26" t="s">
        <v>4417</v>
      </c>
      <c r="L1038" s="26" t="s">
        <v>15</v>
      </c>
      <c r="M1038" s="26" t="s">
        <v>81</v>
      </c>
      <c r="N1038" s="26" t="s">
        <v>307</v>
      </c>
      <c r="O1038" s="26">
        <v>3.0</v>
      </c>
    </row>
    <row r="1039" ht="15.75" customHeight="1">
      <c r="A1039" s="26" t="s">
        <v>4418</v>
      </c>
      <c r="B1039" s="26" t="s">
        <v>4419</v>
      </c>
      <c r="C1039" s="26" t="s">
        <v>363</v>
      </c>
      <c r="D1039" s="26" t="s">
        <v>36</v>
      </c>
      <c r="E1039" s="26" t="s">
        <v>4420</v>
      </c>
      <c r="F1039" s="26" t="s">
        <v>663</v>
      </c>
      <c r="G1039" s="26" t="s">
        <v>44</v>
      </c>
      <c r="H1039" s="26" t="s">
        <v>34</v>
      </c>
      <c r="I1039" s="26" t="s">
        <v>101</v>
      </c>
      <c r="J1039" s="26">
        <v>2.0</v>
      </c>
      <c r="K1039" s="26" t="s">
        <v>4421</v>
      </c>
      <c r="L1039" s="26" t="s">
        <v>15</v>
      </c>
      <c r="M1039" s="26" t="s">
        <v>81</v>
      </c>
      <c r="N1039" s="26" t="s">
        <v>307</v>
      </c>
      <c r="O1039" s="26">
        <v>0.0</v>
      </c>
    </row>
    <row r="1040" ht="15.75" customHeight="1">
      <c r="A1040" s="26" t="s">
        <v>4422</v>
      </c>
      <c r="B1040" s="26" t="s">
        <v>4423</v>
      </c>
      <c r="C1040" s="26" t="s">
        <v>300</v>
      </c>
      <c r="D1040" s="26" t="s">
        <v>54</v>
      </c>
      <c r="E1040" s="26" t="s">
        <v>4424</v>
      </c>
      <c r="F1040" s="26" t="s">
        <v>432</v>
      </c>
      <c r="G1040" s="26" t="s">
        <v>182</v>
      </c>
      <c r="H1040" s="26" t="s">
        <v>34</v>
      </c>
      <c r="I1040" s="26" t="s">
        <v>572</v>
      </c>
      <c r="J1040" s="26">
        <v>2.0</v>
      </c>
      <c r="K1040" s="26" t="s">
        <v>4425</v>
      </c>
      <c r="L1040" s="26" t="s">
        <v>15</v>
      </c>
      <c r="M1040" s="26" t="s">
        <v>81</v>
      </c>
      <c r="N1040" s="26" t="s">
        <v>307</v>
      </c>
      <c r="O1040" s="26">
        <v>4.0</v>
      </c>
    </row>
    <row r="1041" ht="15.75" customHeight="1">
      <c r="A1041" s="26" t="s">
        <v>4426</v>
      </c>
      <c r="B1041" s="26" t="s">
        <v>4427</v>
      </c>
      <c r="C1041" s="26" t="s">
        <v>322</v>
      </c>
      <c r="D1041" s="26" t="s">
        <v>48</v>
      </c>
      <c r="E1041" s="26" t="s">
        <v>4428</v>
      </c>
      <c r="F1041" s="26" t="s">
        <v>1014</v>
      </c>
      <c r="G1041" s="26" t="s">
        <v>248</v>
      </c>
      <c r="H1041" s="26" t="s">
        <v>46</v>
      </c>
      <c r="I1041" s="26"/>
      <c r="J1041" s="26">
        <v>1.0</v>
      </c>
      <c r="K1041" s="26" t="s">
        <v>4429</v>
      </c>
      <c r="L1041" s="26" t="s">
        <v>19</v>
      </c>
      <c r="M1041" s="26" t="s">
        <v>66</v>
      </c>
      <c r="N1041" s="26" t="s">
        <v>307</v>
      </c>
      <c r="O1041" s="26">
        <v>3.0</v>
      </c>
    </row>
    <row r="1042" ht="15.75" customHeight="1">
      <c r="A1042" s="26" t="s">
        <v>4430</v>
      </c>
      <c r="B1042" s="26" t="s">
        <v>4431</v>
      </c>
      <c r="C1042" s="26" t="s">
        <v>312</v>
      </c>
      <c r="D1042" s="26" t="s">
        <v>69</v>
      </c>
      <c r="E1042" s="26" t="s">
        <v>4432</v>
      </c>
      <c r="F1042" s="26" t="s">
        <v>1324</v>
      </c>
      <c r="G1042" s="26" t="s">
        <v>1070</v>
      </c>
      <c r="H1042" s="26" t="s">
        <v>34</v>
      </c>
      <c r="I1042" s="26"/>
      <c r="J1042" s="26">
        <v>1.0</v>
      </c>
      <c r="K1042" s="26" t="s">
        <v>4433</v>
      </c>
      <c r="L1042" s="26" t="s">
        <v>15</v>
      </c>
      <c r="M1042" s="26" t="s">
        <v>81</v>
      </c>
      <c r="N1042" s="26" t="s">
        <v>307</v>
      </c>
      <c r="O1042" s="26">
        <v>3.0</v>
      </c>
    </row>
    <row r="1043" ht="15.75" customHeight="1">
      <c r="A1043" s="26" t="s">
        <v>4434</v>
      </c>
      <c r="B1043" s="26" t="s">
        <v>4435</v>
      </c>
      <c r="C1043" s="26" t="s">
        <v>363</v>
      </c>
      <c r="D1043" s="26" t="s">
        <v>54</v>
      </c>
      <c r="E1043" s="26" t="s">
        <v>4436</v>
      </c>
      <c r="F1043" s="26" t="s">
        <v>644</v>
      </c>
      <c r="G1043" s="26" t="s">
        <v>217</v>
      </c>
      <c r="H1043" s="26" t="s">
        <v>52</v>
      </c>
      <c r="I1043" s="26"/>
      <c r="J1043" s="26">
        <v>1.0</v>
      </c>
      <c r="K1043" s="26" t="s">
        <v>136</v>
      </c>
      <c r="L1043" s="26" t="s">
        <v>29</v>
      </c>
      <c r="M1043" s="26" t="s">
        <v>95</v>
      </c>
      <c r="N1043" s="26" t="s">
        <v>307</v>
      </c>
      <c r="O1043" s="26">
        <v>3.0</v>
      </c>
    </row>
    <row r="1044" ht="15.75" customHeight="1">
      <c r="A1044" s="26" t="s">
        <v>4437</v>
      </c>
      <c r="B1044" s="26" t="s">
        <v>4438</v>
      </c>
      <c r="C1044" s="26" t="s">
        <v>363</v>
      </c>
      <c r="D1044" s="26" t="s">
        <v>62</v>
      </c>
      <c r="E1044" s="26" t="s">
        <v>4439</v>
      </c>
      <c r="F1044" s="26" t="s">
        <v>383</v>
      </c>
      <c r="G1044" s="26" t="s">
        <v>111</v>
      </c>
      <c r="H1044" s="26" t="s">
        <v>49</v>
      </c>
      <c r="I1044" s="26" t="s">
        <v>261</v>
      </c>
      <c r="J1044" s="26">
        <v>2.0</v>
      </c>
      <c r="K1044" s="26" t="s">
        <v>4440</v>
      </c>
      <c r="L1044" s="26" t="s">
        <v>15</v>
      </c>
      <c r="M1044" s="26" t="s">
        <v>81</v>
      </c>
      <c r="N1044" s="26" t="s">
        <v>307</v>
      </c>
      <c r="O1044" s="26">
        <v>3.0</v>
      </c>
    </row>
    <row r="1045" ht="15.75" customHeight="1">
      <c r="A1045" s="26" t="s">
        <v>4441</v>
      </c>
      <c r="B1045" s="26" t="s">
        <v>4442</v>
      </c>
      <c r="C1045" s="26" t="s">
        <v>300</v>
      </c>
      <c r="D1045" s="26" t="s">
        <v>76</v>
      </c>
      <c r="E1045" s="26" t="s">
        <v>4443</v>
      </c>
      <c r="F1045" s="26" t="s">
        <v>1201</v>
      </c>
      <c r="G1045" s="26" t="s">
        <v>222</v>
      </c>
      <c r="H1045" s="26" t="s">
        <v>34</v>
      </c>
      <c r="I1045" s="26"/>
      <c r="J1045" s="26">
        <v>1.0</v>
      </c>
      <c r="K1045" s="26" t="s">
        <v>4444</v>
      </c>
      <c r="L1045" s="26" t="s">
        <v>15</v>
      </c>
      <c r="M1045" s="26" t="s">
        <v>81</v>
      </c>
      <c r="N1045" s="26" t="s">
        <v>307</v>
      </c>
      <c r="O1045" s="26">
        <v>3.0</v>
      </c>
    </row>
    <row r="1046" ht="15.75" customHeight="1">
      <c r="A1046" s="26" t="s">
        <v>4445</v>
      </c>
      <c r="B1046" s="26" t="s">
        <v>4446</v>
      </c>
      <c r="C1046" s="26" t="s">
        <v>363</v>
      </c>
      <c r="D1046" s="26" t="s">
        <v>45</v>
      </c>
      <c r="E1046" s="26" t="s">
        <v>4447</v>
      </c>
      <c r="F1046" s="26" t="s">
        <v>1403</v>
      </c>
      <c r="G1046" s="26" t="s">
        <v>143</v>
      </c>
      <c r="H1046" s="26" t="s">
        <v>46</v>
      </c>
      <c r="I1046" s="26" t="s">
        <v>204</v>
      </c>
      <c r="J1046" s="26">
        <v>5.0</v>
      </c>
      <c r="K1046" s="26" t="s">
        <v>136</v>
      </c>
      <c r="L1046" s="26" t="s">
        <v>29</v>
      </c>
      <c r="M1046" s="26" t="s">
        <v>95</v>
      </c>
      <c r="N1046" s="26" t="s">
        <v>307</v>
      </c>
      <c r="O1046" s="26">
        <v>3.0</v>
      </c>
    </row>
    <row r="1047" ht="15.75" customHeight="1">
      <c r="A1047" s="26" t="s">
        <v>4448</v>
      </c>
      <c r="B1047" s="26" t="s">
        <v>4449</v>
      </c>
      <c r="C1047" s="26" t="s">
        <v>429</v>
      </c>
      <c r="D1047" s="26" t="s">
        <v>54</v>
      </c>
      <c r="E1047" s="26" t="s">
        <v>4450</v>
      </c>
      <c r="F1047" s="26" t="s">
        <v>347</v>
      </c>
      <c r="G1047" s="26" t="s">
        <v>99</v>
      </c>
      <c r="H1047" s="26" t="s">
        <v>49</v>
      </c>
      <c r="I1047" s="26" t="s">
        <v>217</v>
      </c>
      <c r="J1047" s="26">
        <v>2.0</v>
      </c>
      <c r="K1047" s="26" t="s">
        <v>4451</v>
      </c>
      <c r="L1047" s="26" t="s">
        <v>15</v>
      </c>
      <c r="M1047" s="26" t="s">
        <v>81</v>
      </c>
      <c r="N1047" s="26" t="s">
        <v>307</v>
      </c>
      <c r="O1047" s="26">
        <v>3.0</v>
      </c>
    </row>
    <row r="1048" ht="15.75" customHeight="1">
      <c r="A1048" s="26" t="s">
        <v>4445</v>
      </c>
      <c r="B1048" s="26" t="s">
        <v>4446</v>
      </c>
      <c r="C1048" s="26" t="s">
        <v>363</v>
      </c>
      <c r="D1048" s="26" t="s">
        <v>45</v>
      </c>
      <c r="E1048" s="26" t="s">
        <v>4447</v>
      </c>
      <c r="F1048" s="26" t="s">
        <v>1403</v>
      </c>
      <c r="G1048" s="26" t="s">
        <v>143</v>
      </c>
      <c r="H1048" s="26" t="s">
        <v>46</v>
      </c>
      <c r="I1048" s="26" t="s">
        <v>204</v>
      </c>
      <c r="J1048" s="26">
        <v>5.0</v>
      </c>
      <c r="K1048" s="26" t="s">
        <v>4452</v>
      </c>
      <c r="L1048" s="26" t="s">
        <v>15</v>
      </c>
      <c r="M1048" s="26" t="s">
        <v>81</v>
      </c>
      <c r="N1048" s="26" t="s">
        <v>307</v>
      </c>
      <c r="O1048" s="26">
        <v>3.0</v>
      </c>
    </row>
    <row r="1049" ht="15.75" customHeight="1">
      <c r="A1049" s="26" t="s">
        <v>4453</v>
      </c>
      <c r="B1049" s="26" t="s">
        <v>4454</v>
      </c>
      <c r="C1049" s="26" t="s">
        <v>363</v>
      </c>
      <c r="D1049" s="26" t="s">
        <v>45</v>
      </c>
      <c r="E1049" s="26" t="s">
        <v>4455</v>
      </c>
      <c r="F1049" s="26" t="s">
        <v>799</v>
      </c>
      <c r="G1049" s="26" t="s">
        <v>130</v>
      </c>
      <c r="H1049" s="26" t="s">
        <v>34</v>
      </c>
      <c r="I1049" s="26" t="s">
        <v>140</v>
      </c>
      <c r="J1049" s="26">
        <v>4.0</v>
      </c>
      <c r="K1049" s="26" t="s">
        <v>4456</v>
      </c>
      <c r="L1049" s="26" t="s">
        <v>15</v>
      </c>
      <c r="M1049" s="26" t="s">
        <v>81</v>
      </c>
      <c r="N1049" s="26" t="s">
        <v>307</v>
      </c>
      <c r="O1049" s="26">
        <v>3.0</v>
      </c>
    </row>
    <row r="1050" ht="15.75" customHeight="1">
      <c r="A1050" s="26" t="s">
        <v>4457</v>
      </c>
      <c r="B1050" s="26" t="s">
        <v>4458</v>
      </c>
      <c r="C1050" s="26" t="s">
        <v>363</v>
      </c>
      <c r="D1050" s="26" t="s">
        <v>62</v>
      </c>
      <c r="E1050" s="26" t="s">
        <v>964</v>
      </c>
      <c r="F1050" s="26" t="s">
        <v>3267</v>
      </c>
      <c r="G1050" s="26" t="s">
        <v>940</v>
      </c>
      <c r="H1050" s="26" t="s">
        <v>61</v>
      </c>
      <c r="I1050" s="26"/>
      <c r="J1050" s="26">
        <v>1.0</v>
      </c>
      <c r="K1050" s="26" t="s">
        <v>966</v>
      </c>
      <c r="L1050" s="26" t="s">
        <v>15</v>
      </c>
      <c r="M1050" s="26" t="s">
        <v>81</v>
      </c>
      <c r="N1050" s="26" t="s">
        <v>307</v>
      </c>
      <c r="O1050" s="26">
        <v>3.0</v>
      </c>
    </row>
    <row r="1051" ht="15.75" customHeight="1">
      <c r="A1051" s="26" t="s">
        <v>4459</v>
      </c>
      <c r="B1051" s="26" t="s">
        <v>4460</v>
      </c>
      <c r="C1051" s="26" t="s">
        <v>363</v>
      </c>
      <c r="D1051" s="26" t="s">
        <v>79</v>
      </c>
      <c r="E1051" s="26" t="s">
        <v>4461</v>
      </c>
      <c r="F1051" s="26" t="s">
        <v>1895</v>
      </c>
      <c r="G1051" s="26" t="s">
        <v>255</v>
      </c>
      <c r="H1051" s="26" t="s">
        <v>49</v>
      </c>
      <c r="I1051" s="26"/>
      <c r="J1051" s="26">
        <v>1.0</v>
      </c>
      <c r="K1051" s="26" t="s">
        <v>4462</v>
      </c>
      <c r="L1051" s="26" t="s">
        <v>15</v>
      </c>
      <c r="M1051" s="26" t="s">
        <v>81</v>
      </c>
      <c r="N1051" s="26" t="s">
        <v>307</v>
      </c>
      <c r="O1051" s="26">
        <v>3.0</v>
      </c>
    </row>
    <row r="1052" ht="15.75" customHeight="1">
      <c r="A1052" s="26" t="s">
        <v>4463</v>
      </c>
      <c r="B1052" s="26" t="s">
        <v>4464</v>
      </c>
      <c r="C1052" s="26" t="s">
        <v>363</v>
      </c>
      <c r="D1052" s="26" t="s">
        <v>36</v>
      </c>
      <c r="E1052" s="26" t="s">
        <v>4465</v>
      </c>
      <c r="F1052" s="26" t="s">
        <v>1292</v>
      </c>
      <c r="G1052" s="26" t="s">
        <v>65</v>
      </c>
      <c r="H1052" s="26" t="s">
        <v>34</v>
      </c>
      <c r="I1052" s="26" t="s">
        <v>82</v>
      </c>
      <c r="J1052" s="26">
        <v>3.0</v>
      </c>
      <c r="K1052" s="26" t="s">
        <v>4466</v>
      </c>
      <c r="L1052" s="26" t="s">
        <v>15</v>
      </c>
      <c r="M1052" s="26" t="s">
        <v>81</v>
      </c>
      <c r="N1052" s="26" t="s">
        <v>307</v>
      </c>
      <c r="O1052" s="26">
        <v>3.0</v>
      </c>
    </row>
    <row r="1053" ht="15.75" customHeight="1">
      <c r="A1053" s="26" t="s">
        <v>4467</v>
      </c>
      <c r="B1053" s="26" t="s">
        <v>4468</v>
      </c>
      <c r="C1053" s="26" t="s">
        <v>363</v>
      </c>
      <c r="D1053" s="26" t="s">
        <v>36</v>
      </c>
      <c r="E1053" s="26" t="s">
        <v>4469</v>
      </c>
      <c r="F1053" s="26" t="s">
        <v>1583</v>
      </c>
      <c r="G1053" s="26" t="s">
        <v>73</v>
      </c>
      <c r="H1053" s="26" t="s">
        <v>46</v>
      </c>
      <c r="I1053" s="26"/>
      <c r="J1053" s="26">
        <v>1.0</v>
      </c>
      <c r="K1053" s="26" t="s">
        <v>4470</v>
      </c>
      <c r="L1053" s="26" t="s">
        <v>15</v>
      </c>
      <c r="M1053" s="26" t="s">
        <v>81</v>
      </c>
      <c r="N1053" s="26" t="s">
        <v>307</v>
      </c>
      <c r="O1053" s="26">
        <v>3.0</v>
      </c>
    </row>
    <row r="1054" ht="15.75" customHeight="1">
      <c r="A1054" s="26" t="s">
        <v>4471</v>
      </c>
      <c r="B1054" s="26" t="s">
        <v>4472</v>
      </c>
      <c r="C1054" s="26" t="s">
        <v>429</v>
      </c>
      <c r="D1054" s="26" t="s">
        <v>36</v>
      </c>
      <c r="E1054" s="26" t="s">
        <v>146</v>
      </c>
      <c r="F1054" s="26" t="s">
        <v>760</v>
      </c>
      <c r="G1054" s="26" t="s">
        <v>51</v>
      </c>
      <c r="H1054" s="26" t="s">
        <v>52</v>
      </c>
      <c r="I1054" s="26"/>
      <c r="J1054" s="26">
        <v>1.0</v>
      </c>
      <c r="K1054" s="26" t="s">
        <v>147</v>
      </c>
      <c r="L1054" s="26" t="s">
        <v>15</v>
      </c>
      <c r="M1054" s="26" t="s">
        <v>81</v>
      </c>
      <c r="N1054" s="26" t="s">
        <v>307</v>
      </c>
      <c r="O1054" s="26">
        <v>3.0</v>
      </c>
    </row>
    <row r="1055" ht="15.75" customHeight="1">
      <c r="A1055" s="26" t="s">
        <v>4473</v>
      </c>
      <c r="B1055" s="26" t="s">
        <v>4474</v>
      </c>
      <c r="C1055" s="26" t="s">
        <v>363</v>
      </c>
      <c r="D1055" s="26" t="s">
        <v>36</v>
      </c>
      <c r="E1055" s="26" t="s">
        <v>4475</v>
      </c>
      <c r="F1055" s="26" t="s">
        <v>1583</v>
      </c>
      <c r="G1055" s="26" t="s">
        <v>73</v>
      </c>
      <c r="H1055" s="26" t="s">
        <v>46</v>
      </c>
      <c r="I1055" s="26" t="s">
        <v>121</v>
      </c>
      <c r="J1055" s="26">
        <v>2.0</v>
      </c>
      <c r="K1055" s="26" t="s">
        <v>4476</v>
      </c>
      <c r="L1055" s="26" t="s">
        <v>15</v>
      </c>
      <c r="M1055" s="26" t="s">
        <v>81</v>
      </c>
      <c r="N1055" s="26" t="s">
        <v>307</v>
      </c>
      <c r="O1055" s="26">
        <v>3.0</v>
      </c>
    </row>
    <row r="1056" ht="15.75" customHeight="1">
      <c r="A1056" s="26" t="s">
        <v>4477</v>
      </c>
      <c r="B1056" s="26" t="s">
        <v>4478</v>
      </c>
      <c r="C1056" s="26" t="s">
        <v>363</v>
      </c>
      <c r="D1056" s="26" t="s">
        <v>36</v>
      </c>
      <c r="E1056" s="26" t="s">
        <v>227</v>
      </c>
      <c r="F1056" s="26" t="s">
        <v>3254</v>
      </c>
      <c r="G1056" s="26" t="s">
        <v>108</v>
      </c>
      <c r="H1056" s="26" t="s">
        <v>57</v>
      </c>
      <c r="I1056" s="26"/>
      <c r="J1056" s="26">
        <v>1.0</v>
      </c>
      <c r="K1056" s="26" t="s">
        <v>228</v>
      </c>
      <c r="L1056" s="26" t="s">
        <v>15</v>
      </c>
      <c r="M1056" s="26" t="s">
        <v>81</v>
      </c>
      <c r="N1056" s="26" t="s">
        <v>307</v>
      </c>
      <c r="O1056" s="26">
        <v>3.0</v>
      </c>
    </row>
    <row r="1057" ht="15.75" customHeight="1">
      <c r="A1057" s="26" t="s">
        <v>4479</v>
      </c>
      <c r="B1057" s="26" t="s">
        <v>4480</v>
      </c>
      <c r="C1057" s="26" t="s">
        <v>429</v>
      </c>
      <c r="D1057" s="26" t="s">
        <v>45</v>
      </c>
      <c r="E1057" s="26" t="s">
        <v>4481</v>
      </c>
      <c r="F1057" s="26" t="s">
        <v>303</v>
      </c>
      <c r="G1057" s="26" t="s">
        <v>140</v>
      </c>
      <c r="H1057" s="26" t="s">
        <v>34</v>
      </c>
      <c r="I1057" s="26" t="s">
        <v>169</v>
      </c>
      <c r="J1057" s="26">
        <v>3.0</v>
      </c>
      <c r="K1057" s="26" t="s">
        <v>4482</v>
      </c>
      <c r="L1057" s="26" t="s">
        <v>15</v>
      </c>
      <c r="M1057" s="26" t="s">
        <v>81</v>
      </c>
      <c r="N1057" s="26" t="s">
        <v>307</v>
      </c>
      <c r="O1057" s="26">
        <v>3.0</v>
      </c>
    </row>
    <row r="1058" ht="15.75" customHeight="1">
      <c r="A1058" s="26" t="s">
        <v>4483</v>
      </c>
      <c r="B1058" s="26" t="s">
        <v>4484</v>
      </c>
      <c r="C1058" s="26" t="s">
        <v>429</v>
      </c>
      <c r="D1058" s="26" t="s">
        <v>36</v>
      </c>
      <c r="E1058" s="26" t="s">
        <v>4485</v>
      </c>
      <c r="F1058" s="26" t="s">
        <v>663</v>
      </c>
      <c r="G1058" s="26" t="s">
        <v>44</v>
      </c>
      <c r="H1058" s="26" t="s">
        <v>34</v>
      </c>
      <c r="I1058" s="26" t="s">
        <v>82</v>
      </c>
      <c r="J1058" s="26">
        <v>2.0</v>
      </c>
      <c r="K1058" s="26" t="s">
        <v>4486</v>
      </c>
      <c r="L1058" s="26" t="s">
        <v>15</v>
      </c>
      <c r="M1058" s="26" t="s">
        <v>81</v>
      </c>
      <c r="N1058" s="26" t="s">
        <v>307</v>
      </c>
      <c r="O1058" s="26">
        <v>3.0</v>
      </c>
    </row>
    <row r="1059" ht="15.75" customHeight="1">
      <c r="A1059" s="26" t="s">
        <v>4487</v>
      </c>
      <c r="B1059" s="26" t="s">
        <v>4488</v>
      </c>
      <c r="C1059" s="26" t="s">
        <v>363</v>
      </c>
      <c r="D1059" s="26" t="s">
        <v>89</v>
      </c>
      <c r="E1059" s="26" t="s">
        <v>1384</v>
      </c>
      <c r="F1059" s="26" t="s">
        <v>2896</v>
      </c>
      <c r="G1059" s="26" t="s">
        <v>1379</v>
      </c>
      <c r="H1059" s="26" t="s">
        <v>49</v>
      </c>
      <c r="I1059" s="26" t="s">
        <v>618</v>
      </c>
      <c r="J1059" s="26">
        <v>2.0</v>
      </c>
      <c r="K1059" s="26" t="s">
        <v>136</v>
      </c>
      <c r="L1059" s="26" t="s">
        <v>29</v>
      </c>
      <c r="M1059" s="26" t="s">
        <v>95</v>
      </c>
      <c r="N1059" s="26" t="s">
        <v>307</v>
      </c>
      <c r="O1059" s="26">
        <v>3.0</v>
      </c>
    </row>
    <row r="1060" ht="15.75" customHeight="1">
      <c r="A1060" s="26" t="s">
        <v>4489</v>
      </c>
      <c r="B1060" s="26" t="s">
        <v>4490</v>
      </c>
      <c r="C1060" s="26" t="s">
        <v>429</v>
      </c>
      <c r="D1060" s="26" t="s">
        <v>48</v>
      </c>
      <c r="E1060" s="26" t="s">
        <v>4491</v>
      </c>
      <c r="F1060" s="26" t="s">
        <v>590</v>
      </c>
      <c r="G1060" s="26" t="s">
        <v>329</v>
      </c>
      <c r="H1060" s="26" t="s">
        <v>46</v>
      </c>
      <c r="I1060" s="26"/>
      <c r="J1060" s="26">
        <v>1.0</v>
      </c>
      <c r="K1060" s="26" t="s">
        <v>4492</v>
      </c>
      <c r="L1060" s="26" t="s">
        <v>15</v>
      </c>
      <c r="M1060" s="26" t="s">
        <v>81</v>
      </c>
      <c r="N1060" s="26" t="s">
        <v>307</v>
      </c>
      <c r="O1060" s="26">
        <v>3.0</v>
      </c>
    </row>
    <row r="1061" ht="15.75" customHeight="1">
      <c r="A1061" s="26" t="s">
        <v>4493</v>
      </c>
      <c r="B1061" s="26" t="s">
        <v>4494</v>
      </c>
      <c r="C1061" s="26" t="s">
        <v>312</v>
      </c>
      <c r="D1061" s="26" t="s">
        <v>48</v>
      </c>
      <c r="E1061" s="26" t="s">
        <v>4495</v>
      </c>
      <c r="F1061" s="26" t="s">
        <v>590</v>
      </c>
      <c r="G1061" s="26" t="s">
        <v>329</v>
      </c>
      <c r="H1061" s="26" t="s">
        <v>46</v>
      </c>
      <c r="I1061" s="26"/>
      <c r="J1061" s="26">
        <v>1.0</v>
      </c>
      <c r="K1061" s="26" t="s">
        <v>4496</v>
      </c>
      <c r="L1061" s="26" t="s">
        <v>15</v>
      </c>
      <c r="M1061" s="26" t="s">
        <v>81</v>
      </c>
      <c r="N1061" s="26" t="s">
        <v>307</v>
      </c>
      <c r="O1061" s="26">
        <v>3.0</v>
      </c>
    </row>
    <row r="1062" ht="15.75" customHeight="1">
      <c r="A1062" s="26" t="s">
        <v>4497</v>
      </c>
      <c r="B1062" s="26" t="s">
        <v>4498</v>
      </c>
      <c r="C1062" s="26" t="s">
        <v>300</v>
      </c>
      <c r="D1062" s="26" t="s">
        <v>54</v>
      </c>
      <c r="E1062" s="26" t="s">
        <v>4499</v>
      </c>
      <c r="F1062" s="26" t="s">
        <v>432</v>
      </c>
      <c r="G1062" s="26" t="s">
        <v>182</v>
      </c>
      <c r="H1062" s="26" t="s">
        <v>34</v>
      </c>
      <c r="I1062" s="26" t="s">
        <v>572</v>
      </c>
      <c r="J1062" s="26">
        <v>3.0</v>
      </c>
      <c r="K1062" s="26" t="s">
        <v>4500</v>
      </c>
      <c r="L1062" s="26" t="s">
        <v>15</v>
      </c>
      <c r="M1062" s="26" t="s">
        <v>81</v>
      </c>
      <c r="N1062" s="26" t="s">
        <v>307</v>
      </c>
      <c r="O1062" s="26">
        <v>3.0</v>
      </c>
    </row>
    <row r="1063" ht="15.75" customHeight="1">
      <c r="A1063" s="26" t="s">
        <v>4501</v>
      </c>
      <c r="B1063" s="26" t="s">
        <v>4502</v>
      </c>
      <c r="C1063" s="26" t="s">
        <v>363</v>
      </c>
      <c r="D1063" s="26" t="s">
        <v>45</v>
      </c>
      <c r="E1063" s="26" t="s">
        <v>4503</v>
      </c>
      <c r="F1063" s="26" t="s">
        <v>744</v>
      </c>
      <c r="G1063" s="26" t="s">
        <v>148</v>
      </c>
      <c r="H1063" s="26" t="s">
        <v>34</v>
      </c>
      <c r="I1063" s="26" t="s">
        <v>82</v>
      </c>
      <c r="J1063" s="26">
        <v>2.0</v>
      </c>
      <c r="K1063" s="26" t="s">
        <v>4504</v>
      </c>
      <c r="L1063" s="26" t="s">
        <v>15</v>
      </c>
      <c r="M1063" s="26" t="s">
        <v>81</v>
      </c>
      <c r="N1063" s="26" t="s">
        <v>307</v>
      </c>
      <c r="O1063" s="26">
        <v>4.0</v>
      </c>
    </row>
    <row r="1064" ht="15.75" customHeight="1">
      <c r="A1064" s="26" t="s">
        <v>4505</v>
      </c>
      <c r="B1064" s="26" t="s">
        <v>4506</v>
      </c>
      <c r="C1064" s="26" t="s">
        <v>363</v>
      </c>
      <c r="D1064" s="26" t="s">
        <v>96</v>
      </c>
      <c r="E1064" s="26" t="s">
        <v>1431</v>
      </c>
      <c r="F1064" s="26" t="s">
        <v>4507</v>
      </c>
      <c r="G1064" s="26" t="s">
        <v>1429</v>
      </c>
      <c r="H1064" s="26" t="s">
        <v>46</v>
      </c>
      <c r="I1064" s="26"/>
      <c r="J1064" s="26">
        <v>1.0</v>
      </c>
      <c r="K1064" s="26" t="s">
        <v>1432</v>
      </c>
      <c r="L1064" s="26" t="s">
        <v>15</v>
      </c>
      <c r="M1064" s="26" t="s">
        <v>81</v>
      </c>
      <c r="N1064" s="26" t="s">
        <v>307</v>
      </c>
      <c r="O1064" s="26">
        <v>4.0</v>
      </c>
    </row>
    <row r="1065" ht="15.75" customHeight="1">
      <c r="A1065" s="26" t="s">
        <v>4508</v>
      </c>
      <c r="B1065" s="26" t="s">
        <v>4509</v>
      </c>
      <c r="C1065" s="26" t="s">
        <v>363</v>
      </c>
      <c r="D1065" s="26" t="s">
        <v>50</v>
      </c>
      <c r="E1065" s="26" t="s">
        <v>4510</v>
      </c>
      <c r="F1065" s="26" t="s">
        <v>1309</v>
      </c>
      <c r="G1065" s="26" t="s">
        <v>245</v>
      </c>
      <c r="H1065" s="26" t="s">
        <v>57</v>
      </c>
      <c r="I1065" s="26"/>
      <c r="J1065" s="26">
        <v>1.0</v>
      </c>
      <c r="K1065" s="26" t="s">
        <v>244</v>
      </c>
      <c r="L1065" s="26" t="s">
        <v>29</v>
      </c>
      <c r="M1065" s="26" t="s">
        <v>95</v>
      </c>
      <c r="N1065" s="26" t="s">
        <v>307</v>
      </c>
      <c r="O1065" s="26">
        <v>2.0</v>
      </c>
    </row>
    <row r="1066" ht="15.75" customHeight="1">
      <c r="A1066" s="26" t="s">
        <v>4511</v>
      </c>
      <c r="B1066" s="26" t="s">
        <v>4512</v>
      </c>
      <c r="C1066" s="26" t="s">
        <v>363</v>
      </c>
      <c r="D1066" s="26" t="s">
        <v>50</v>
      </c>
      <c r="E1066" s="26" t="s">
        <v>4513</v>
      </c>
      <c r="F1066" s="26" t="s">
        <v>847</v>
      </c>
      <c r="G1066" s="26" t="s">
        <v>328</v>
      </c>
      <c r="H1066" s="26" t="s">
        <v>49</v>
      </c>
      <c r="I1066" s="26"/>
      <c r="J1066" s="26">
        <v>1.0</v>
      </c>
      <c r="K1066" s="26" t="s">
        <v>244</v>
      </c>
      <c r="L1066" s="26" t="s">
        <v>29</v>
      </c>
      <c r="M1066" s="26" t="s">
        <v>95</v>
      </c>
      <c r="N1066" s="26" t="s">
        <v>307</v>
      </c>
      <c r="O1066" s="26">
        <v>2.0</v>
      </c>
    </row>
    <row r="1067" ht="15.75" customHeight="1">
      <c r="A1067" s="26" t="s">
        <v>4514</v>
      </c>
      <c r="B1067" s="26" t="s">
        <v>4515</v>
      </c>
      <c r="C1067" s="26" t="s">
        <v>363</v>
      </c>
      <c r="D1067" s="26" t="s">
        <v>50</v>
      </c>
      <c r="E1067" s="26" t="s">
        <v>4516</v>
      </c>
      <c r="F1067" s="26" t="s">
        <v>1309</v>
      </c>
      <c r="G1067" s="26" t="s">
        <v>245</v>
      </c>
      <c r="H1067" s="26" t="s">
        <v>57</v>
      </c>
      <c r="I1067" s="26" t="s">
        <v>328</v>
      </c>
      <c r="J1067" s="26">
        <v>3.0</v>
      </c>
      <c r="K1067" s="26" t="s">
        <v>244</v>
      </c>
      <c r="L1067" s="26" t="s">
        <v>29</v>
      </c>
      <c r="M1067" s="26" t="s">
        <v>95</v>
      </c>
      <c r="N1067" s="26" t="s">
        <v>307</v>
      </c>
      <c r="O1067" s="26">
        <v>2.0</v>
      </c>
    </row>
    <row r="1068" ht="15.75" customHeight="1">
      <c r="A1068" s="26" t="s">
        <v>4517</v>
      </c>
      <c r="B1068" s="26" t="s">
        <v>4518</v>
      </c>
      <c r="C1068" s="26" t="s">
        <v>363</v>
      </c>
      <c r="D1068" s="26" t="s">
        <v>48</v>
      </c>
      <c r="E1068" s="26" t="s">
        <v>4519</v>
      </c>
      <c r="F1068" s="26" t="s">
        <v>834</v>
      </c>
      <c r="G1068" s="26" t="s">
        <v>267</v>
      </c>
      <c r="H1068" s="26" t="s">
        <v>34</v>
      </c>
      <c r="I1068" s="26"/>
      <c r="J1068" s="26">
        <v>1.0</v>
      </c>
      <c r="K1068" s="26" t="s">
        <v>4520</v>
      </c>
      <c r="L1068" s="26" t="s">
        <v>15</v>
      </c>
      <c r="M1068" s="26" t="s">
        <v>81</v>
      </c>
      <c r="N1068" s="26" t="s">
        <v>307</v>
      </c>
      <c r="O1068" s="26">
        <v>3.0</v>
      </c>
    </row>
    <row r="1069" ht="15.75" customHeight="1">
      <c r="A1069" s="26" t="s">
        <v>4521</v>
      </c>
      <c r="B1069" s="26" t="s">
        <v>4522</v>
      </c>
      <c r="C1069" s="26" t="s">
        <v>892</v>
      </c>
      <c r="D1069" s="26" t="s">
        <v>48</v>
      </c>
      <c r="E1069" s="26" t="s">
        <v>4523</v>
      </c>
      <c r="F1069" s="26" t="s">
        <v>1014</v>
      </c>
      <c r="G1069" s="26" t="s">
        <v>248</v>
      </c>
      <c r="H1069" s="26" t="s">
        <v>46</v>
      </c>
      <c r="I1069" s="26" t="s">
        <v>386</v>
      </c>
      <c r="J1069" s="26">
        <v>2.0</v>
      </c>
      <c r="K1069" s="26" t="s">
        <v>4524</v>
      </c>
      <c r="L1069" s="26" t="s">
        <v>15</v>
      </c>
      <c r="M1069" s="26" t="s">
        <v>81</v>
      </c>
      <c r="N1069" s="26" t="s">
        <v>307</v>
      </c>
      <c r="O1069" s="26">
        <v>3.0</v>
      </c>
    </row>
    <row r="1070" ht="15.75" customHeight="1">
      <c r="A1070" s="26" t="s">
        <v>4525</v>
      </c>
      <c r="B1070" s="26" t="s">
        <v>4526</v>
      </c>
      <c r="C1070" s="26" t="s">
        <v>300</v>
      </c>
      <c r="D1070" s="26" t="s">
        <v>76</v>
      </c>
      <c r="E1070" s="26" t="s">
        <v>4527</v>
      </c>
      <c r="F1070" s="26" t="s">
        <v>1201</v>
      </c>
      <c r="G1070" s="26" t="s">
        <v>222</v>
      </c>
      <c r="H1070" s="26" t="s">
        <v>34</v>
      </c>
      <c r="I1070" s="26"/>
      <c r="J1070" s="26">
        <v>1.0</v>
      </c>
      <c r="K1070" s="26" t="s">
        <v>136</v>
      </c>
      <c r="L1070" s="26" t="s">
        <v>29</v>
      </c>
      <c r="M1070" s="26" t="s">
        <v>95</v>
      </c>
      <c r="N1070" s="26" t="s">
        <v>307</v>
      </c>
      <c r="O1070" s="26">
        <v>3.0</v>
      </c>
    </row>
    <row r="1071" ht="15.75" customHeight="1">
      <c r="A1071" s="26" t="s">
        <v>4528</v>
      </c>
      <c r="B1071" s="26" t="s">
        <v>4529</v>
      </c>
      <c r="C1071" s="26" t="s">
        <v>300</v>
      </c>
      <c r="D1071" s="26" t="s">
        <v>48</v>
      </c>
      <c r="E1071" s="26" t="s">
        <v>4530</v>
      </c>
      <c r="F1071" s="26" t="s">
        <v>1014</v>
      </c>
      <c r="G1071" s="26" t="s">
        <v>248</v>
      </c>
      <c r="H1071" s="26" t="s">
        <v>46</v>
      </c>
      <c r="I1071" s="26"/>
      <c r="J1071" s="26">
        <v>1.0</v>
      </c>
      <c r="K1071" s="26" t="s">
        <v>4531</v>
      </c>
      <c r="L1071" s="26" t="s">
        <v>19</v>
      </c>
      <c r="M1071" s="26" t="s">
        <v>87</v>
      </c>
      <c r="N1071" s="26" t="s">
        <v>307</v>
      </c>
      <c r="O1071" s="26">
        <v>3.0</v>
      </c>
    </row>
    <row r="1072" ht="15.75" customHeight="1">
      <c r="A1072" s="26" t="s">
        <v>4532</v>
      </c>
      <c r="B1072" s="26" t="s">
        <v>4533</v>
      </c>
      <c r="C1072" s="26" t="s">
        <v>312</v>
      </c>
      <c r="D1072" s="26" t="s">
        <v>48</v>
      </c>
      <c r="E1072" s="26" t="s">
        <v>4534</v>
      </c>
      <c r="F1072" s="26" t="s">
        <v>984</v>
      </c>
      <c r="G1072" s="26" t="s">
        <v>265</v>
      </c>
      <c r="H1072" s="26" t="s">
        <v>34</v>
      </c>
      <c r="I1072" s="26" t="s">
        <v>248</v>
      </c>
      <c r="J1072" s="26">
        <v>3.0</v>
      </c>
      <c r="K1072" s="26" t="s">
        <v>4535</v>
      </c>
      <c r="L1072" s="26" t="s">
        <v>15</v>
      </c>
      <c r="M1072" s="26" t="s">
        <v>81</v>
      </c>
      <c r="N1072" s="26" t="s">
        <v>307</v>
      </c>
      <c r="O1072" s="26">
        <v>3.0</v>
      </c>
    </row>
    <row r="1073" ht="15.75" customHeight="1">
      <c r="A1073" s="26" t="s">
        <v>4536</v>
      </c>
      <c r="B1073" s="26" t="s">
        <v>4537</v>
      </c>
      <c r="C1073" s="26" t="s">
        <v>363</v>
      </c>
      <c r="D1073" s="26" t="s">
        <v>48</v>
      </c>
      <c r="E1073" s="26" t="s">
        <v>524</v>
      </c>
      <c r="F1073" s="26" t="s">
        <v>590</v>
      </c>
      <c r="G1073" s="26" t="s">
        <v>329</v>
      </c>
      <c r="H1073" s="26" t="s">
        <v>46</v>
      </c>
      <c r="I1073" s="26"/>
      <c r="J1073" s="26">
        <v>1.0</v>
      </c>
      <c r="K1073" s="26" t="s">
        <v>525</v>
      </c>
      <c r="L1073" s="26" t="s">
        <v>15</v>
      </c>
      <c r="M1073" s="26" t="s">
        <v>81</v>
      </c>
      <c r="N1073" s="26" t="s">
        <v>307</v>
      </c>
      <c r="O1073" s="26">
        <v>3.0</v>
      </c>
    </row>
    <row r="1074" ht="15.75" customHeight="1">
      <c r="A1074" s="26" t="s">
        <v>4538</v>
      </c>
      <c r="B1074" s="26" t="s">
        <v>4539</v>
      </c>
      <c r="C1074" s="26" t="s">
        <v>363</v>
      </c>
      <c r="D1074" s="26" t="s">
        <v>69</v>
      </c>
      <c r="E1074" s="26" t="s">
        <v>4540</v>
      </c>
      <c r="F1074" s="26" t="s">
        <v>537</v>
      </c>
      <c r="G1074" s="26" t="s">
        <v>197</v>
      </c>
      <c r="H1074" s="26" t="s">
        <v>34</v>
      </c>
      <c r="I1074" s="26" t="s">
        <v>83</v>
      </c>
      <c r="J1074" s="26">
        <v>2.0</v>
      </c>
      <c r="K1074" s="26" t="s">
        <v>4541</v>
      </c>
      <c r="L1074" s="26" t="s">
        <v>15</v>
      </c>
      <c r="M1074" s="26" t="s">
        <v>81</v>
      </c>
      <c r="N1074" s="26" t="s">
        <v>307</v>
      </c>
      <c r="O1074" s="26">
        <v>4.0</v>
      </c>
    </row>
    <row r="1075" ht="15.75" customHeight="1">
      <c r="A1075" s="26" t="s">
        <v>4542</v>
      </c>
      <c r="B1075" s="26" t="s">
        <v>4543</v>
      </c>
      <c r="C1075" s="26" t="s">
        <v>322</v>
      </c>
      <c r="D1075" s="26" t="s">
        <v>62</v>
      </c>
      <c r="E1075" s="26" t="s">
        <v>4544</v>
      </c>
      <c r="F1075" s="26" t="s">
        <v>1539</v>
      </c>
      <c r="G1075" s="26" t="s">
        <v>212</v>
      </c>
      <c r="H1075" s="26" t="s">
        <v>34</v>
      </c>
      <c r="I1075" s="26" t="s">
        <v>983</v>
      </c>
      <c r="J1075" s="26">
        <v>2.0</v>
      </c>
      <c r="K1075" s="26" t="s">
        <v>4545</v>
      </c>
      <c r="L1075" s="26" t="s">
        <v>15</v>
      </c>
      <c r="M1075" s="26" t="s">
        <v>81</v>
      </c>
      <c r="N1075" s="26" t="s">
        <v>307</v>
      </c>
      <c r="O1075" s="26">
        <v>3.0</v>
      </c>
    </row>
    <row r="1076" ht="15.75" customHeight="1">
      <c r="A1076" s="26" t="s">
        <v>4546</v>
      </c>
      <c r="B1076" s="26" t="s">
        <v>4547</v>
      </c>
      <c r="C1076" s="26" t="s">
        <v>429</v>
      </c>
      <c r="D1076" s="26" t="s">
        <v>72</v>
      </c>
      <c r="E1076" s="26" t="s">
        <v>4548</v>
      </c>
      <c r="F1076" s="26" t="s">
        <v>2422</v>
      </c>
      <c r="G1076" s="26" t="s">
        <v>90</v>
      </c>
      <c r="H1076" s="26" t="s">
        <v>34</v>
      </c>
      <c r="I1076" s="26" t="s">
        <v>109</v>
      </c>
      <c r="J1076" s="26">
        <v>2.0</v>
      </c>
      <c r="K1076" s="26" t="s">
        <v>244</v>
      </c>
      <c r="L1076" s="26" t="s">
        <v>29</v>
      </c>
      <c r="M1076" s="26" t="s">
        <v>95</v>
      </c>
      <c r="N1076" s="26" t="s">
        <v>307</v>
      </c>
      <c r="O1076" s="26">
        <v>1.0</v>
      </c>
    </row>
    <row r="1077" ht="15.75" customHeight="1">
      <c r="A1077" s="26" t="s">
        <v>4549</v>
      </c>
      <c r="B1077" s="26" t="s">
        <v>4550</v>
      </c>
      <c r="C1077" s="26" t="s">
        <v>300</v>
      </c>
      <c r="D1077" s="26" t="s">
        <v>48</v>
      </c>
      <c r="E1077" s="26" t="s">
        <v>4551</v>
      </c>
      <c r="F1077" s="26" t="s">
        <v>834</v>
      </c>
      <c r="G1077" s="26" t="s">
        <v>267</v>
      </c>
      <c r="H1077" s="26" t="s">
        <v>34</v>
      </c>
      <c r="I1077" s="26" t="s">
        <v>365</v>
      </c>
      <c r="J1077" s="26">
        <v>2.0</v>
      </c>
      <c r="K1077" s="26" t="s">
        <v>4552</v>
      </c>
      <c r="L1077" s="26" t="s">
        <v>15</v>
      </c>
      <c r="M1077" s="26" t="s">
        <v>81</v>
      </c>
      <c r="N1077" s="26" t="s">
        <v>307</v>
      </c>
      <c r="O1077" s="26">
        <v>3.0</v>
      </c>
    </row>
    <row r="1078" ht="15.75" customHeight="1">
      <c r="A1078" s="26" t="s">
        <v>4553</v>
      </c>
      <c r="B1078" s="26" t="s">
        <v>4554</v>
      </c>
      <c r="C1078" s="26" t="s">
        <v>300</v>
      </c>
      <c r="D1078" s="26" t="s">
        <v>54</v>
      </c>
      <c r="E1078" s="26" t="s">
        <v>4555</v>
      </c>
      <c r="F1078" s="26" t="s">
        <v>432</v>
      </c>
      <c r="G1078" s="26" t="s">
        <v>182</v>
      </c>
      <c r="H1078" s="26" t="s">
        <v>34</v>
      </c>
      <c r="I1078" s="26" t="s">
        <v>572</v>
      </c>
      <c r="J1078" s="26">
        <v>3.0</v>
      </c>
      <c r="K1078" s="26" t="s">
        <v>4556</v>
      </c>
      <c r="L1078" s="26" t="s">
        <v>15</v>
      </c>
      <c r="M1078" s="26" t="s">
        <v>87</v>
      </c>
      <c r="N1078" s="26" t="s">
        <v>307</v>
      </c>
      <c r="O1078" s="26">
        <v>3.0</v>
      </c>
    </row>
    <row r="1079" ht="15.75" customHeight="1">
      <c r="A1079" s="26" t="s">
        <v>4557</v>
      </c>
      <c r="B1079" s="26" t="s">
        <v>4558</v>
      </c>
      <c r="C1079" s="26" t="s">
        <v>429</v>
      </c>
      <c r="D1079" s="26" t="s">
        <v>45</v>
      </c>
      <c r="E1079" s="26" t="s">
        <v>352</v>
      </c>
      <c r="F1079" s="26" t="s">
        <v>1647</v>
      </c>
      <c r="G1079" s="26" t="s">
        <v>82</v>
      </c>
      <c r="H1079" s="26" t="s">
        <v>34</v>
      </c>
      <c r="I1079" s="26"/>
      <c r="J1079" s="26">
        <v>1.0</v>
      </c>
      <c r="K1079" s="26" t="s">
        <v>4559</v>
      </c>
      <c r="L1079" s="26" t="s">
        <v>15</v>
      </c>
      <c r="M1079" s="26" t="s">
        <v>81</v>
      </c>
      <c r="N1079" s="26" t="s">
        <v>307</v>
      </c>
      <c r="O1079" s="26">
        <v>3.0</v>
      </c>
    </row>
    <row r="1080" ht="15.75" customHeight="1">
      <c r="A1080" s="26" t="s">
        <v>4560</v>
      </c>
      <c r="B1080" s="26" t="s">
        <v>4561</v>
      </c>
      <c r="C1080" s="26" t="s">
        <v>363</v>
      </c>
      <c r="D1080" s="26" t="s">
        <v>69</v>
      </c>
      <c r="E1080" s="26" t="s">
        <v>4562</v>
      </c>
      <c r="F1080" s="26" t="s">
        <v>3585</v>
      </c>
      <c r="G1080" s="26" t="s">
        <v>1095</v>
      </c>
      <c r="H1080" s="26" t="s">
        <v>46</v>
      </c>
      <c r="I1080" s="26"/>
      <c r="J1080" s="26">
        <v>1.0</v>
      </c>
      <c r="K1080" s="26" t="s">
        <v>4563</v>
      </c>
      <c r="L1080" s="26" t="s">
        <v>19</v>
      </c>
      <c r="M1080" s="26" t="s">
        <v>66</v>
      </c>
      <c r="N1080" s="26" t="s">
        <v>307</v>
      </c>
      <c r="O1080" s="26">
        <v>3.0</v>
      </c>
    </row>
    <row r="1081" ht="15.75" customHeight="1">
      <c r="A1081" s="26" t="s">
        <v>4564</v>
      </c>
      <c r="B1081" s="26" t="s">
        <v>4565</v>
      </c>
      <c r="C1081" s="26" t="s">
        <v>363</v>
      </c>
      <c r="D1081" s="26" t="s">
        <v>45</v>
      </c>
      <c r="E1081" s="26" t="s">
        <v>4566</v>
      </c>
      <c r="F1081" s="26" t="s">
        <v>1237</v>
      </c>
      <c r="G1081" s="26" t="s">
        <v>166</v>
      </c>
      <c r="H1081" s="26" t="s">
        <v>46</v>
      </c>
      <c r="I1081" s="26"/>
      <c r="J1081" s="26">
        <v>1.0</v>
      </c>
      <c r="K1081" s="26" t="s">
        <v>136</v>
      </c>
      <c r="L1081" s="26" t="s">
        <v>29</v>
      </c>
      <c r="M1081" s="26" t="s">
        <v>95</v>
      </c>
      <c r="N1081" s="26" t="s">
        <v>307</v>
      </c>
      <c r="O1081" s="26">
        <v>4.0</v>
      </c>
    </row>
    <row r="1082" ht="15.75" customHeight="1">
      <c r="A1082" s="26" t="s">
        <v>4567</v>
      </c>
      <c r="B1082" s="26" t="s">
        <v>4568</v>
      </c>
      <c r="C1082" s="26" t="s">
        <v>363</v>
      </c>
      <c r="D1082" s="26" t="s">
        <v>45</v>
      </c>
      <c r="E1082" s="26" t="s">
        <v>4569</v>
      </c>
      <c r="F1082" s="26" t="s">
        <v>799</v>
      </c>
      <c r="G1082" s="26" t="s">
        <v>130</v>
      </c>
      <c r="H1082" s="26" t="s">
        <v>34</v>
      </c>
      <c r="I1082" s="26" t="s">
        <v>140</v>
      </c>
      <c r="J1082" s="26">
        <v>4.0</v>
      </c>
      <c r="K1082" s="26" t="s">
        <v>4570</v>
      </c>
      <c r="L1082" s="26" t="s">
        <v>15</v>
      </c>
      <c r="M1082" s="26" t="s">
        <v>87</v>
      </c>
      <c r="N1082" s="26" t="s">
        <v>307</v>
      </c>
      <c r="O1082" s="26">
        <v>4.0</v>
      </c>
    </row>
    <row r="1083" ht="15.75" customHeight="1">
      <c r="A1083" s="26" t="s">
        <v>4571</v>
      </c>
      <c r="B1083" s="26" t="s">
        <v>4572</v>
      </c>
      <c r="C1083" s="26" t="s">
        <v>363</v>
      </c>
      <c r="D1083" s="26" t="s">
        <v>36</v>
      </c>
      <c r="E1083" s="26" t="s">
        <v>4573</v>
      </c>
      <c r="F1083" s="26" t="s">
        <v>315</v>
      </c>
      <c r="G1083" s="26" t="s">
        <v>47</v>
      </c>
      <c r="H1083" s="26" t="s">
        <v>34</v>
      </c>
      <c r="I1083" s="26" t="s">
        <v>121</v>
      </c>
      <c r="J1083" s="26">
        <v>3.0</v>
      </c>
      <c r="K1083" s="26" t="s">
        <v>4574</v>
      </c>
      <c r="L1083" s="26" t="s">
        <v>15</v>
      </c>
      <c r="M1083" s="26" t="s">
        <v>81</v>
      </c>
      <c r="N1083" s="26" t="s">
        <v>307</v>
      </c>
      <c r="O1083" s="26">
        <v>1.0</v>
      </c>
    </row>
    <row r="1084" ht="15.75" customHeight="1">
      <c r="A1084" s="26" t="s">
        <v>4575</v>
      </c>
      <c r="B1084" s="26" t="s">
        <v>4576</v>
      </c>
      <c r="C1084" s="26" t="s">
        <v>363</v>
      </c>
      <c r="D1084" s="26" t="s">
        <v>36</v>
      </c>
      <c r="E1084" s="26" t="s">
        <v>4577</v>
      </c>
      <c r="F1084" s="26" t="s">
        <v>2381</v>
      </c>
      <c r="G1084" s="26" t="s">
        <v>88</v>
      </c>
      <c r="H1084" s="26" t="s">
        <v>46</v>
      </c>
      <c r="I1084" s="26"/>
      <c r="J1084" s="26">
        <v>1.0</v>
      </c>
      <c r="K1084" s="26" t="s">
        <v>4578</v>
      </c>
      <c r="L1084" s="26" t="s">
        <v>15</v>
      </c>
      <c r="M1084" s="26" t="s">
        <v>81</v>
      </c>
      <c r="N1084" s="26" t="s">
        <v>307</v>
      </c>
      <c r="O1084" s="26">
        <v>1.0</v>
      </c>
    </row>
    <row r="1085" ht="15.75" customHeight="1">
      <c r="A1085" s="26" t="s">
        <v>4579</v>
      </c>
      <c r="B1085" s="26" t="s">
        <v>4580</v>
      </c>
      <c r="C1085" s="26" t="s">
        <v>429</v>
      </c>
      <c r="D1085" s="26" t="s">
        <v>36</v>
      </c>
      <c r="E1085" s="26" t="s">
        <v>4581</v>
      </c>
      <c r="F1085" s="26" t="s">
        <v>1657</v>
      </c>
      <c r="G1085" s="26" t="s">
        <v>101</v>
      </c>
      <c r="H1085" s="26" t="s">
        <v>46</v>
      </c>
      <c r="I1085" s="26"/>
      <c r="J1085" s="26">
        <v>1.0</v>
      </c>
      <c r="K1085" s="26" t="s">
        <v>4582</v>
      </c>
      <c r="L1085" s="26" t="s">
        <v>15</v>
      </c>
      <c r="M1085" s="26" t="s">
        <v>81</v>
      </c>
      <c r="N1085" s="26" t="s">
        <v>307</v>
      </c>
      <c r="O1085" s="26">
        <v>1.0</v>
      </c>
    </row>
    <row r="1086" ht="15.75" customHeight="1">
      <c r="A1086" s="26" t="s">
        <v>4583</v>
      </c>
      <c r="B1086" s="26" t="s">
        <v>4584</v>
      </c>
      <c r="C1086" s="26" t="s">
        <v>363</v>
      </c>
      <c r="D1086" s="26" t="s">
        <v>36</v>
      </c>
      <c r="E1086" s="26" t="s">
        <v>208</v>
      </c>
      <c r="F1086" s="26" t="s">
        <v>1657</v>
      </c>
      <c r="G1086" s="26" t="s">
        <v>101</v>
      </c>
      <c r="H1086" s="26" t="s">
        <v>46</v>
      </c>
      <c r="I1086" s="26"/>
      <c r="J1086" s="26">
        <v>1.0</v>
      </c>
      <c r="K1086" s="26" t="s">
        <v>209</v>
      </c>
      <c r="L1086" s="26" t="s">
        <v>15</v>
      </c>
      <c r="M1086" s="26" t="s">
        <v>81</v>
      </c>
      <c r="N1086" s="26" t="s">
        <v>307</v>
      </c>
      <c r="O1086" s="26">
        <v>1.0</v>
      </c>
    </row>
    <row r="1087" ht="15.75" customHeight="1">
      <c r="A1087" s="26" t="s">
        <v>4585</v>
      </c>
      <c r="B1087" s="26" t="s">
        <v>4586</v>
      </c>
      <c r="C1087" s="26" t="s">
        <v>300</v>
      </c>
      <c r="D1087" s="26" t="s">
        <v>36</v>
      </c>
      <c r="E1087" s="26" t="s">
        <v>135</v>
      </c>
      <c r="F1087" s="26" t="s">
        <v>315</v>
      </c>
      <c r="G1087" s="26" t="s">
        <v>47</v>
      </c>
      <c r="H1087" s="26" t="s">
        <v>34</v>
      </c>
      <c r="I1087" s="26" t="s">
        <v>82</v>
      </c>
      <c r="J1087" s="26">
        <v>2.0</v>
      </c>
      <c r="K1087" s="26" t="s">
        <v>136</v>
      </c>
      <c r="L1087" s="26" t="s">
        <v>29</v>
      </c>
      <c r="M1087" s="26" t="s">
        <v>95</v>
      </c>
      <c r="N1087" s="26" t="s">
        <v>307</v>
      </c>
      <c r="O1087" s="26">
        <v>1.0</v>
      </c>
    </row>
    <row r="1088" ht="15.75" customHeight="1">
      <c r="A1088" s="26" t="s">
        <v>4587</v>
      </c>
      <c r="B1088" s="26" t="s">
        <v>4588</v>
      </c>
      <c r="C1088" s="26" t="s">
        <v>363</v>
      </c>
      <c r="D1088" s="26" t="s">
        <v>50</v>
      </c>
      <c r="E1088" s="26" t="s">
        <v>4589</v>
      </c>
      <c r="F1088" s="26" t="s">
        <v>336</v>
      </c>
      <c r="G1088" s="26" t="s">
        <v>75</v>
      </c>
      <c r="H1088" s="26" t="s">
        <v>53</v>
      </c>
      <c r="I1088" s="26" t="s">
        <v>328</v>
      </c>
      <c r="J1088" s="26">
        <v>3.0</v>
      </c>
      <c r="K1088" s="26" t="s">
        <v>4590</v>
      </c>
      <c r="L1088" s="26" t="s">
        <v>15</v>
      </c>
      <c r="M1088" s="26" t="s">
        <v>81</v>
      </c>
      <c r="N1088" s="26" t="s">
        <v>307</v>
      </c>
      <c r="O1088" s="26">
        <v>1.0</v>
      </c>
    </row>
    <row r="1089" ht="15.75" customHeight="1">
      <c r="A1089" s="26" t="s">
        <v>4591</v>
      </c>
      <c r="B1089" s="26" t="s">
        <v>4592</v>
      </c>
      <c r="C1089" s="26" t="s">
        <v>363</v>
      </c>
      <c r="D1089" s="26" t="s">
        <v>36</v>
      </c>
      <c r="E1089" s="26" t="s">
        <v>4593</v>
      </c>
      <c r="F1089" s="26" t="s">
        <v>1583</v>
      </c>
      <c r="G1089" s="26" t="s">
        <v>73</v>
      </c>
      <c r="H1089" s="26" t="s">
        <v>46</v>
      </c>
      <c r="I1089" s="26" t="s">
        <v>108</v>
      </c>
      <c r="J1089" s="26">
        <v>3.0</v>
      </c>
      <c r="K1089" s="26" t="s">
        <v>491</v>
      </c>
      <c r="L1089" s="26" t="s">
        <v>29</v>
      </c>
      <c r="M1089" s="26" t="s">
        <v>95</v>
      </c>
      <c r="N1089" s="26" t="s">
        <v>307</v>
      </c>
      <c r="O1089" s="26">
        <v>0.0</v>
      </c>
    </row>
    <row r="1090" ht="15.75" customHeight="1">
      <c r="A1090" s="26" t="s">
        <v>4594</v>
      </c>
      <c r="B1090" s="26" t="s">
        <v>4595</v>
      </c>
      <c r="C1090" s="26" t="s">
        <v>363</v>
      </c>
      <c r="D1090" s="26" t="s">
        <v>36</v>
      </c>
      <c r="E1090" s="26" t="s">
        <v>4596</v>
      </c>
      <c r="F1090" s="26" t="s">
        <v>2116</v>
      </c>
      <c r="G1090" s="26" t="s">
        <v>84</v>
      </c>
      <c r="H1090" s="26" t="s">
        <v>34</v>
      </c>
      <c r="I1090" s="26" t="s">
        <v>121</v>
      </c>
      <c r="J1090" s="26">
        <v>3.0</v>
      </c>
      <c r="K1090" s="26" t="s">
        <v>4597</v>
      </c>
      <c r="L1090" s="26" t="s">
        <v>15</v>
      </c>
      <c r="M1090" s="26" t="s">
        <v>81</v>
      </c>
      <c r="N1090" s="26" t="s">
        <v>307</v>
      </c>
      <c r="O1090" s="26">
        <v>2.0</v>
      </c>
    </row>
    <row r="1091" ht="15.75" customHeight="1">
      <c r="A1091" s="26" t="s">
        <v>4598</v>
      </c>
      <c r="B1091" s="26" t="s">
        <v>4599</v>
      </c>
      <c r="C1091" s="26" t="s">
        <v>363</v>
      </c>
      <c r="D1091" s="26" t="s">
        <v>89</v>
      </c>
      <c r="E1091" s="26" t="s">
        <v>1401</v>
      </c>
      <c r="F1091" s="26" t="s">
        <v>4600</v>
      </c>
      <c r="G1091" s="26" t="s">
        <v>638</v>
      </c>
      <c r="H1091" s="26" t="s">
        <v>53</v>
      </c>
      <c r="I1091" s="26"/>
      <c r="J1091" s="26">
        <v>1.0</v>
      </c>
      <c r="K1091" s="26" t="s">
        <v>491</v>
      </c>
      <c r="L1091" s="26" t="s">
        <v>29</v>
      </c>
      <c r="M1091" s="26" t="s">
        <v>95</v>
      </c>
      <c r="N1091" s="26" t="s">
        <v>307</v>
      </c>
      <c r="O1091" s="26">
        <v>0.0</v>
      </c>
    </row>
    <row r="1092" ht="15.75" customHeight="1">
      <c r="A1092" s="26" t="s">
        <v>4601</v>
      </c>
      <c r="B1092" s="26" t="s">
        <v>4602</v>
      </c>
      <c r="C1092" s="26" t="s">
        <v>312</v>
      </c>
      <c r="D1092" s="26" t="s">
        <v>48</v>
      </c>
      <c r="E1092" s="26" t="s">
        <v>4603</v>
      </c>
      <c r="F1092" s="26" t="s">
        <v>590</v>
      </c>
      <c r="G1092" s="26" t="s">
        <v>329</v>
      </c>
      <c r="H1092" s="26" t="s">
        <v>46</v>
      </c>
      <c r="I1092" s="26"/>
      <c r="J1092" s="26">
        <v>1.0</v>
      </c>
      <c r="K1092" s="26" t="s">
        <v>4604</v>
      </c>
      <c r="L1092" s="26" t="s">
        <v>15</v>
      </c>
      <c r="M1092" s="26" t="s">
        <v>81</v>
      </c>
      <c r="N1092" s="26" t="s">
        <v>307</v>
      </c>
      <c r="O1092" s="26">
        <v>2.0</v>
      </c>
    </row>
    <row r="1093" ht="15.75" customHeight="1">
      <c r="A1093" s="26" t="s">
        <v>4605</v>
      </c>
      <c r="B1093" s="26" t="s">
        <v>4606</v>
      </c>
      <c r="C1093" s="26" t="s">
        <v>429</v>
      </c>
      <c r="D1093" s="26" t="s">
        <v>72</v>
      </c>
      <c r="E1093" s="26" t="s">
        <v>4607</v>
      </c>
      <c r="F1093" s="26" t="s">
        <v>2422</v>
      </c>
      <c r="G1093" s="26" t="s">
        <v>90</v>
      </c>
      <c r="H1093" s="26" t="s">
        <v>34</v>
      </c>
      <c r="I1093" s="26" t="s">
        <v>109</v>
      </c>
      <c r="J1093" s="26">
        <v>2.0</v>
      </c>
      <c r="K1093" s="26" t="s">
        <v>136</v>
      </c>
      <c r="L1093" s="26" t="s">
        <v>29</v>
      </c>
      <c r="M1093" s="26" t="s">
        <v>95</v>
      </c>
      <c r="N1093" s="26" t="s">
        <v>307</v>
      </c>
      <c r="O1093" s="26">
        <v>3.0</v>
      </c>
    </row>
    <row r="1094" ht="15.75" customHeight="1">
      <c r="A1094" s="26" t="s">
        <v>4608</v>
      </c>
      <c r="B1094" s="26" t="s">
        <v>4609</v>
      </c>
      <c r="C1094" s="26" t="s">
        <v>363</v>
      </c>
      <c r="D1094" s="26" t="s">
        <v>36</v>
      </c>
      <c r="E1094" s="26" t="s">
        <v>4610</v>
      </c>
      <c r="F1094" s="26" t="s">
        <v>3847</v>
      </c>
      <c r="G1094" s="26" t="s">
        <v>98</v>
      </c>
      <c r="H1094" s="26" t="s">
        <v>34</v>
      </c>
      <c r="I1094" s="26" t="s">
        <v>82</v>
      </c>
      <c r="J1094" s="26">
        <v>2.0</v>
      </c>
      <c r="K1094" s="26" t="s">
        <v>4611</v>
      </c>
      <c r="L1094" s="26" t="s">
        <v>19</v>
      </c>
      <c r="M1094" s="26" t="s">
        <v>66</v>
      </c>
      <c r="N1094" s="26" t="s">
        <v>307</v>
      </c>
      <c r="O1094" s="26">
        <v>1.0</v>
      </c>
    </row>
    <row r="1095" ht="15.75" customHeight="1">
      <c r="A1095" s="26" t="s">
        <v>4612</v>
      </c>
      <c r="B1095" s="26" t="s">
        <v>4613</v>
      </c>
      <c r="C1095" s="26" t="s">
        <v>363</v>
      </c>
      <c r="D1095" s="26" t="s">
        <v>54</v>
      </c>
      <c r="E1095" s="26" t="s">
        <v>4614</v>
      </c>
      <c r="F1095" s="26" t="s">
        <v>432</v>
      </c>
      <c r="G1095" s="26" t="s">
        <v>182</v>
      </c>
      <c r="H1095" s="26" t="s">
        <v>34</v>
      </c>
      <c r="I1095" s="26"/>
      <c r="J1095" s="26">
        <v>1.0</v>
      </c>
      <c r="K1095" s="26" t="s">
        <v>4615</v>
      </c>
      <c r="L1095" s="26" t="s">
        <v>19</v>
      </c>
      <c r="M1095" s="26" t="s">
        <v>66</v>
      </c>
      <c r="N1095" s="26" t="s">
        <v>307</v>
      </c>
      <c r="O1095" s="26">
        <v>4.0</v>
      </c>
    </row>
    <row r="1096" ht="15.75" customHeight="1">
      <c r="A1096" s="26" t="s">
        <v>4616</v>
      </c>
      <c r="B1096" s="26" t="s">
        <v>4617</v>
      </c>
      <c r="C1096" s="26" t="s">
        <v>363</v>
      </c>
      <c r="D1096" s="26" t="s">
        <v>45</v>
      </c>
      <c r="E1096" s="26" t="s">
        <v>4618</v>
      </c>
      <c r="F1096" s="26" t="s">
        <v>806</v>
      </c>
      <c r="G1096" s="26" t="s">
        <v>169</v>
      </c>
      <c r="H1096" s="26" t="s">
        <v>52</v>
      </c>
      <c r="I1096" s="26" t="s">
        <v>1433</v>
      </c>
      <c r="J1096" s="26">
        <v>2.0</v>
      </c>
      <c r="K1096" s="26" t="s">
        <v>4619</v>
      </c>
      <c r="L1096" s="26" t="s">
        <v>15</v>
      </c>
      <c r="M1096" s="26" t="s">
        <v>81</v>
      </c>
      <c r="N1096" s="26" t="s">
        <v>307</v>
      </c>
      <c r="O1096" s="26">
        <v>4.0</v>
      </c>
    </row>
    <row r="1097" ht="15.75" customHeight="1">
      <c r="A1097" s="26" t="s">
        <v>4620</v>
      </c>
      <c r="B1097" s="26" t="s">
        <v>4621</v>
      </c>
      <c r="C1097" s="26" t="s">
        <v>300</v>
      </c>
      <c r="D1097" s="26" t="s">
        <v>54</v>
      </c>
      <c r="E1097" s="26" t="s">
        <v>726</v>
      </c>
      <c r="F1097" s="26" t="s">
        <v>432</v>
      </c>
      <c r="G1097" s="26" t="s">
        <v>182</v>
      </c>
      <c r="H1097" s="26" t="s">
        <v>34</v>
      </c>
      <c r="I1097" s="26"/>
      <c r="J1097" s="26">
        <v>1.0</v>
      </c>
      <c r="K1097" s="26" t="s">
        <v>728</v>
      </c>
      <c r="L1097" s="26" t="s">
        <v>19</v>
      </c>
      <c r="M1097" s="26" t="s">
        <v>66</v>
      </c>
      <c r="N1097" s="26" t="s">
        <v>307</v>
      </c>
      <c r="O1097" s="26">
        <v>4.0</v>
      </c>
    </row>
    <row r="1098" ht="15.75" customHeight="1">
      <c r="A1098" s="26" t="s">
        <v>4622</v>
      </c>
      <c r="B1098" s="26" t="s">
        <v>4623</v>
      </c>
      <c r="C1098" s="26" t="s">
        <v>363</v>
      </c>
      <c r="D1098" s="26" t="s">
        <v>50</v>
      </c>
      <c r="E1098" s="26" t="s">
        <v>4624</v>
      </c>
      <c r="F1098" s="26" t="s">
        <v>336</v>
      </c>
      <c r="G1098" s="26" t="s">
        <v>75</v>
      </c>
      <c r="H1098" s="26" t="s">
        <v>53</v>
      </c>
      <c r="I1098" s="26" t="s">
        <v>189</v>
      </c>
      <c r="J1098" s="26">
        <v>4.0</v>
      </c>
      <c r="K1098" s="26" t="s">
        <v>4625</v>
      </c>
      <c r="L1098" s="26" t="s">
        <v>15</v>
      </c>
      <c r="M1098" s="26" t="s">
        <v>81</v>
      </c>
      <c r="N1098" s="26" t="s">
        <v>307</v>
      </c>
      <c r="O1098" s="26">
        <v>1.0</v>
      </c>
    </row>
    <row r="1099" ht="15.75" customHeight="1">
      <c r="A1099" s="26" t="s">
        <v>4626</v>
      </c>
      <c r="B1099" s="26" t="s">
        <v>4627</v>
      </c>
      <c r="C1099" s="26" t="s">
        <v>300</v>
      </c>
      <c r="D1099" s="26" t="s">
        <v>54</v>
      </c>
      <c r="E1099" s="26" t="s">
        <v>4628</v>
      </c>
      <c r="F1099" s="26" t="s">
        <v>432</v>
      </c>
      <c r="G1099" s="26" t="s">
        <v>182</v>
      </c>
      <c r="H1099" s="26" t="s">
        <v>34</v>
      </c>
      <c r="I1099" s="26" t="s">
        <v>217</v>
      </c>
      <c r="J1099" s="26">
        <v>2.0</v>
      </c>
      <c r="K1099" s="26" t="s">
        <v>4629</v>
      </c>
      <c r="L1099" s="26" t="s">
        <v>15</v>
      </c>
      <c r="M1099" s="26" t="s">
        <v>81</v>
      </c>
      <c r="N1099" s="26" t="s">
        <v>307</v>
      </c>
      <c r="O1099" s="26">
        <v>3.0</v>
      </c>
    </row>
    <row r="1100" ht="15.75" customHeight="1">
      <c r="A1100" s="26" t="s">
        <v>4630</v>
      </c>
      <c r="B1100" s="26" t="s">
        <v>4631</v>
      </c>
      <c r="C1100" s="26" t="s">
        <v>312</v>
      </c>
      <c r="D1100" s="26" t="s">
        <v>54</v>
      </c>
      <c r="E1100" s="26" t="s">
        <v>4632</v>
      </c>
      <c r="F1100" s="26" t="s">
        <v>347</v>
      </c>
      <c r="G1100" s="26" t="s">
        <v>99</v>
      </c>
      <c r="H1100" s="26" t="s">
        <v>49</v>
      </c>
      <c r="I1100" s="26" t="s">
        <v>327</v>
      </c>
      <c r="J1100" s="26">
        <v>2.0</v>
      </c>
      <c r="K1100" s="26" t="s">
        <v>4633</v>
      </c>
      <c r="L1100" s="26" t="s">
        <v>15</v>
      </c>
      <c r="M1100" s="26" t="s">
        <v>81</v>
      </c>
      <c r="N1100" s="26" t="s">
        <v>307</v>
      </c>
      <c r="O1100" s="26">
        <v>3.0</v>
      </c>
    </row>
    <row r="1101" ht="15.75" customHeight="1">
      <c r="A1101" s="26" t="s">
        <v>4634</v>
      </c>
      <c r="B1101" s="26" t="s">
        <v>4635</v>
      </c>
      <c r="C1101" s="26" t="s">
        <v>300</v>
      </c>
      <c r="D1101" s="26" t="s">
        <v>54</v>
      </c>
      <c r="E1101" s="26" t="s">
        <v>4636</v>
      </c>
      <c r="F1101" s="26" t="s">
        <v>432</v>
      </c>
      <c r="G1101" s="26" t="s">
        <v>182</v>
      </c>
      <c r="H1101" s="26" t="s">
        <v>34</v>
      </c>
      <c r="I1101" s="26" t="s">
        <v>217</v>
      </c>
      <c r="J1101" s="26">
        <v>2.0</v>
      </c>
      <c r="K1101" s="26" t="s">
        <v>4637</v>
      </c>
      <c r="L1101" s="26" t="s">
        <v>19</v>
      </c>
      <c r="M1101" s="26" t="s">
        <v>66</v>
      </c>
      <c r="N1101" s="26" t="s">
        <v>307</v>
      </c>
      <c r="O1101" s="26">
        <v>3.0</v>
      </c>
    </row>
    <row r="1102" ht="15.75" customHeight="1">
      <c r="A1102" s="26" t="s">
        <v>4638</v>
      </c>
      <c r="B1102" s="26" t="s">
        <v>4639</v>
      </c>
      <c r="C1102" s="26" t="s">
        <v>363</v>
      </c>
      <c r="D1102" s="26" t="s">
        <v>45</v>
      </c>
      <c r="E1102" s="26" t="s">
        <v>4640</v>
      </c>
      <c r="F1102" s="26" t="s">
        <v>303</v>
      </c>
      <c r="G1102" s="26" t="s">
        <v>140</v>
      </c>
      <c r="H1102" s="26" t="s">
        <v>34</v>
      </c>
      <c r="I1102" s="26" t="s">
        <v>166</v>
      </c>
      <c r="J1102" s="26">
        <v>4.0</v>
      </c>
      <c r="K1102" s="26" t="s">
        <v>4641</v>
      </c>
      <c r="L1102" s="26" t="s">
        <v>15</v>
      </c>
      <c r="M1102" s="26" t="s">
        <v>81</v>
      </c>
      <c r="N1102" s="26" t="s">
        <v>307</v>
      </c>
      <c r="O1102" s="26">
        <v>3.0</v>
      </c>
    </row>
    <row r="1103" ht="15.75" customHeight="1">
      <c r="A1103" s="26" t="s">
        <v>4642</v>
      </c>
      <c r="B1103" s="26" t="s">
        <v>4643</v>
      </c>
      <c r="C1103" s="26" t="s">
        <v>300</v>
      </c>
      <c r="D1103" s="26" t="s">
        <v>50</v>
      </c>
      <c r="E1103" s="26" t="s">
        <v>4644</v>
      </c>
      <c r="F1103" s="26" t="s">
        <v>1309</v>
      </c>
      <c r="G1103" s="26" t="s">
        <v>245</v>
      </c>
      <c r="H1103" s="26" t="s">
        <v>57</v>
      </c>
      <c r="I1103" s="26" t="s">
        <v>328</v>
      </c>
      <c r="J1103" s="26">
        <v>3.0</v>
      </c>
      <c r="K1103" s="26" t="s">
        <v>4645</v>
      </c>
      <c r="L1103" s="26" t="s">
        <v>19</v>
      </c>
      <c r="M1103" s="26" t="s">
        <v>87</v>
      </c>
      <c r="N1103" s="26" t="s">
        <v>307</v>
      </c>
      <c r="O1103" s="26">
        <v>3.0</v>
      </c>
    </row>
    <row r="1104" ht="15.75" customHeight="1">
      <c r="A1104" s="26" t="s">
        <v>4646</v>
      </c>
      <c r="B1104" s="26" t="s">
        <v>4647</v>
      </c>
      <c r="C1104" s="26" t="s">
        <v>300</v>
      </c>
      <c r="D1104" s="26" t="s">
        <v>69</v>
      </c>
      <c r="E1104" s="26" t="s">
        <v>1079</v>
      </c>
      <c r="F1104" s="26" t="s">
        <v>1324</v>
      </c>
      <c r="G1104" s="26" t="s">
        <v>1070</v>
      </c>
      <c r="H1104" s="26" t="s">
        <v>34</v>
      </c>
      <c r="I1104" s="26"/>
      <c r="J1104" s="26">
        <v>1.0</v>
      </c>
      <c r="K1104" s="26" t="s">
        <v>1080</v>
      </c>
      <c r="L1104" s="26" t="s">
        <v>15</v>
      </c>
      <c r="M1104" s="26" t="s">
        <v>81</v>
      </c>
      <c r="N1104" s="26" t="s">
        <v>307</v>
      </c>
      <c r="O1104" s="26">
        <v>3.0</v>
      </c>
    </row>
    <row r="1105" ht="15.75" customHeight="1">
      <c r="A1105" s="26" t="s">
        <v>4648</v>
      </c>
      <c r="B1105" s="26" t="s">
        <v>4649</v>
      </c>
      <c r="C1105" s="26" t="s">
        <v>312</v>
      </c>
      <c r="D1105" s="26" t="s">
        <v>59</v>
      </c>
      <c r="E1105" s="26" t="s">
        <v>4650</v>
      </c>
      <c r="F1105" s="26" t="s">
        <v>372</v>
      </c>
      <c r="G1105" s="26" t="s">
        <v>373</v>
      </c>
      <c r="H1105" s="26" t="s">
        <v>34</v>
      </c>
      <c r="I1105" s="26"/>
      <c r="J1105" s="26">
        <v>1.0</v>
      </c>
      <c r="K1105" s="26" t="s">
        <v>4651</v>
      </c>
      <c r="L1105" s="26" t="s">
        <v>15</v>
      </c>
      <c r="M1105" s="26" t="s">
        <v>81</v>
      </c>
      <c r="N1105" s="26" t="s">
        <v>307</v>
      </c>
      <c r="O1105" s="26">
        <v>3.0</v>
      </c>
    </row>
    <row r="1106" ht="15.75" customHeight="1">
      <c r="A1106" s="26" t="s">
        <v>4652</v>
      </c>
      <c r="B1106" s="26" t="s">
        <v>4653</v>
      </c>
      <c r="C1106" s="26" t="s">
        <v>312</v>
      </c>
      <c r="D1106" s="26" t="s">
        <v>85</v>
      </c>
      <c r="E1106" s="26" t="s">
        <v>1370</v>
      </c>
      <c r="F1106" s="26" t="s">
        <v>2194</v>
      </c>
      <c r="G1106" s="26" t="s">
        <v>1369</v>
      </c>
      <c r="H1106" s="26" t="s">
        <v>61</v>
      </c>
      <c r="I1106" s="26"/>
      <c r="J1106" s="26">
        <v>1.0</v>
      </c>
      <c r="K1106" s="26" t="s">
        <v>4654</v>
      </c>
      <c r="L1106" s="26" t="s">
        <v>15</v>
      </c>
      <c r="M1106" s="26" t="s">
        <v>81</v>
      </c>
      <c r="N1106" s="26" t="s">
        <v>307</v>
      </c>
      <c r="O1106" s="26">
        <v>3.0</v>
      </c>
    </row>
    <row r="1107" ht="15.75" customHeight="1">
      <c r="A1107" s="26" t="s">
        <v>4655</v>
      </c>
      <c r="B1107" s="26" t="s">
        <v>4656</v>
      </c>
      <c r="C1107" s="26" t="s">
        <v>429</v>
      </c>
      <c r="D1107" s="26" t="s">
        <v>50</v>
      </c>
      <c r="E1107" s="26" t="s">
        <v>678</v>
      </c>
      <c r="F1107" s="26" t="s">
        <v>902</v>
      </c>
      <c r="G1107" s="26" t="s">
        <v>189</v>
      </c>
      <c r="H1107" s="26" t="s">
        <v>34</v>
      </c>
      <c r="I1107" s="26"/>
      <c r="J1107" s="26">
        <v>1.0</v>
      </c>
      <c r="K1107" s="26" t="s">
        <v>4657</v>
      </c>
      <c r="L1107" s="26" t="s">
        <v>15</v>
      </c>
      <c r="M1107" s="26" t="s">
        <v>81</v>
      </c>
      <c r="N1107" s="26" t="s">
        <v>307</v>
      </c>
      <c r="O1107" s="26">
        <v>3.0</v>
      </c>
    </row>
    <row r="1108" ht="15.75" customHeight="1">
      <c r="A1108" s="26" t="s">
        <v>4658</v>
      </c>
      <c r="B1108" s="26" t="s">
        <v>4659</v>
      </c>
      <c r="C1108" s="26" t="s">
        <v>429</v>
      </c>
      <c r="D1108" s="26" t="s">
        <v>45</v>
      </c>
      <c r="E1108" s="26" t="s">
        <v>4660</v>
      </c>
      <c r="F1108" s="26" t="s">
        <v>806</v>
      </c>
      <c r="G1108" s="26" t="s">
        <v>169</v>
      </c>
      <c r="H1108" s="26" t="s">
        <v>52</v>
      </c>
      <c r="I1108" s="26"/>
      <c r="J1108" s="26">
        <v>1.0</v>
      </c>
      <c r="K1108" s="26" t="s">
        <v>4661</v>
      </c>
      <c r="L1108" s="26" t="s">
        <v>15</v>
      </c>
      <c r="M1108" s="26" t="s">
        <v>81</v>
      </c>
      <c r="N1108" s="26" t="s">
        <v>307</v>
      </c>
      <c r="O1108" s="26">
        <v>3.0</v>
      </c>
    </row>
    <row r="1109" ht="15.75" customHeight="1">
      <c r="A1109" s="26" t="s">
        <v>4662</v>
      </c>
      <c r="B1109" s="26" t="s">
        <v>4663</v>
      </c>
      <c r="C1109" s="26" t="s">
        <v>363</v>
      </c>
      <c r="D1109" s="26" t="s">
        <v>62</v>
      </c>
      <c r="E1109" s="26" t="s">
        <v>4664</v>
      </c>
      <c r="F1109" s="26" t="s">
        <v>3267</v>
      </c>
      <c r="G1109" s="26" t="s">
        <v>940</v>
      </c>
      <c r="H1109" s="26" t="s">
        <v>61</v>
      </c>
      <c r="I1109" s="26" t="s">
        <v>1001</v>
      </c>
      <c r="J1109" s="26">
        <v>2.0</v>
      </c>
      <c r="K1109" s="26" t="s">
        <v>244</v>
      </c>
      <c r="L1109" s="26" t="s">
        <v>29</v>
      </c>
      <c r="M1109" s="26" t="s">
        <v>95</v>
      </c>
      <c r="N1109" s="26" t="s">
        <v>307</v>
      </c>
      <c r="O1109" s="26">
        <v>3.0</v>
      </c>
    </row>
    <row r="1110" ht="15.75" customHeight="1">
      <c r="A1110" s="26" t="s">
        <v>4665</v>
      </c>
      <c r="B1110" s="26" t="s">
        <v>4666</v>
      </c>
      <c r="C1110" s="26" t="s">
        <v>429</v>
      </c>
      <c r="D1110" s="26" t="s">
        <v>76</v>
      </c>
      <c r="E1110" s="26" t="s">
        <v>4667</v>
      </c>
      <c r="F1110" s="26" t="s">
        <v>1201</v>
      </c>
      <c r="G1110" s="26" t="s">
        <v>222</v>
      </c>
      <c r="H1110" s="26" t="s">
        <v>34</v>
      </c>
      <c r="I1110" s="26" t="s">
        <v>494</v>
      </c>
      <c r="J1110" s="26">
        <v>2.0</v>
      </c>
      <c r="K1110" s="26" t="s">
        <v>4668</v>
      </c>
      <c r="L1110" s="26" t="s">
        <v>15</v>
      </c>
      <c r="M1110" s="26" t="s">
        <v>81</v>
      </c>
      <c r="N1110" s="26" t="s">
        <v>307</v>
      </c>
      <c r="O1110" s="26">
        <v>3.0</v>
      </c>
    </row>
    <row r="1111" ht="15.75" customHeight="1">
      <c r="A1111" s="26" t="s">
        <v>4669</v>
      </c>
      <c r="B1111" s="26" t="s">
        <v>4670</v>
      </c>
      <c r="C1111" s="26" t="s">
        <v>429</v>
      </c>
      <c r="D1111" s="26" t="s">
        <v>76</v>
      </c>
      <c r="E1111" s="26" t="s">
        <v>1193</v>
      </c>
      <c r="F1111" s="26" t="s">
        <v>1201</v>
      </c>
      <c r="G1111" s="26" t="s">
        <v>222</v>
      </c>
      <c r="H1111" s="26" t="s">
        <v>34</v>
      </c>
      <c r="I1111" s="26"/>
      <c r="J1111" s="26">
        <v>1.0</v>
      </c>
      <c r="K1111" s="26" t="s">
        <v>491</v>
      </c>
      <c r="L1111" s="26" t="s">
        <v>29</v>
      </c>
      <c r="M1111" s="26" t="s">
        <v>95</v>
      </c>
      <c r="N1111" s="26" t="s">
        <v>307</v>
      </c>
      <c r="O1111" s="26">
        <v>3.0</v>
      </c>
    </row>
    <row r="1112" ht="15.75" customHeight="1">
      <c r="A1112" s="26" t="s">
        <v>4671</v>
      </c>
      <c r="B1112" s="26" t="s">
        <v>4672</v>
      </c>
      <c r="C1112" s="26" t="s">
        <v>429</v>
      </c>
      <c r="D1112" s="26" t="s">
        <v>45</v>
      </c>
      <c r="E1112" s="26" t="s">
        <v>288</v>
      </c>
      <c r="F1112" s="26" t="s">
        <v>2178</v>
      </c>
      <c r="G1112" s="26" t="s">
        <v>161</v>
      </c>
      <c r="H1112" s="26" t="s">
        <v>57</v>
      </c>
      <c r="I1112" s="26"/>
      <c r="J1112" s="26">
        <v>1.0</v>
      </c>
      <c r="K1112" s="26" t="s">
        <v>136</v>
      </c>
      <c r="L1112" s="26" t="s">
        <v>29</v>
      </c>
      <c r="M1112" s="26" t="s">
        <v>95</v>
      </c>
      <c r="N1112" s="26" t="s">
        <v>307</v>
      </c>
      <c r="O1112" s="26">
        <v>1.0</v>
      </c>
    </row>
    <row r="1113" ht="15.75" customHeight="1">
      <c r="A1113" s="26" t="s">
        <v>4673</v>
      </c>
      <c r="B1113" s="26" t="s">
        <v>4674</v>
      </c>
      <c r="C1113" s="26" t="s">
        <v>363</v>
      </c>
      <c r="D1113" s="26" t="s">
        <v>69</v>
      </c>
      <c r="E1113" s="26" t="s">
        <v>4675</v>
      </c>
      <c r="F1113" s="26" t="s">
        <v>2870</v>
      </c>
      <c r="G1113" s="26" t="s">
        <v>115</v>
      </c>
      <c r="H1113" s="26" t="s">
        <v>53</v>
      </c>
      <c r="I1113" s="26" t="s">
        <v>83</v>
      </c>
      <c r="J1113" s="26">
        <v>3.0</v>
      </c>
      <c r="K1113" s="26" t="s">
        <v>4676</v>
      </c>
      <c r="L1113" s="26" t="s">
        <v>15</v>
      </c>
      <c r="M1113" s="26" t="s">
        <v>81</v>
      </c>
      <c r="N1113" s="26" t="s">
        <v>307</v>
      </c>
      <c r="O1113" s="26">
        <v>5.0</v>
      </c>
    </row>
    <row r="1114" ht="15.75" customHeight="1">
      <c r="A1114" s="26" t="s">
        <v>4677</v>
      </c>
      <c r="B1114" s="26" t="s">
        <v>4678</v>
      </c>
      <c r="C1114" s="26" t="s">
        <v>363</v>
      </c>
      <c r="D1114" s="26" t="s">
        <v>69</v>
      </c>
      <c r="E1114" s="26" t="s">
        <v>4679</v>
      </c>
      <c r="F1114" s="26" t="s">
        <v>2870</v>
      </c>
      <c r="G1114" s="26" t="s">
        <v>115</v>
      </c>
      <c r="H1114" s="26" t="s">
        <v>53</v>
      </c>
      <c r="I1114" s="26" t="s">
        <v>1112</v>
      </c>
      <c r="J1114" s="26">
        <v>2.0</v>
      </c>
      <c r="K1114" s="26" t="s">
        <v>4680</v>
      </c>
      <c r="L1114" s="26" t="s">
        <v>19</v>
      </c>
      <c r="M1114" s="26" t="s">
        <v>66</v>
      </c>
      <c r="N1114" s="26" t="s">
        <v>307</v>
      </c>
      <c r="O1114" s="26">
        <v>4.0</v>
      </c>
    </row>
    <row r="1115" ht="15.75" customHeight="1">
      <c r="A1115" s="26" t="s">
        <v>4681</v>
      </c>
      <c r="B1115" s="26" t="s">
        <v>4617</v>
      </c>
      <c r="C1115" s="26" t="s">
        <v>300</v>
      </c>
      <c r="D1115" s="26" t="s">
        <v>62</v>
      </c>
      <c r="E1115" s="26" t="s">
        <v>4682</v>
      </c>
      <c r="F1115" s="26" t="s">
        <v>1813</v>
      </c>
      <c r="G1115" s="26" t="s">
        <v>107</v>
      </c>
      <c r="H1115" s="26" t="s">
        <v>46</v>
      </c>
      <c r="I1115" s="26"/>
      <c r="J1115" s="26">
        <v>1.0</v>
      </c>
      <c r="K1115" s="26" t="s">
        <v>4683</v>
      </c>
      <c r="L1115" s="26" t="s">
        <v>15</v>
      </c>
      <c r="M1115" s="26" t="s">
        <v>81</v>
      </c>
      <c r="N1115" s="26" t="s">
        <v>307</v>
      </c>
      <c r="O1115" s="26">
        <v>5.0</v>
      </c>
    </row>
    <row r="1116" ht="15.75" customHeight="1">
      <c r="A1116" s="26" t="s">
        <v>4684</v>
      </c>
      <c r="B1116" s="26" t="s">
        <v>4685</v>
      </c>
      <c r="C1116" s="26" t="s">
        <v>363</v>
      </c>
      <c r="D1116" s="26" t="s">
        <v>45</v>
      </c>
      <c r="E1116" s="26" t="s">
        <v>4686</v>
      </c>
      <c r="F1116" s="26" t="s">
        <v>303</v>
      </c>
      <c r="G1116" s="26" t="s">
        <v>140</v>
      </c>
      <c r="H1116" s="26" t="s">
        <v>34</v>
      </c>
      <c r="I1116" s="26" t="s">
        <v>169</v>
      </c>
      <c r="J1116" s="26">
        <v>2.0</v>
      </c>
      <c r="K1116" s="26" t="s">
        <v>4687</v>
      </c>
      <c r="L1116" s="26" t="s">
        <v>15</v>
      </c>
      <c r="M1116" s="26" t="s">
        <v>81</v>
      </c>
      <c r="N1116" s="26" t="s">
        <v>307</v>
      </c>
      <c r="O1116" s="26">
        <v>4.0</v>
      </c>
    </row>
    <row r="1117" ht="15.75" customHeight="1">
      <c r="A1117" s="26" t="s">
        <v>4688</v>
      </c>
      <c r="B1117" s="26" t="s">
        <v>4689</v>
      </c>
      <c r="C1117" s="26" t="s">
        <v>429</v>
      </c>
      <c r="D1117" s="26" t="s">
        <v>36</v>
      </c>
      <c r="E1117" s="26" t="s">
        <v>4690</v>
      </c>
      <c r="F1117" s="26" t="s">
        <v>2150</v>
      </c>
      <c r="G1117" s="26" t="s">
        <v>104</v>
      </c>
      <c r="H1117" s="26" t="s">
        <v>49</v>
      </c>
      <c r="I1117" s="26" t="s">
        <v>82</v>
      </c>
      <c r="J1117" s="26">
        <v>2.0</v>
      </c>
      <c r="K1117" s="26" t="s">
        <v>4691</v>
      </c>
      <c r="L1117" s="26" t="s">
        <v>19</v>
      </c>
      <c r="M1117" s="26" t="s">
        <v>87</v>
      </c>
      <c r="N1117" s="26" t="s">
        <v>307</v>
      </c>
      <c r="O1117" s="26">
        <v>4.0</v>
      </c>
    </row>
    <row r="1118" ht="15.75" customHeight="1">
      <c r="A1118" s="26" t="s">
        <v>4692</v>
      </c>
      <c r="B1118" s="26" t="s">
        <v>4693</v>
      </c>
      <c r="C1118" s="26" t="s">
        <v>300</v>
      </c>
      <c r="D1118" s="26" t="s">
        <v>48</v>
      </c>
      <c r="E1118" s="26" t="s">
        <v>4694</v>
      </c>
      <c r="F1118" s="26" t="s">
        <v>973</v>
      </c>
      <c r="G1118" s="26" t="s">
        <v>299</v>
      </c>
      <c r="H1118" s="26" t="s">
        <v>34</v>
      </c>
      <c r="I1118" s="26"/>
      <c r="J1118" s="26">
        <v>1.0</v>
      </c>
      <c r="K1118" s="26" t="s">
        <v>4695</v>
      </c>
      <c r="L1118" s="26" t="s">
        <v>15</v>
      </c>
      <c r="M1118" s="26" t="s">
        <v>81</v>
      </c>
      <c r="N1118" s="26" t="s">
        <v>307</v>
      </c>
      <c r="O1118" s="26">
        <v>3.0</v>
      </c>
    </row>
    <row r="1119" ht="15.75" customHeight="1">
      <c r="A1119" s="26" t="s">
        <v>4696</v>
      </c>
      <c r="B1119" s="26" t="s">
        <v>4697</v>
      </c>
      <c r="C1119" s="26" t="s">
        <v>300</v>
      </c>
      <c r="D1119" s="26" t="s">
        <v>36</v>
      </c>
      <c r="E1119" s="26" t="s">
        <v>4698</v>
      </c>
      <c r="F1119" s="26" t="s">
        <v>663</v>
      </c>
      <c r="G1119" s="26" t="s">
        <v>44</v>
      </c>
      <c r="H1119" s="26" t="s">
        <v>34</v>
      </c>
      <c r="I1119" s="26" t="s">
        <v>51</v>
      </c>
      <c r="J1119" s="26">
        <v>5.0</v>
      </c>
      <c r="K1119" s="26" t="s">
        <v>4699</v>
      </c>
      <c r="L1119" s="26" t="s">
        <v>15</v>
      </c>
      <c r="M1119" s="26" t="s">
        <v>81</v>
      </c>
      <c r="N1119" s="26" t="s">
        <v>307</v>
      </c>
      <c r="O1119" s="26">
        <v>3.0</v>
      </c>
    </row>
    <row r="1120" ht="15.75" customHeight="1">
      <c r="A1120" s="26" t="s">
        <v>4700</v>
      </c>
      <c r="B1120" s="26" t="s">
        <v>4701</v>
      </c>
      <c r="C1120" s="26" t="s">
        <v>363</v>
      </c>
      <c r="D1120" s="26" t="s">
        <v>62</v>
      </c>
      <c r="E1120" s="26" t="s">
        <v>4702</v>
      </c>
      <c r="F1120" s="26" t="s">
        <v>383</v>
      </c>
      <c r="G1120" s="26" t="s">
        <v>111</v>
      </c>
      <c r="H1120" s="26" t="s">
        <v>49</v>
      </c>
      <c r="I1120" s="26" t="s">
        <v>261</v>
      </c>
      <c r="J1120" s="26">
        <v>2.0</v>
      </c>
      <c r="K1120" s="26" t="s">
        <v>244</v>
      </c>
      <c r="L1120" s="26" t="s">
        <v>29</v>
      </c>
      <c r="M1120" s="26" t="s">
        <v>95</v>
      </c>
      <c r="N1120" s="26" t="s">
        <v>307</v>
      </c>
      <c r="O1120" s="26">
        <v>3.0</v>
      </c>
    </row>
    <row r="1121" ht="15.75" customHeight="1">
      <c r="A1121" s="26" t="s">
        <v>4703</v>
      </c>
      <c r="B1121" s="26" t="s">
        <v>4704</v>
      </c>
      <c r="C1121" s="26" t="s">
        <v>322</v>
      </c>
      <c r="D1121" s="26" t="s">
        <v>50</v>
      </c>
      <c r="E1121" s="26" t="s">
        <v>654</v>
      </c>
      <c r="F1121" s="26" t="s">
        <v>847</v>
      </c>
      <c r="G1121" s="26" t="s">
        <v>328</v>
      </c>
      <c r="H1121" s="26" t="s">
        <v>49</v>
      </c>
      <c r="I1121" s="26"/>
      <c r="J1121" s="26">
        <v>1.0</v>
      </c>
      <c r="K1121" s="26" t="s">
        <v>655</v>
      </c>
      <c r="L1121" s="26" t="s">
        <v>15</v>
      </c>
      <c r="M1121" s="26" t="s">
        <v>81</v>
      </c>
      <c r="N1121" s="26" t="s">
        <v>307</v>
      </c>
      <c r="O1121" s="26">
        <v>3.0</v>
      </c>
    </row>
    <row r="1122" ht="15.75" customHeight="1">
      <c r="A1122" s="26" t="s">
        <v>4705</v>
      </c>
      <c r="B1122" s="26" t="s">
        <v>4706</v>
      </c>
      <c r="C1122" s="26" t="s">
        <v>429</v>
      </c>
      <c r="D1122" s="26" t="s">
        <v>48</v>
      </c>
      <c r="E1122" s="26" t="s">
        <v>4707</v>
      </c>
      <c r="F1122" s="26" t="s">
        <v>590</v>
      </c>
      <c r="G1122" s="26" t="s">
        <v>329</v>
      </c>
      <c r="H1122" s="26" t="s">
        <v>46</v>
      </c>
      <c r="I1122" s="26"/>
      <c r="J1122" s="26">
        <v>1.0</v>
      </c>
      <c r="K1122" s="26" t="s">
        <v>4708</v>
      </c>
      <c r="L1122" s="26" t="s">
        <v>15</v>
      </c>
      <c r="M1122" s="26" t="s">
        <v>81</v>
      </c>
      <c r="N1122" s="26" t="s">
        <v>307</v>
      </c>
      <c r="O1122" s="26">
        <v>3.0</v>
      </c>
    </row>
    <row r="1123" ht="15.75" customHeight="1">
      <c r="A1123" s="26" t="s">
        <v>4709</v>
      </c>
      <c r="B1123" s="26" t="s">
        <v>4710</v>
      </c>
      <c r="C1123" s="26" t="s">
        <v>300</v>
      </c>
      <c r="D1123" s="26" t="s">
        <v>69</v>
      </c>
      <c r="E1123" s="26" t="s">
        <v>4711</v>
      </c>
      <c r="F1123" s="26" t="s">
        <v>537</v>
      </c>
      <c r="G1123" s="26" t="s">
        <v>197</v>
      </c>
      <c r="H1123" s="26" t="s">
        <v>34</v>
      </c>
      <c r="I1123" s="26" t="s">
        <v>83</v>
      </c>
      <c r="J1123" s="26">
        <v>2.0</v>
      </c>
      <c r="K1123" s="26" t="s">
        <v>4712</v>
      </c>
      <c r="L1123" s="26" t="s">
        <v>15</v>
      </c>
      <c r="M1123" s="26" t="s">
        <v>81</v>
      </c>
      <c r="N1123" s="26" t="s">
        <v>307</v>
      </c>
      <c r="O1123" s="26">
        <v>4.0</v>
      </c>
    </row>
    <row r="1124" ht="15.75" customHeight="1">
      <c r="A1124" s="26" t="s">
        <v>4713</v>
      </c>
      <c r="B1124" s="26" t="s">
        <v>4714</v>
      </c>
      <c r="C1124" s="26" t="s">
        <v>363</v>
      </c>
      <c r="D1124" s="26" t="s">
        <v>48</v>
      </c>
      <c r="E1124" s="26" t="s">
        <v>4715</v>
      </c>
      <c r="F1124" s="26" t="s">
        <v>834</v>
      </c>
      <c r="G1124" s="26" t="s">
        <v>267</v>
      </c>
      <c r="H1124" s="26" t="s">
        <v>34</v>
      </c>
      <c r="I1124" s="26"/>
      <c r="J1124" s="26">
        <v>1.0</v>
      </c>
      <c r="K1124" s="26" t="s">
        <v>4716</v>
      </c>
      <c r="L1124" s="26" t="s">
        <v>15</v>
      </c>
      <c r="M1124" s="26" t="s">
        <v>81</v>
      </c>
      <c r="N1124" s="26" t="s">
        <v>307</v>
      </c>
      <c r="O1124" s="26">
        <v>3.0</v>
      </c>
    </row>
    <row r="1125" ht="15.75" customHeight="1">
      <c r="A1125" s="26" t="s">
        <v>4717</v>
      </c>
      <c r="B1125" s="26" t="s">
        <v>4718</v>
      </c>
      <c r="C1125" s="26" t="s">
        <v>312</v>
      </c>
      <c r="D1125" s="26" t="s">
        <v>76</v>
      </c>
      <c r="E1125" s="26" t="s">
        <v>1246</v>
      </c>
      <c r="F1125" s="26" t="s">
        <v>2462</v>
      </c>
      <c r="G1125" s="26" t="s">
        <v>1243</v>
      </c>
      <c r="H1125" s="26" t="s">
        <v>52</v>
      </c>
      <c r="I1125" s="26"/>
      <c r="J1125" s="26">
        <v>1.0</v>
      </c>
      <c r="K1125" s="26" t="s">
        <v>244</v>
      </c>
      <c r="L1125" s="26" t="s">
        <v>29</v>
      </c>
      <c r="M1125" s="26" t="s">
        <v>95</v>
      </c>
      <c r="N1125" s="26" t="s">
        <v>307</v>
      </c>
      <c r="O1125" s="26">
        <v>3.0</v>
      </c>
    </row>
    <row r="1126" ht="15.75" customHeight="1">
      <c r="A1126" s="26" t="s">
        <v>4719</v>
      </c>
      <c r="B1126" s="26" t="s">
        <v>4720</v>
      </c>
      <c r="C1126" s="26" t="s">
        <v>363</v>
      </c>
      <c r="D1126" s="26" t="s">
        <v>68</v>
      </c>
      <c r="E1126" s="26" t="s">
        <v>1328</v>
      </c>
      <c r="F1126" s="26" t="s">
        <v>4721</v>
      </c>
      <c r="G1126" s="26" t="s">
        <v>895</v>
      </c>
      <c r="H1126" s="26" t="s">
        <v>46</v>
      </c>
      <c r="I1126" s="26"/>
      <c r="J1126" s="26">
        <v>1.0</v>
      </c>
      <c r="K1126" s="26" t="s">
        <v>4722</v>
      </c>
      <c r="L1126" s="26" t="s">
        <v>19</v>
      </c>
      <c r="M1126" s="26" t="s">
        <v>66</v>
      </c>
      <c r="N1126" s="26" t="s">
        <v>307</v>
      </c>
      <c r="O1126" s="26">
        <v>3.0</v>
      </c>
    </row>
    <row r="1127" ht="15.75" customHeight="1">
      <c r="A1127" s="26" t="s">
        <v>4723</v>
      </c>
      <c r="B1127" s="26" t="s">
        <v>4724</v>
      </c>
      <c r="C1127" s="26" t="s">
        <v>300</v>
      </c>
      <c r="D1127" s="26" t="s">
        <v>54</v>
      </c>
      <c r="E1127" s="26" t="s">
        <v>4725</v>
      </c>
      <c r="F1127" s="26" t="s">
        <v>432</v>
      </c>
      <c r="G1127" s="26" t="s">
        <v>182</v>
      </c>
      <c r="H1127" s="26" t="s">
        <v>34</v>
      </c>
      <c r="I1127" s="26"/>
      <c r="J1127" s="26">
        <v>1.0</v>
      </c>
      <c r="K1127" s="26" t="s">
        <v>4726</v>
      </c>
      <c r="L1127" s="26" t="s">
        <v>19</v>
      </c>
      <c r="M1127" s="26" t="s">
        <v>66</v>
      </c>
      <c r="N1127" s="26" t="s">
        <v>307</v>
      </c>
      <c r="O1127" s="26">
        <v>3.0</v>
      </c>
    </row>
    <row r="1128" ht="15.75" customHeight="1">
      <c r="A1128" s="26" t="s">
        <v>4727</v>
      </c>
      <c r="B1128" s="26" t="s">
        <v>4728</v>
      </c>
      <c r="C1128" s="26" t="s">
        <v>363</v>
      </c>
      <c r="D1128" s="26" t="s">
        <v>50</v>
      </c>
      <c r="E1128" s="26" t="s">
        <v>4729</v>
      </c>
      <c r="F1128" s="26" t="s">
        <v>847</v>
      </c>
      <c r="G1128" s="26" t="s">
        <v>328</v>
      </c>
      <c r="H1128" s="26" t="s">
        <v>49</v>
      </c>
      <c r="I1128" s="26" t="s">
        <v>566</v>
      </c>
      <c r="J1128" s="26">
        <v>2.0</v>
      </c>
      <c r="K1128" s="26" t="s">
        <v>4730</v>
      </c>
      <c r="L1128" s="26" t="s">
        <v>15</v>
      </c>
      <c r="M1128" s="26" t="s">
        <v>81</v>
      </c>
      <c r="N1128" s="26" t="s">
        <v>307</v>
      </c>
      <c r="O1128" s="26">
        <v>3.0</v>
      </c>
    </row>
    <row r="1129" ht="15.75" customHeight="1">
      <c r="A1129" s="26" t="s">
        <v>4731</v>
      </c>
      <c r="B1129" s="26" t="s">
        <v>4732</v>
      </c>
      <c r="C1129" s="26" t="s">
        <v>300</v>
      </c>
      <c r="D1129" s="26" t="s">
        <v>36</v>
      </c>
      <c r="E1129" s="26" t="s">
        <v>4733</v>
      </c>
      <c r="F1129" s="26" t="s">
        <v>315</v>
      </c>
      <c r="G1129" s="26" t="s">
        <v>47</v>
      </c>
      <c r="H1129" s="26" t="s">
        <v>34</v>
      </c>
      <c r="I1129" s="26"/>
      <c r="J1129" s="26">
        <v>1.0</v>
      </c>
      <c r="K1129" s="26" t="s">
        <v>244</v>
      </c>
      <c r="L1129" s="26" t="s">
        <v>29</v>
      </c>
      <c r="M1129" s="26" t="s">
        <v>95</v>
      </c>
      <c r="N1129" s="26" t="s">
        <v>307</v>
      </c>
      <c r="O1129" s="26">
        <v>3.0</v>
      </c>
    </row>
    <row r="1130" ht="15.75" customHeight="1">
      <c r="A1130" s="26" t="s">
        <v>4734</v>
      </c>
      <c r="B1130" s="26" t="s">
        <v>4735</v>
      </c>
      <c r="C1130" s="26" t="s">
        <v>300</v>
      </c>
      <c r="D1130" s="26" t="s">
        <v>54</v>
      </c>
      <c r="E1130" s="26" t="s">
        <v>4736</v>
      </c>
      <c r="F1130" s="26" t="s">
        <v>347</v>
      </c>
      <c r="G1130" s="26" t="s">
        <v>99</v>
      </c>
      <c r="H1130" s="26" t="s">
        <v>49</v>
      </c>
      <c r="I1130" s="26" t="s">
        <v>572</v>
      </c>
      <c r="J1130" s="26">
        <v>2.0</v>
      </c>
      <c r="K1130" s="26" t="s">
        <v>4737</v>
      </c>
      <c r="L1130" s="26" t="s">
        <v>29</v>
      </c>
      <c r="M1130" s="26" t="s">
        <v>95</v>
      </c>
      <c r="N1130" s="26" t="s">
        <v>307</v>
      </c>
      <c r="O1130" s="26">
        <v>1.0</v>
      </c>
    </row>
    <row r="1131" ht="15.75" customHeight="1">
      <c r="A1131" s="26" t="s">
        <v>4738</v>
      </c>
      <c r="B1131" s="26" t="s">
        <v>4739</v>
      </c>
      <c r="C1131" s="26" t="s">
        <v>300</v>
      </c>
      <c r="D1131" s="26" t="s">
        <v>48</v>
      </c>
      <c r="E1131" s="26" t="s">
        <v>4740</v>
      </c>
      <c r="F1131" s="26" t="s">
        <v>834</v>
      </c>
      <c r="G1131" s="26" t="s">
        <v>267</v>
      </c>
      <c r="H1131" s="26" t="s">
        <v>34</v>
      </c>
      <c r="I1131" s="26"/>
      <c r="J1131" s="26">
        <v>1.0</v>
      </c>
      <c r="K1131" s="26" t="s">
        <v>4741</v>
      </c>
      <c r="L1131" s="26" t="s">
        <v>15</v>
      </c>
      <c r="M1131" s="26" t="s">
        <v>81</v>
      </c>
      <c r="N1131" s="26" t="s">
        <v>307</v>
      </c>
      <c r="O1131" s="26">
        <v>4.0</v>
      </c>
    </row>
    <row r="1132" ht="15.75" customHeight="1">
      <c r="A1132" s="26" t="s">
        <v>4742</v>
      </c>
      <c r="B1132" s="26" t="s">
        <v>4743</v>
      </c>
      <c r="C1132" s="26" t="s">
        <v>429</v>
      </c>
      <c r="D1132" s="26" t="s">
        <v>54</v>
      </c>
      <c r="E1132" s="26" t="s">
        <v>4744</v>
      </c>
      <c r="F1132" s="26" t="s">
        <v>347</v>
      </c>
      <c r="G1132" s="26" t="s">
        <v>99</v>
      </c>
      <c r="H1132" s="26" t="s">
        <v>49</v>
      </c>
      <c r="I1132" s="26"/>
      <c r="J1132" s="26">
        <v>1.0</v>
      </c>
      <c r="K1132" s="26" t="s">
        <v>4745</v>
      </c>
      <c r="L1132" s="26" t="s">
        <v>15</v>
      </c>
      <c r="M1132" s="26" t="s">
        <v>81</v>
      </c>
      <c r="N1132" s="26" t="s">
        <v>307</v>
      </c>
      <c r="O1132" s="26">
        <v>4.0</v>
      </c>
    </row>
    <row r="1133" ht="15.75" customHeight="1">
      <c r="A1133" s="26" t="s">
        <v>4746</v>
      </c>
      <c r="B1133" s="26" t="s">
        <v>4747</v>
      </c>
      <c r="C1133" s="26" t="s">
        <v>429</v>
      </c>
      <c r="D1133" s="26" t="s">
        <v>50</v>
      </c>
      <c r="E1133" s="26" t="s">
        <v>4748</v>
      </c>
      <c r="F1133" s="26" t="s">
        <v>1309</v>
      </c>
      <c r="G1133" s="26" t="s">
        <v>245</v>
      </c>
      <c r="H1133" s="26" t="s">
        <v>57</v>
      </c>
      <c r="I1133" s="26" t="s">
        <v>328</v>
      </c>
      <c r="J1133" s="26">
        <v>2.0</v>
      </c>
      <c r="K1133" s="26" t="s">
        <v>4749</v>
      </c>
      <c r="L1133" s="26" t="s">
        <v>15</v>
      </c>
      <c r="M1133" s="26" t="s">
        <v>81</v>
      </c>
      <c r="N1133" s="26" t="s">
        <v>307</v>
      </c>
      <c r="O1133" s="26">
        <v>4.0</v>
      </c>
    </row>
    <row r="1134" ht="15.75" customHeight="1">
      <c r="A1134" s="26" t="s">
        <v>4750</v>
      </c>
      <c r="B1134" s="26" t="s">
        <v>4751</v>
      </c>
      <c r="C1134" s="26" t="s">
        <v>312</v>
      </c>
      <c r="D1134" s="26" t="s">
        <v>50</v>
      </c>
      <c r="E1134" s="26" t="s">
        <v>4752</v>
      </c>
      <c r="F1134" s="26" t="s">
        <v>1309</v>
      </c>
      <c r="G1134" s="26" t="s">
        <v>245</v>
      </c>
      <c r="H1134" s="26" t="s">
        <v>57</v>
      </c>
      <c r="I1134" s="26"/>
      <c r="J1134" s="26">
        <v>1.0</v>
      </c>
      <c r="K1134" s="26" t="s">
        <v>4753</v>
      </c>
      <c r="L1134" s="26" t="s">
        <v>15</v>
      </c>
      <c r="M1134" s="26" t="s">
        <v>81</v>
      </c>
      <c r="N1134" s="26" t="s">
        <v>307</v>
      </c>
      <c r="O1134" s="26">
        <v>7.0</v>
      </c>
    </row>
    <row r="1135" ht="15.75" customHeight="1">
      <c r="A1135" s="26" t="s">
        <v>4754</v>
      </c>
      <c r="B1135" s="26" t="s">
        <v>4751</v>
      </c>
      <c r="C1135" s="26" t="s">
        <v>322</v>
      </c>
      <c r="D1135" s="26" t="s">
        <v>50</v>
      </c>
      <c r="E1135" s="26" t="s">
        <v>4755</v>
      </c>
      <c r="F1135" s="26" t="s">
        <v>1309</v>
      </c>
      <c r="G1135" s="26" t="s">
        <v>245</v>
      </c>
      <c r="H1135" s="26" t="s">
        <v>57</v>
      </c>
      <c r="I1135" s="26" t="s">
        <v>328</v>
      </c>
      <c r="J1135" s="26">
        <v>3.0</v>
      </c>
      <c r="K1135" s="26" t="s">
        <v>4756</v>
      </c>
      <c r="L1135" s="26" t="s">
        <v>15</v>
      </c>
      <c r="M1135" s="26" t="s">
        <v>81</v>
      </c>
      <c r="N1135" s="26" t="s">
        <v>307</v>
      </c>
      <c r="O1135" s="26">
        <v>4.0</v>
      </c>
    </row>
    <row r="1136" ht="15.75" customHeight="1">
      <c r="A1136" s="26" t="s">
        <v>4757</v>
      </c>
      <c r="B1136" s="26" t="s">
        <v>4758</v>
      </c>
      <c r="C1136" s="26" t="s">
        <v>363</v>
      </c>
      <c r="D1136" s="26" t="s">
        <v>45</v>
      </c>
      <c r="E1136" s="26" t="s">
        <v>4759</v>
      </c>
      <c r="F1136" s="26" t="s">
        <v>1403</v>
      </c>
      <c r="G1136" s="26" t="s">
        <v>143</v>
      </c>
      <c r="H1136" s="26" t="s">
        <v>46</v>
      </c>
      <c r="I1136" s="26"/>
      <c r="J1136" s="26">
        <v>1.0</v>
      </c>
      <c r="K1136" s="26" t="s">
        <v>1190</v>
      </c>
      <c r="L1136" s="26" t="s">
        <v>29</v>
      </c>
      <c r="M1136" s="26" t="s">
        <v>95</v>
      </c>
      <c r="N1136" s="26" t="s">
        <v>307</v>
      </c>
      <c r="O1136" s="26">
        <v>3.0</v>
      </c>
    </row>
    <row r="1137" ht="15.75" customHeight="1">
      <c r="A1137" s="26" t="s">
        <v>4760</v>
      </c>
      <c r="B1137" s="26" t="s">
        <v>4761</v>
      </c>
      <c r="C1137" s="26" t="s">
        <v>300</v>
      </c>
      <c r="D1137" s="26" t="s">
        <v>45</v>
      </c>
      <c r="E1137" s="26" t="s">
        <v>340</v>
      </c>
      <c r="F1137" s="26" t="s">
        <v>768</v>
      </c>
      <c r="G1137" s="26" t="s">
        <v>183</v>
      </c>
      <c r="H1137" s="26" t="s">
        <v>46</v>
      </c>
      <c r="I1137" s="26"/>
      <c r="J1137" s="26">
        <v>0.0</v>
      </c>
      <c r="K1137" s="26" t="s">
        <v>341</v>
      </c>
      <c r="L1137" s="26" t="s">
        <v>15</v>
      </c>
      <c r="M1137" s="26" t="s">
        <v>81</v>
      </c>
      <c r="N1137" s="26" t="s">
        <v>307</v>
      </c>
      <c r="O1137" s="26">
        <v>4.0</v>
      </c>
    </row>
    <row r="1138" ht="15.75" customHeight="1">
      <c r="A1138" s="26" t="s">
        <v>4762</v>
      </c>
      <c r="B1138" s="26" t="s">
        <v>4763</v>
      </c>
      <c r="C1138" s="26" t="s">
        <v>363</v>
      </c>
      <c r="D1138" s="26" t="s">
        <v>45</v>
      </c>
      <c r="E1138" s="26" t="s">
        <v>4764</v>
      </c>
      <c r="F1138" s="26" t="s">
        <v>2178</v>
      </c>
      <c r="G1138" s="26" t="s">
        <v>161</v>
      </c>
      <c r="H1138" s="26" t="s">
        <v>57</v>
      </c>
      <c r="I1138" s="26"/>
      <c r="J1138" s="26">
        <v>1.0</v>
      </c>
      <c r="K1138" s="26" t="s">
        <v>4765</v>
      </c>
      <c r="L1138" s="26" t="s">
        <v>15</v>
      </c>
      <c r="M1138" s="26" t="s">
        <v>81</v>
      </c>
      <c r="N1138" s="26" t="s">
        <v>307</v>
      </c>
      <c r="O1138" s="26">
        <v>4.0</v>
      </c>
    </row>
    <row r="1139" ht="15.75" customHeight="1">
      <c r="A1139" s="26" t="s">
        <v>4766</v>
      </c>
      <c r="B1139" s="26" t="s">
        <v>4767</v>
      </c>
      <c r="C1139" s="26" t="s">
        <v>300</v>
      </c>
      <c r="D1139" s="26" t="s">
        <v>50</v>
      </c>
      <c r="E1139" s="26" t="s">
        <v>4768</v>
      </c>
      <c r="F1139" s="26" t="s">
        <v>336</v>
      </c>
      <c r="G1139" s="26" t="s">
        <v>75</v>
      </c>
      <c r="H1139" s="26" t="s">
        <v>53</v>
      </c>
      <c r="I1139" s="26" t="s">
        <v>328</v>
      </c>
      <c r="J1139" s="26">
        <v>3.0</v>
      </c>
      <c r="K1139" s="26" t="s">
        <v>4769</v>
      </c>
      <c r="L1139" s="26" t="s">
        <v>15</v>
      </c>
      <c r="M1139" s="26" t="s">
        <v>81</v>
      </c>
      <c r="N1139" s="26" t="s">
        <v>307</v>
      </c>
      <c r="O1139" s="26">
        <v>4.0</v>
      </c>
    </row>
    <row r="1140" ht="15.75" customHeight="1">
      <c r="A1140" s="26" t="s">
        <v>4770</v>
      </c>
      <c r="B1140" s="26" t="s">
        <v>4771</v>
      </c>
      <c r="C1140" s="26" t="s">
        <v>363</v>
      </c>
      <c r="D1140" s="26" t="s">
        <v>45</v>
      </c>
      <c r="E1140" s="26" t="s">
        <v>4772</v>
      </c>
      <c r="F1140" s="26" t="s">
        <v>768</v>
      </c>
      <c r="G1140" s="26" t="s">
        <v>183</v>
      </c>
      <c r="H1140" s="26" t="s">
        <v>46</v>
      </c>
      <c r="I1140" s="26"/>
      <c r="J1140" s="26">
        <v>0.0</v>
      </c>
      <c r="K1140" s="26" t="s">
        <v>4773</v>
      </c>
      <c r="L1140" s="26" t="s">
        <v>15</v>
      </c>
      <c r="M1140" s="26" t="s">
        <v>81</v>
      </c>
      <c r="N1140" s="26" t="s">
        <v>307</v>
      </c>
      <c r="O1140" s="26">
        <v>4.0</v>
      </c>
    </row>
    <row r="1141" ht="15.75" customHeight="1">
      <c r="A1141" s="26" t="s">
        <v>4774</v>
      </c>
      <c r="B1141" s="26" t="s">
        <v>4775</v>
      </c>
      <c r="C1141" s="26" t="s">
        <v>363</v>
      </c>
      <c r="D1141" s="26" t="s">
        <v>69</v>
      </c>
      <c r="E1141" s="26" t="s">
        <v>1036</v>
      </c>
      <c r="F1141" s="26" t="s">
        <v>1422</v>
      </c>
      <c r="G1141" s="26" t="s">
        <v>86</v>
      </c>
      <c r="H1141" s="26" t="s">
        <v>34</v>
      </c>
      <c r="I1141" s="26"/>
      <c r="J1141" s="26">
        <v>1.0</v>
      </c>
      <c r="K1141" s="26" t="s">
        <v>491</v>
      </c>
      <c r="L1141" s="26" t="s">
        <v>29</v>
      </c>
      <c r="M1141" s="26" t="s">
        <v>95</v>
      </c>
      <c r="N1141" s="26" t="s">
        <v>307</v>
      </c>
      <c r="O1141" s="26">
        <v>4.0</v>
      </c>
    </row>
    <row r="1142" ht="15.75" customHeight="1">
      <c r="A1142" s="26" t="s">
        <v>4776</v>
      </c>
      <c r="B1142" s="26" t="s">
        <v>4777</v>
      </c>
      <c r="C1142" s="26" t="s">
        <v>322</v>
      </c>
      <c r="D1142" s="26" t="s">
        <v>62</v>
      </c>
      <c r="E1142" s="26" t="s">
        <v>930</v>
      </c>
      <c r="F1142" s="26" t="s">
        <v>1813</v>
      </c>
      <c r="G1142" s="26" t="s">
        <v>107</v>
      </c>
      <c r="H1142" s="26" t="s">
        <v>46</v>
      </c>
      <c r="I1142" s="26"/>
      <c r="J1142" s="26">
        <v>1.0</v>
      </c>
      <c r="K1142" s="26" t="s">
        <v>4778</v>
      </c>
      <c r="L1142" s="26" t="s">
        <v>15</v>
      </c>
      <c r="M1142" s="26" t="s">
        <v>81</v>
      </c>
      <c r="N1142" s="26" t="s">
        <v>307</v>
      </c>
      <c r="O1142" s="26">
        <v>6.0</v>
      </c>
    </row>
    <row r="1143" ht="15.75" customHeight="1">
      <c r="A1143" s="26" t="s">
        <v>4779</v>
      </c>
      <c r="B1143" s="26" t="s">
        <v>4780</v>
      </c>
      <c r="C1143" s="26" t="s">
        <v>363</v>
      </c>
      <c r="D1143" s="26" t="s">
        <v>48</v>
      </c>
      <c r="E1143" s="26" t="s">
        <v>4781</v>
      </c>
      <c r="F1143" s="26" t="s">
        <v>973</v>
      </c>
      <c r="G1143" s="26" t="s">
        <v>299</v>
      </c>
      <c r="H1143" s="26" t="s">
        <v>34</v>
      </c>
      <c r="I1143" s="26" t="s">
        <v>386</v>
      </c>
      <c r="J1143" s="26">
        <v>2.0</v>
      </c>
      <c r="K1143" s="26" t="s">
        <v>4782</v>
      </c>
      <c r="L1143" s="26" t="s">
        <v>15</v>
      </c>
      <c r="M1143" s="26" t="s">
        <v>81</v>
      </c>
      <c r="N1143" s="26" t="s">
        <v>307</v>
      </c>
      <c r="O1143" s="26">
        <v>4.0</v>
      </c>
    </row>
    <row r="1144" ht="15.75" customHeight="1">
      <c r="A1144" s="26" t="s">
        <v>4783</v>
      </c>
      <c r="B1144" s="26" t="s">
        <v>4784</v>
      </c>
      <c r="C1144" s="26" t="s">
        <v>312</v>
      </c>
      <c r="D1144" s="26" t="s">
        <v>85</v>
      </c>
      <c r="E1144" s="26" t="s">
        <v>4785</v>
      </c>
      <c r="F1144" s="26" t="s">
        <v>698</v>
      </c>
      <c r="G1144" s="26" t="s">
        <v>102</v>
      </c>
      <c r="H1144" s="26" t="s">
        <v>53</v>
      </c>
      <c r="I1144" s="26" t="s">
        <v>1369</v>
      </c>
      <c r="J1144" s="26">
        <v>2.0</v>
      </c>
      <c r="K1144" s="26" t="s">
        <v>4786</v>
      </c>
      <c r="L1144" s="26" t="s">
        <v>15</v>
      </c>
      <c r="M1144" s="26" t="s">
        <v>81</v>
      </c>
      <c r="N1144" s="26" t="s">
        <v>307</v>
      </c>
      <c r="O1144" s="26">
        <v>4.0</v>
      </c>
    </row>
    <row r="1145" ht="15.75" customHeight="1">
      <c r="A1145" s="26" t="s">
        <v>4774</v>
      </c>
      <c r="B1145" s="26" t="s">
        <v>4775</v>
      </c>
      <c r="C1145" s="26" t="s">
        <v>363</v>
      </c>
      <c r="D1145" s="26" t="s">
        <v>69</v>
      </c>
      <c r="E1145" s="26" t="s">
        <v>1036</v>
      </c>
      <c r="F1145" s="26" t="s">
        <v>1422</v>
      </c>
      <c r="G1145" s="26" t="s">
        <v>86</v>
      </c>
      <c r="H1145" s="26" t="s">
        <v>34</v>
      </c>
      <c r="I1145" s="26"/>
      <c r="J1145" s="26">
        <v>1.0</v>
      </c>
      <c r="K1145" s="26" t="s">
        <v>136</v>
      </c>
      <c r="L1145" s="26" t="s">
        <v>29</v>
      </c>
      <c r="M1145" s="26" t="s">
        <v>95</v>
      </c>
      <c r="N1145" s="26" t="s">
        <v>307</v>
      </c>
      <c r="O1145" s="26">
        <v>6.0</v>
      </c>
    </row>
    <row r="1146" ht="15.75" customHeight="1">
      <c r="A1146" s="26" t="s">
        <v>4787</v>
      </c>
      <c r="B1146" s="26" t="s">
        <v>4788</v>
      </c>
      <c r="C1146" s="26" t="s">
        <v>363</v>
      </c>
      <c r="D1146" s="26" t="s">
        <v>54</v>
      </c>
      <c r="E1146" s="26" t="s">
        <v>4789</v>
      </c>
      <c r="F1146" s="26" t="s">
        <v>432</v>
      </c>
      <c r="G1146" s="26" t="s">
        <v>182</v>
      </c>
      <c r="H1146" s="26" t="s">
        <v>34</v>
      </c>
      <c r="I1146" s="26" t="s">
        <v>217</v>
      </c>
      <c r="J1146" s="26">
        <v>3.0</v>
      </c>
      <c r="K1146" s="26" t="s">
        <v>4790</v>
      </c>
      <c r="L1146" s="26" t="s">
        <v>15</v>
      </c>
      <c r="M1146" s="26" t="s">
        <v>81</v>
      </c>
      <c r="N1146" s="26" t="s">
        <v>307</v>
      </c>
      <c r="O1146" s="26">
        <v>6.0</v>
      </c>
    </row>
    <row r="1147" ht="15.75" customHeight="1">
      <c r="A1147" s="26" t="s">
        <v>4791</v>
      </c>
      <c r="B1147" s="26" t="s">
        <v>4792</v>
      </c>
      <c r="C1147" s="26" t="s">
        <v>312</v>
      </c>
      <c r="D1147" s="26" t="s">
        <v>36</v>
      </c>
      <c r="E1147" s="26" t="s">
        <v>4793</v>
      </c>
      <c r="F1147" s="26" t="s">
        <v>1292</v>
      </c>
      <c r="G1147" s="26" t="s">
        <v>65</v>
      </c>
      <c r="H1147" s="26" t="s">
        <v>34</v>
      </c>
      <c r="I1147" s="26" t="s">
        <v>92</v>
      </c>
      <c r="J1147" s="26">
        <v>2.0</v>
      </c>
      <c r="K1147" s="26" t="s">
        <v>4794</v>
      </c>
      <c r="L1147" s="26" t="s">
        <v>15</v>
      </c>
      <c r="M1147" s="26" t="s">
        <v>81</v>
      </c>
      <c r="N1147" s="26" t="s">
        <v>307</v>
      </c>
      <c r="O1147" s="26">
        <v>6.0</v>
      </c>
    </row>
    <row r="1148" ht="15.75" customHeight="1">
      <c r="A1148" s="26" t="s">
        <v>4795</v>
      </c>
      <c r="B1148" s="26" t="s">
        <v>4796</v>
      </c>
      <c r="C1148" s="26" t="s">
        <v>312</v>
      </c>
      <c r="D1148" s="26" t="s">
        <v>48</v>
      </c>
      <c r="E1148" s="26" t="s">
        <v>4797</v>
      </c>
      <c r="F1148" s="26" t="s">
        <v>1014</v>
      </c>
      <c r="G1148" s="26" t="s">
        <v>248</v>
      </c>
      <c r="H1148" s="26" t="s">
        <v>46</v>
      </c>
      <c r="I1148" s="26"/>
      <c r="J1148" s="26">
        <v>1.0</v>
      </c>
      <c r="K1148" s="26" t="s">
        <v>4798</v>
      </c>
      <c r="L1148" s="26" t="s">
        <v>15</v>
      </c>
      <c r="M1148" s="26" t="s">
        <v>81</v>
      </c>
      <c r="N1148" s="26" t="s">
        <v>307</v>
      </c>
      <c r="O1148" s="26">
        <v>3.0</v>
      </c>
    </row>
    <row r="1149" ht="15.75" customHeight="1">
      <c r="A1149" s="26" t="s">
        <v>4799</v>
      </c>
      <c r="B1149" s="26" t="s">
        <v>4800</v>
      </c>
      <c r="C1149" s="26" t="s">
        <v>363</v>
      </c>
      <c r="D1149" s="26" t="s">
        <v>69</v>
      </c>
      <c r="E1149" s="26" t="s">
        <v>1090</v>
      </c>
      <c r="F1149" s="26" t="s">
        <v>2291</v>
      </c>
      <c r="G1149" s="26" t="s">
        <v>1081</v>
      </c>
      <c r="H1149" s="26" t="s">
        <v>34</v>
      </c>
      <c r="I1149" s="26"/>
      <c r="J1149" s="26">
        <v>1.0</v>
      </c>
      <c r="K1149" s="26" t="s">
        <v>4801</v>
      </c>
      <c r="L1149" s="26" t="s">
        <v>15</v>
      </c>
      <c r="M1149" s="26" t="s">
        <v>81</v>
      </c>
      <c r="N1149" s="26" t="s">
        <v>307</v>
      </c>
      <c r="O1149" s="26">
        <v>6.0</v>
      </c>
    </row>
    <row r="1150" ht="15.75" customHeight="1">
      <c r="A1150" s="26" t="s">
        <v>4802</v>
      </c>
      <c r="B1150" s="26" t="s">
        <v>4803</v>
      </c>
      <c r="C1150" s="26" t="s">
        <v>363</v>
      </c>
      <c r="D1150" s="26" t="s">
        <v>79</v>
      </c>
      <c r="E1150" s="26" t="s">
        <v>4804</v>
      </c>
      <c r="F1150" s="26" t="s">
        <v>2510</v>
      </c>
      <c r="G1150" s="26" t="s">
        <v>1280</v>
      </c>
      <c r="H1150" s="26" t="s">
        <v>46</v>
      </c>
      <c r="I1150" s="26"/>
      <c r="J1150" s="26">
        <v>0.0</v>
      </c>
      <c r="K1150" s="26" t="s">
        <v>136</v>
      </c>
      <c r="L1150" s="26" t="s">
        <v>29</v>
      </c>
      <c r="M1150" s="26" t="s">
        <v>95</v>
      </c>
      <c r="N1150" s="26" t="s">
        <v>307</v>
      </c>
      <c r="O1150" s="26">
        <v>4.0</v>
      </c>
    </row>
    <row r="1151" ht="15.75" customHeight="1">
      <c r="A1151" s="26" t="s">
        <v>4805</v>
      </c>
      <c r="B1151" s="26" t="s">
        <v>4806</v>
      </c>
      <c r="C1151" s="26" t="s">
        <v>363</v>
      </c>
      <c r="D1151" s="26" t="s">
        <v>62</v>
      </c>
      <c r="E1151" s="26" t="s">
        <v>4807</v>
      </c>
      <c r="F1151" s="26" t="s">
        <v>383</v>
      </c>
      <c r="G1151" s="26" t="s">
        <v>111</v>
      </c>
      <c r="H1151" s="26" t="s">
        <v>49</v>
      </c>
      <c r="I1151" s="26" t="s">
        <v>261</v>
      </c>
      <c r="J1151" s="26">
        <v>2.0</v>
      </c>
      <c r="K1151" s="26" t="s">
        <v>4808</v>
      </c>
      <c r="L1151" s="26" t="s">
        <v>15</v>
      </c>
      <c r="M1151" s="26" t="s">
        <v>81</v>
      </c>
      <c r="N1151" s="26" t="s">
        <v>307</v>
      </c>
      <c r="O1151" s="26">
        <v>3.0</v>
      </c>
    </row>
    <row r="1152" ht="15.75" customHeight="1">
      <c r="A1152" s="26" t="s">
        <v>4809</v>
      </c>
      <c r="B1152" s="26" t="s">
        <v>4810</v>
      </c>
      <c r="C1152" s="26" t="s">
        <v>300</v>
      </c>
      <c r="D1152" s="26" t="s">
        <v>96</v>
      </c>
      <c r="E1152" s="26" t="s">
        <v>4811</v>
      </c>
      <c r="F1152" s="26" t="s">
        <v>2063</v>
      </c>
      <c r="G1152" s="26" t="s">
        <v>1424</v>
      </c>
      <c r="H1152" s="26" t="s">
        <v>46</v>
      </c>
      <c r="I1152" s="26"/>
      <c r="J1152" s="26">
        <v>1.0</v>
      </c>
      <c r="K1152" s="26" t="s">
        <v>4812</v>
      </c>
      <c r="L1152" s="26" t="s">
        <v>23</v>
      </c>
      <c r="M1152" s="26" t="s">
        <v>91</v>
      </c>
      <c r="N1152" s="26" t="s">
        <v>307</v>
      </c>
      <c r="O1152" s="26">
        <v>3.0</v>
      </c>
    </row>
    <row r="1153" ht="15.75" customHeight="1">
      <c r="A1153" s="26" t="s">
        <v>4813</v>
      </c>
      <c r="B1153" s="26" t="s">
        <v>4814</v>
      </c>
      <c r="C1153" s="26" t="s">
        <v>300</v>
      </c>
      <c r="D1153" s="26" t="s">
        <v>45</v>
      </c>
      <c r="E1153" s="26" t="s">
        <v>4815</v>
      </c>
      <c r="F1153" s="26" t="s">
        <v>799</v>
      </c>
      <c r="G1153" s="26" t="s">
        <v>130</v>
      </c>
      <c r="H1153" s="26" t="s">
        <v>34</v>
      </c>
      <c r="I1153" s="26"/>
      <c r="J1153" s="26">
        <v>1.0</v>
      </c>
      <c r="K1153" s="26" t="s">
        <v>4816</v>
      </c>
      <c r="L1153" s="26" t="s">
        <v>15</v>
      </c>
      <c r="M1153" s="26" t="s">
        <v>81</v>
      </c>
      <c r="N1153" s="26" t="s">
        <v>307</v>
      </c>
      <c r="O1153" s="26">
        <v>3.0</v>
      </c>
    </row>
    <row r="1154" ht="15.75" customHeight="1">
      <c r="A1154" s="26" t="s">
        <v>4817</v>
      </c>
      <c r="B1154" s="26" t="s">
        <v>4818</v>
      </c>
      <c r="C1154" s="26" t="s">
        <v>363</v>
      </c>
      <c r="D1154" s="26" t="s">
        <v>76</v>
      </c>
      <c r="E1154" s="26" t="s">
        <v>4819</v>
      </c>
      <c r="F1154" s="26" t="s">
        <v>2429</v>
      </c>
      <c r="G1154" s="26" t="s">
        <v>1230</v>
      </c>
      <c r="H1154" s="26" t="s">
        <v>46</v>
      </c>
      <c r="I1154" s="26"/>
      <c r="J1154" s="26">
        <v>0.0</v>
      </c>
      <c r="K1154" s="26" t="s">
        <v>4820</v>
      </c>
      <c r="L1154" s="26" t="s">
        <v>23</v>
      </c>
      <c r="M1154" s="26" t="s">
        <v>91</v>
      </c>
      <c r="N1154" s="26" t="s">
        <v>307</v>
      </c>
      <c r="O1154" s="26">
        <v>3.0</v>
      </c>
    </row>
    <row r="1155" ht="15.75" customHeight="1">
      <c r="A1155" s="26" t="s">
        <v>4821</v>
      </c>
      <c r="B1155" s="26" t="s">
        <v>4822</v>
      </c>
      <c r="C1155" s="26" t="s">
        <v>363</v>
      </c>
      <c r="D1155" s="26" t="s">
        <v>76</v>
      </c>
      <c r="E1155" s="26" t="s">
        <v>4823</v>
      </c>
      <c r="F1155" s="26" t="s">
        <v>2429</v>
      </c>
      <c r="G1155" s="26" t="s">
        <v>1230</v>
      </c>
      <c r="H1155" s="26" t="s">
        <v>46</v>
      </c>
      <c r="I1155" s="26"/>
      <c r="J1155" s="26">
        <v>0.0</v>
      </c>
      <c r="K1155" s="26" t="s">
        <v>491</v>
      </c>
      <c r="L1155" s="26" t="s">
        <v>29</v>
      </c>
      <c r="M1155" s="26" t="s">
        <v>95</v>
      </c>
      <c r="N1155" s="26" t="s">
        <v>307</v>
      </c>
      <c r="O1155" s="26">
        <v>3.0</v>
      </c>
    </row>
    <row r="1156" ht="15.75" customHeight="1">
      <c r="A1156" s="26" t="s">
        <v>4824</v>
      </c>
      <c r="B1156" s="26" t="s">
        <v>4825</v>
      </c>
      <c r="C1156" s="26" t="s">
        <v>429</v>
      </c>
      <c r="D1156" s="26" t="s">
        <v>36</v>
      </c>
      <c r="E1156" s="26" t="s">
        <v>128</v>
      </c>
      <c r="F1156" s="26" t="s">
        <v>663</v>
      </c>
      <c r="G1156" s="26" t="s">
        <v>44</v>
      </c>
      <c r="H1156" s="26" t="s">
        <v>34</v>
      </c>
      <c r="I1156" s="26" t="s">
        <v>82</v>
      </c>
      <c r="J1156" s="26">
        <v>2.0</v>
      </c>
      <c r="K1156" s="26" t="s">
        <v>129</v>
      </c>
      <c r="L1156" s="26" t="s">
        <v>15</v>
      </c>
      <c r="M1156" s="26" t="s">
        <v>81</v>
      </c>
      <c r="N1156" s="26" t="s">
        <v>307</v>
      </c>
      <c r="O1156" s="26">
        <v>6.0</v>
      </c>
    </row>
    <row r="1157" ht="15.75" customHeight="1">
      <c r="A1157" s="26" t="s">
        <v>4826</v>
      </c>
      <c r="B1157" s="26" t="s">
        <v>4827</v>
      </c>
      <c r="C1157" s="26" t="s">
        <v>312</v>
      </c>
      <c r="D1157" s="26" t="s">
        <v>76</v>
      </c>
      <c r="E1157" s="26" t="s">
        <v>4828</v>
      </c>
      <c r="F1157" s="26" t="s">
        <v>1201</v>
      </c>
      <c r="G1157" s="26" t="s">
        <v>222</v>
      </c>
      <c r="H1157" s="26" t="s">
        <v>34</v>
      </c>
      <c r="I1157" s="26" t="s">
        <v>496</v>
      </c>
      <c r="J1157" s="26">
        <v>2.0</v>
      </c>
      <c r="K1157" s="26" t="s">
        <v>4829</v>
      </c>
      <c r="L1157" s="26" t="s">
        <v>15</v>
      </c>
      <c r="M1157" s="26" t="s">
        <v>81</v>
      </c>
      <c r="N1157" s="26" t="s">
        <v>307</v>
      </c>
      <c r="O1157" s="26">
        <v>3.0</v>
      </c>
    </row>
    <row r="1158" ht="15.75" customHeight="1">
      <c r="A1158" s="26" t="s">
        <v>4830</v>
      </c>
      <c r="B1158" s="26" t="s">
        <v>4831</v>
      </c>
      <c r="C1158" s="26" t="s">
        <v>363</v>
      </c>
      <c r="D1158" s="26" t="s">
        <v>69</v>
      </c>
      <c r="E1158" s="26" t="s">
        <v>1071</v>
      </c>
      <c r="F1158" s="26" t="s">
        <v>1324</v>
      </c>
      <c r="G1158" s="26" t="s">
        <v>1070</v>
      </c>
      <c r="H1158" s="26" t="s">
        <v>34</v>
      </c>
      <c r="I1158" s="26"/>
      <c r="J1158" s="26">
        <v>1.0</v>
      </c>
      <c r="K1158" s="26" t="s">
        <v>1073</v>
      </c>
      <c r="L1158" s="26" t="s">
        <v>15</v>
      </c>
      <c r="M1158" s="26" t="s">
        <v>81</v>
      </c>
      <c r="N1158" s="26" t="s">
        <v>307</v>
      </c>
      <c r="O1158" s="26">
        <v>3.0</v>
      </c>
    </row>
    <row r="1159" ht="15.75" customHeight="1">
      <c r="A1159" s="26" t="s">
        <v>4832</v>
      </c>
      <c r="B1159" s="26" t="s">
        <v>4833</v>
      </c>
      <c r="C1159" s="26" t="s">
        <v>363</v>
      </c>
      <c r="D1159" s="26" t="s">
        <v>48</v>
      </c>
      <c r="E1159" s="26" t="s">
        <v>4834</v>
      </c>
      <c r="F1159" s="26" t="s">
        <v>1727</v>
      </c>
      <c r="G1159" s="26" t="s">
        <v>284</v>
      </c>
      <c r="H1159" s="26" t="s">
        <v>46</v>
      </c>
      <c r="I1159" s="26"/>
      <c r="J1159" s="26">
        <v>0.0</v>
      </c>
      <c r="K1159" s="26" t="s">
        <v>4835</v>
      </c>
      <c r="L1159" s="26" t="s">
        <v>15</v>
      </c>
      <c r="M1159" s="26" t="s">
        <v>81</v>
      </c>
      <c r="N1159" s="26" t="s">
        <v>307</v>
      </c>
      <c r="O1159" s="26">
        <v>6.0</v>
      </c>
    </row>
    <row r="1160" ht="15.75" customHeight="1">
      <c r="A1160" s="26" t="s">
        <v>4836</v>
      </c>
      <c r="B1160" s="26" t="s">
        <v>4837</v>
      </c>
      <c r="C1160" s="26" t="s">
        <v>312</v>
      </c>
      <c r="D1160" s="26" t="s">
        <v>36</v>
      </c>
      <c r="E1160" s="26" t="s">
        <v>4838</v>
      </c>
      <c r="F1160" s="26" t="s">
        <v>315</v>
      </c>
      <c r="G1160" s="26" t="s">
        <v>47</v>
      </c>
      <c r="H1160" s="26" t="s">
        <v>34</v>
      </c>
      <c r="I1160" s="26" t="s">
        <v>82</v>
      </c>
      <c r="J1160" s="26">
        <v>2.0</v>
      </c>
      <c r="K1160" s="26" t="s">
        <v>4839</v>
      </c>
      <c r="L1160" s="26" t="s">
        <v>15</v>
      </c>
      <c r="M1160" s="26" t="s">
        <v>81</v>
      </c>
      <c r="N1160" s="26" t="s">
        <v>307</v>
      </c>
      <c r="O1160" s="26">
        <v>6.0</v>
      </c>
    </row>
    <row r="1161" ht="15.75" customHeight="1">
      <c r="A1161" s="26" t="s">
        <v>4840</v>
      </c>
      <c r="B1161" s="26" t="s">
        <v>4841</v>
      </c>
      <c r="C1161" s="26" t="s">
        <v>363</v>
      </c>
      <c r="D1161" s="26" t="s">
        <v>45</v>
      </c>
      <c r="E1161" s="26" t="s">
        <v>4842</v>
      </c>
      <c r="F1161" s="26" t="s">
        <v>2178</v>
      </c>
      <c r="G1161" s="26" t="s">
        <v>161</v>
      </c>
      <c r="H1161" s="26" t="s">
        <v>57</v>
      </c>
      <c r="I1161" s="26" t="s">
        <v>204</v>
      </c>
      <c r="J1161" s="26">
        <v>2.0</v>
      </c>
      <c r="K1161" s="26" t="s">
        <v>4843</v>
      </c>
      <c r="L1161" s="26" t="s">
        <v>15</v>
      </c>
      <c r="M1161" s="26" t="s">
        <v>81</v>
      </c>
      <c r="N1161" s="26" t="s">
        <v>307</v>
      </c>
      <c r="O1161" s="26">
        <v>3.0</v>
      </c>
    </row>
    <row r="1162" ht="15.75" customHeight="1">
      <c r="A1162" s="26" t="s">
        <v>4844</v>
      </c>
      <c r="B1162" s="26" t="s">
        <v>4845</v>
      </c>
      <c r="C1162" s="26" t="s">
        <v>300</v>
      </c>
      <c r="D1162" s="26" t="s">
        <v>69</v>
      </c>
      <c r="E1162" s="26" t="s">
        <v>4846</v>
      </c>
      <c r="F1162" s="26" t="s">
        <v>1422</v>
      </c>
      <c r="G1162" s="26" t="s">
        <v>86</v>
      </c>
      <c r="H1162" s="26" t="s">
        <v>34</v>
      </c>
      <c r="I1162" s="26"/>
      <c r="J1162" s="26">
        <v>1.0</v>
      </c>
      <c r="K1162" s="26" t="s">
        <v>136</v>
      </c>
      <c r="L1162" s="26" t="s">
        <v>29</v>
      </c>
      <c r="M1162" s="26" t="s">
        <v>95</v>
      </c>
      <c r="N1162" s="26" t="s">
        <v>307</v>
      </c>
      <c r="O1162" s="26">
        <v>5.0</v>
      </c>
    </row>
    <row r="1163" ht="15.75" customHeight="1">
      <c r="A1163" s="26" t="s">
        <v>4847</v>
      </c>
      <c r="B1163" s="26" t="s">
        <v>4848</v>
      </c>
      <c r="C1163" s="26" t="s">
        <v>363</v>
      </c>
      <c r="D1163" s="26" t="s">
        <v>62</v>
      </c>
      <c r="E1163" s="26" t="s">
        <v>955</v>
      </c>
      <c r="F1163" s="26" t="s">
        <v>471</v>
      </c>
      <c r="G1163" s="26" t="s">
        <v>105</v>
      </c>
      <c r="H1163" s="26" t="s">
        <v>46</v>
      </c>
      <c r="I1163" s="26" t="s">
        <v>119</v>
      </c>
      <c r="J1163" s="26">
        <v>2.0</v>
      </c>
      <c r="K1163" s="26" t="s">
        <v>491</v>
      </c>
      <c r="L1163" s="26" t="s">
        <v>29</v>
      </c>
      <c r="M1163" s="26" t="s">
        <v>95</v>
      </c>
      <c r="N1163" s="26" t="s">
        <v>307</v>
      </c>
      <c r="O1163" s="26">
        <v>4.0</v>
      </c>
    </row>
    <row r="1164" ht="15.75" customHeight="1">
      <c r="A1164" s="26" t="s">
        <v>4849</v>
      </c>
      <c r="B1164" s="26" t="s">
        <v>4850</v>
      </c>
      <c r="C1164" s="26" t="s">
        <v>363</v>
      </c>
      <c r="D1164" s="26" t="s">
        <v>59</v>
      </c>
      <c r="E1164" s="26" t="s">
        <v>4851</v>
      </c>
      <c r="F1164" s="26" t="s">
        <v>2097</v>
      </c>
      <c r="G1164" s="26" t="s">
        <v>127</v>
      </c>
      <c r="H1164" s="26" t="s">
        <v>53</v>
      </c>
      <c r="I1164" s="26" t="s">
        <v>113</v>
      </c>
      <c r="J1164" s="26">
        <v>4.0</v>
      </c>
      <c r="K1164" s="26" t="s">
        <v>4852</v>
      </c>
      <c r="L1164" s="26" t="s">
        <v>15</v>
      </c>
      <c r="M1164" s="26" t="s">
        <v>81</v>
      </c>
      <c r="N1164" s="26" t="s">
        <v>307</v>
      </c>
      <c r="O1164" s="26">
        <v>3.0</v>
      </c>
    </row>
    <row r="1165" ht="15.75" customHeight="1">
      <c r="A1165" s="26" t="s">
        <v>4853</v>
      </c>
      <c r="B1165" s="26" t="s">
        <v>4854</v>
      </c>
      <c r="C1165" s="26" t="s">
        <v>312</v>
      </c>
      <c r="D1165" s="26" t="s">
        <v>45</v>
      </c>
      <c r="E1165" s="26" t="s">
        <v>4855</v>
      </c>
      <c r="F1165" s="26" t="s">
        <v>744</v>
      </c>
      <c r="G1165" s="26" t="s">
        <v>148</v>
      </c>
      <c r="H1165" s="26" t="s">
        <v>34</v>
      </c>
      <c r="I1165" s="26" t="s">
        <v>130</v>
      </c>
      <c r="J1165" s="26">
        <v>2.0</v>
      </c>
      <c r="K1165" s="26" t="s">
        <v>4856</v>
      </c>
      <c r="L1165" s="26" t="s">
        <v>15</v>
      </c>
      <c r="M1165" s="26" t="s">
        <v>81</v>
      </c>
      <c r="N1165" s="26" t="s">
        <v>307</v>
      </c>
      <c r="O1165" s="26">
        <v>4.0</v>
      </c>
    </row>
    <row r="1166" ht="15.75" customHeight="1">
      <c r="A1166" s="26" t="s">
        <v>4857</v>
      </c>
      <c r="B1166" s="26" t="s">
        <v>4858</v>
      </c>
      <c r="C1166" s="26" t="s">
        <v>363</v>
      </c>
      <c r="D1166" s="26" t="s">
        <v>72</v>
      </c>
      <c r="E1166" s="26" t="s">
        <v>1153</v>
      </c>
      <c r="F1166" s="26" t="s">
        <v>1483</v>
      </c>
      <c r="G1166" s="26" t="s">
        <v>1152</v>
      </c>
      <c r="H1166" s="26" t="s">
        <v>46</v>
      </c>
      <c r="I1166" s="26"/>
      <c r="J1166" s="26">
        <v>0.0</v>
      </c>
      <c r="K1166" s="26" t="s">
        <v>4859</v>
      </c>
      <c r="L1166" s="26" t="s">
        <v>15</v>
      </c>
      <c r="M1166" s="26" t="s">
        <v>81</v>
      </c>
      <c r="N1166" s="26" t="s">
        <v>307</v>
      </c>
      <c r="O1166" s="26">
        <v>3.0</v>
      </c>
    </row>
    <row r="1167" ht="15.75" customHeight="1">
      <c r="A1167" s="26" t="s">
        <v>4860</v>
      </c>
      <c r="B1167" s="26" t="s">
        <v>4861</v>
      </c>
      <c r="C1167" s="26" t="s">
        <v>363</v>
      </c>
      <c r="D1167" s="26" t="s">
        <v>45</v>
      </c>
      <c r="E1167" s="26" t="s">
        <v>4862</v>
      </c>
      <c r="F1167" s="26" t="s">
        <v>799</v>
      </c>
      <c r="G1167" s="26" t="s">
        <v>130</v>
      </c>
      <c r="H1167" s="26" t="s">
        <v>34</v>
      </c>
      <c r="I1167" s="26" t="s">
        <v>140</v>
      </c>
      <c r="J1167" s="26">
        <v>5.0</v>
      </c>
      <c r="K1167" s="26" t="s">
        <v>4856</v>
      </c>
      <c r="L1167" s="26" t="s">
        <v>15</v>
      </c>
      <c r="M1167" s="26" t="s">
        <v>81</v>
      </c>
      <c r="N1167" s="26" t="s">
        <v>307</v>
      </c>
      <c r="O1167" s="26">
        <v>3.0</v>
      </c>
    </row>
    <row r="1168" ht="15.75" customHeight="1">
      <c r="A1168" s="26" t="s">
        <v>4863</v>
      </c>
      <c r="B1168" s="26" t="s">
        <v>4864</v>
      </c>
      <c r="C1168" s="26" t="s">
        <v>429</v>
      </c>
      <c r="D1168" s="26" t="s">
        <v>50</v>
      </c>
      <c r="E1168" s="26" t="s">
        <v>4865</v>
      </c>
      <c r="F1168" s="26" t="s">
        <v>847</v>
      </c>
      <c r="G1168" s="26" t="s">
        <v>328</v>
      </c>
      <c r="H1168" s="26" t="s">
        <v>49</v>
      </c>
      <c r="I1168" s="26" t="s">
        <v>566</v>
      </c>
      <c r="J1168" s="26">
        <v>2.0</v>
      </c>
      <c r="K1168" s="26" t="s">
        <v>4866</v>
      </c>
      <c r="L1168" s="26" t="s">
        <v>15</v>
      </c>
      <c r="M1168" s="26" t="s">
        <v>81</v>
      </c>
      <c r="N1168" s="26" t="s">
        <v>307</v>
      </c>
      <c r="O1168" s="26">
        <v>4.0</v>
      </c>
    </row>
    <row r="1169" ht="15.75" customHeight="1">
      <c r="A1169" s="26" t="s">
        <v>4867</v>
      </c>
      <c r="B1169" s="26" t="s">
        <v>4868</v>
      </c>
      <c r="C1169" s="26" t="s">
        <v>300</v>
      </c>
      <c r="D1169" s="26" t="s">
        <v>62</v>
      </c>
      <c r="E1169" s="26" t="s">
        <v>4869</v>
      </c>
      <c r="F1169" s="26" t="s">
        <v>1245</v>
      </c>
      <c r="G1169" s="26" t="s">
        <v>119</v>
      </c>
      <c r="H1169" s="26" t="s">
        <v>57</v>
      </c>
      <c r="I1169" s="26" t="s">
        <v>1001</v>
      </c>
      <c r="J1169" s="26">
        <v>2.0</v>
      </c>
      <c r="K1169" s="26" t="s">
        <v>4870</v>
      </c>
      <c r="L1169" s="26" t="s">
        <v>19</v>
      </c>
      <c r="M1169" s="26" t="s">
        <v>87</v>
      </c>
      <c r="N1169" s="26" t="s">
        <v>307</v>
      </c>
      <c r="O1169" s="26">
        <v>6.0</v>
      </c>
    </row>
    <row r="1170" ht="15.75" customHeight="1">
      <c r="A1170" s="26" t="s">
        <v>4871</v>
      </c>
      <c r="B1170" s="26" t="s">
        <v>4872</v>
      </c>
      <c r="C1170" s="26" t="s">
        <v>429</v>
      </c>
      <c r="D1170" s="26" t="s">
        <v>54</v>
      </c>
      <c r="E1170" s="26" t="s">
        <v>4873</v>
      </c>
      <c r="F1170" s="26" t="s">
        <v>432</v>
      </c>
      <c r="G1170" s="26" t="s">
        <v>182</v>
      </c>
      <c r="H1170" s="26" t="s">
        <v>34</v>
      </c>
      <c r="I1170" s="26" t="s">
        <v>217</v>
      </c>
      <c r="J1170" s="26">
        <v>2.0</v>
      </c>
      <c r="K1170" s="26" t="s">
        <v>4874</v>
      </c>
      <c r="L1170" s="26" t="s">
        <v>15</v>
      </c>
      <c r="M1170" s="26" t="s">
        <v>81</v>
      </c>
      <c r="N1170" s="26" t="s">
        <v>307</v>
      </c>
      <c r="O1170" s="26">
        <v>3.0</v>
      </c>
    </row>
    <row r="1171" ht="15.75" customHeight="1">
      <c r="A1171" s="26" t="s">
        <v>4875</v>
      </c>
      <c r="B1171" s="26" t="s">
        <v>4876</v>
      </c>
      <c r="C1171" s="26" t="s">
        <v>363</v>
      </c>
      <c r="D1171" s="26" t="s">
        <v>45</v>
      </c>
      <c r="E1171" s="26" t="s">
        <v>4877</v>
      </c>
      <c r="F1171" s="26" t="s">
        <v>799</v>
      </c>
      <c r="G1171" s="26" t="s">
        <v>130</v>
      </c>
      <c r="H1171" s="26" t="s">
        <v>34</v>
      </c>
      <c r="I1171" s="26" t="s">
        <v>82</v>
      </c>
      <c r="J1171" s="26">
        <v>2.0</v>
      </c>
      <c r="K1171" s="26" t="s">
        <v>4878</v>
      </c>
      <c r="L1171" s="26" t="s">
        <v>15</v>
      </c>
      <c r="M1171" s="26" t="s">
        <v>81</v>
      </c>
      <c r="N1171" s="26" t="s">
        <v>307</v>
      </c>
      <c r="O1171" s="26">
        <v>3.0</v>
      </c>
    </row>
    <row r="1172" ht="15.75" customHeight="1">
      <c r="A1172" s="26" t="s">
        <v>4879</v>
      </c>
      <c r="B1172" s="26" t="s">
        <v>4880</v>
      </c>
      <c r="C1172" s="26" t="s">
        <v>4397</v>
      </c>
      <c r="D1172" s="26" t="s">
        <v>59</v>
      </c>
      <c r="E1172" s="26" t="s">
        <v>4881</v>
      </c>
      <c r="F1172" s="26" t="s">
        <v>423</v>
      </c>
      <c r="G1172" s="26" t="s">
        <v>117</v>
      </c>
      <c r="H1172" s="26" t="s">
        <v>34</v>
      </c>
      <c r="I1172" s="26" t="s">
        <v>3375</v>
      </c>
      <c r="J1172" s="26">
        <v>2.0</v>
      </c>
      <c r="K1172" s="26" t="s">
        <v>4882</v>
      </c>
      <c r="L1172" s="26" t="s">
        <v>15</v>
      </c>
      <c r="M1172" s="26" t="s">
        <v>81</v>
      </c>
      <c r="N1172" s="26" t="s">
        <v>307</v>
      </c>
      <c r="O1172" s="26">
        <v>3.0</v>
      </c>
    </row>
    <row r="1173" ht="15.75" customHeight="1">
      <c r="A1173" s="26" t="s">
        <v>4883</v>
      </c>
      <c r="B1173" s="26" t="s">
        <v>4884</v>
      </c>
      <c r="C1173" s="26" t="s">
        <v>312</v>
      </c>
      <c r="D1173" s="26" t="s">
        <v>36</v>
      </c>
      <c r="E1173" s="26" t="s">
        <v>4885</v>
      </c>
      <c r="F1173" s="26" t="s">
        <v>315</v>
      </c>
      <c r="G1173" s="26" t="s">
        <v>47</v>
      </c>
      <c r="H1173" s="26" t="s">
        <v>34</v>
      </c>
      <c r="I1173" s="26" t="s">
        <v>58</v>
      </c>
      <c r="J1173" s="26">
        <v>3.0</v>
      </c>
      <c r="K1173" s="26" t="s">
        <v>4886</v>
      </c>
      <c r="L1173" s="26" t="s">
        <v>19</v>
      </c>
      <c r="M1173" s="26" t="s">
        <v>66</v>
      </c>
      <c r="N1173" s="26" t="s">
        <v>307</v>
      </c>
      <c r="O1173" s="26">
        <v>4.0</v>
      </c>
    </row>
    <row r="1174" ht="15.75" customHeight="1">
      <c r="A1174" s="26" t="s">
        <v>4887</v>
      </c>
      <c r="B1174" s="26" t="s">
        <v>4888</v>
      </c>
      <c r="C1174" s="26" t="s">
        <v>363</v>
      </c>
      <c r="D1174" s="26" t="s">
        <v>54</v>
      </c>
      <c r="E1174" s="26" t="s">
        <v>722</v>
      </c>
      <c r="F1174" s="26" t="s">
        <v>432</v>
      </c>
      <c r="G1174" s="26" t="s">
        <v>182</v>
      </c>
      <c r="H1174" s="26" t="s">
        <v>34</v>
      </c>
      <c r="I1174" s="26"/>
      <c r="J1174" s="26">
        <v>1.0</v>
      </c>
      <c r="K1174" s="26" t="s">
        <v>4889</v>
      </c>
      <c r="L1174" s="26" t="s">
        <v>15</v>
      </c>
      <c r="M1174" s="26" t="s">
        <v>81</v>
      </c>
      <c r="N1174" s="26" t="s">
        <v>307</v>
      </c>
      <c r="O1174" s="26">
        <v>3.0</v>
      </c>
    </row>
    <row r="1175" ht="15.75" customHeight="1">
      <c r="A1175" s="26" t="s">
        <v>4890</v>
      </c>
      <c r="B1175" s="26" t="s">
        <v>4891</v>
      </c>
      <c r="C1175" s="26" t="s">
        <v>429</v>
      </c>
      <c r="D1175" s="26" t="s">
        <v>59</v>
      </c>
      <c r="E1175" s="26" t="s">
        <v>4892</v>
      </c>
      <c r="F1175" s="26" t="s">
        <v>372</v>
      </c>
      <c r="G1175" s="26" t="s">
        <v>373</v>
      </c>
      <c r="H1175" s="26" t="s">
        <v>34</v>
      </c>
      <c r="I1175" s="26"/>
      <c r="J1175" s="26">
        <v>1.0</v>
      </c>
      <c r="K1175" s="26" t="s">
        <v>4893</v>
      </c>
      <c r="L1175" s="26" t="s">
        <v>15</v>
      </c>
      <c r="M1175" s="26" t="s">
        <v>81</v>
      </c>
      <c r="N1175" s="26" t="s">
        <v>307</v>
      </c>
      <c r="O1175" s="26">
        <v>4.0</v>
      </c>
    </row>
    <row r="1176" ht="15.75" customHeight="1">
      <c r="A1176" s="26" t="s">
        <v>4890</v>
      </c>
      <c r="B1176" s="26" t="s">
        <v>4891</v>
      </c>
      <c r="C1176" s="26" t="s">
        <v>429</v>
      </c>
      <c r="D1176" s="26" t="s">
        <v>59</v>
      </c>
      <c r="E1176" s="26" t="s">
        <v>4892</v>
      </c>
      <c r="F1176" s="26" t="s">
        <v>372</v>
      </c>
      <c r="G1176" s="26" t="s">
        <v>373</v>
      </c>
      <c r="H1176" s="26" t="s">
        <v>34</v>
      </c>
      <c r="I1176" s="26"/>
      <c r="J1176" s="26">
        <v>1.0</v>
      </c>
      <c r="K1176" s="26" t="s">
        <v>1190</v>
      </c>
      <c r="L1176" s="26" t="s">
        <v>29</v>
      </c>
      <c r="M1176" s="26" t="s">
        <v>95</v>
      </c>
      <c r="N1176" s="26" t="s">
        <v>307</v>
      </c>
      <c r="O1176" s="26">
        <v>4.0</v>
      </c>
    </row>
    <row r="1177" ht="15.75" customHeight="1">
      <c r="A1177" s="26" t="s">
        <v>4894</v>
      </c>
      <c r="B1177" s="26" t="s">
        <v>4895</v>
      </c>
      <c r="C1177" s="26" t="s">
        <v>363</v>
      </c>
      <c r="D1177" s="26" t="s">
        <v>59</v>
      </c>
      <c r="E1177" s="26" t="s">
        <v>4896</v>
      </c>
      <c r="F1177" s="26" t="s">
        <v>423</v>
      </c>
      <c r="G1177" s="26" t="s">
        <v>117</v>
      </c>
      <c r="H1177" s="26" t="s">
        <v>34</v>
      </c>
      <c r="I1177" s="26" t="s">
        <v>113</v>
      </c>
      <c r="J1177" s="26">
        <v>3.0</v>
      </c>
      <c r="K1177" s="26" t="s">
        <v>136</v>
      </c>
      <c r="L1177" s="26" t="s">
        <v>29</v>
      </c>
      <c r="M1177" s="26" t="s">
        <v>95</v>
      </c>
      <c r="N1177" s="26" t="s">
        <v>307</v>
      </c>
      <c r="O1177" s="26">
        <v>4.0</v>
      </c>
    </row>
    <row r="1178" ht="15.75" customHeight="1">
      <c r="A1178" s="26" t="s">
        <v>4897</v>
      </c>
      <c r="B1178" s="26" t="s">
        <v>4898</v>
      </c>
      <c r="C1178" s="26" t="s">
        <v>300</v>
      </c>
      <c r="D1178" s="26" t="s">
        <v>36</v>
      </c>
      <c r="E1178" s="26" t="s">
        <v>4899</v>
      </c>
      <c r="F1178" s="26" t="s">
        <v>2025</v>
      </c>
      <c r="G1178" s="26" t="s">
        <v>82</v>
      </c>
      <c r="H1178" s="26" t="s">
        <v>34</v>
      </c>
      <c r="I1178" s="26"/>
      <c r="J1178" s="26">
        <v>1.0</v>
      </c>
      <c r="K1178" s="26" t="s">
        <v>4900</v>
      </c>
      <c r="L1178" s="26" t="s">
        <v>15</v>
      </c>
      <c r="M1178" s="26" t="s">
        <v>81</v>
      </c>
      <c r="N1178" s="26" t="s">
        <v>307</v>
      </c>
      <c r="O1178" s="26">
        <v>4.0</v>
      </c>
    </row>
    <row r="1179" ht="15.75" customHeight="1">
      <c r="A1179" s="26" t="s">
        <v>4901</v>
      </c>
      <c r="B1179" s="26" t="s">
        <v>4902</v>
      </c>
      <c r="C1179" s="26" t="s">
        <v>312</v>
      </c>
      <c r="D1179" s="26" t="s">
        <v>45</v>
      </c>
      <c r="E1179" s="26" t="s">
        <v>4903</v>
      </c>
      <c r="F1179" s="26" t="s">
        <v>806</v>
      </c>
      <c r="G1179" s="26" t="s">
        <v>169</v>
      </c>
      <c r="H1179" s="26" t="s">
        <v>52</v>
      </c>
      <c r="I1179" s="26"/>
      <c r="J1179" s="26">
        <v>1.0</v>
      </c>
      <c r="K1179" s="26" t="s">
        <v>4878</v>
      </c>
      <c r="L1179" s="26" t="s">
        <v>15</v>
      </c>
      <c r="M1179" s="26" t="s">
        <v>81</v>
      </c>
      <c r="N1179" s="26" t="s">
        <v>307</v>
      </c>
      <c r="O1179" s="26">
        <v>2.0</v>
      </c>
    </row>
    <row r="1180" ht="15.75" customHeight="1">
      <c r="A1180" s="26" t="s">
        <v>4904</v>
      </c>
      <c r="B1180" s="26" t="s">
        <v>4905</v>
      </c>
      <c r="C1180" s="26" t="s">
        <v>300</v>
      </c>
      <c r="D1180" s="26" t="s">
        <v>54</v>
      </c>
      <c r="E1180" s="26" t="s">
        <v>4906</v>
      </c>
      <c r="F1180" s="26" t="s">
        <v>432</v>
      </c>
      <c r="G1180" s="26" t="s">
        <v>182</v>
      </c>
      <c r="H1180" s="26" t="s">
        <v>34</v>
      </c>
      <c r="I1180" s="26" t="s">
        <v>217</v>
      </c>
      <c r="J1180" s="26">
        <v>3.0</v>
      </c>
      <c r="K1180" s="26"/>
      <c r="L1180" s="26" t="s">
        <v>25</v>
      </c>
      <c r="M1180" s="26" t="s">
        <v>97</v>
      </c>
      <c r="N1180" s="26" t="s">
        <v>307</v>
      </c>
      <c r="O1180" s="26">
        <v>2.0</v>
      </c>
    </row>
    <row r="1181" ht="15.75" customHeight="1">
      <c r="A1181" s="26" t="s">
        <v>4907</v>
      </c>
      <c r="B1181" s="26" t="s">
        <v>4908</v>
      </c>
      <c r="C1181" s="26" t="s">
        <v>312</v>
      </c>
      <c r="D1181" s="26" t="s">
        <v>45</v>
      </c>
      <c r="E1181" s="26" t="s">
        <v>4909</v>
      </c>
      <c r="F1181" s="26" t="s">
        <v>799</v>
      </c>
      <c r="G1181" s="26" t="s">
        <v>130</v>
      </c>
      <c r="H1181" s="26" t="s">
        <v>34</v>
      </c>
      <c r="I1181" s="26" t="s">
        <v>204</v>
      </c>
      <c r="J1181" s="26">
        <v>3.0</v>
      </c>
      <c r="K1181" s="26" t="s">
        <v>4878</v>
      </c>
      <c r="L1181" s="26" t="s">
        <v>15</v>
      </c>
      <c r="M1181" s="26" t="s">
        <v>81</v>
      </c>
      <c r="N1181" s="26" t="s">
        <v>307</v>
      </c>
      <c r="O1181" s="26">
        <v>2.0</v>
      </c>
    </row>
    <row r="1182" ht="15.75" customHeight="1">
      <c r="A1182" s="26" t="s">
        <v>4910</v>
      </c>
      <c r="B1182" s="26" t="s">
        <v>4911</v>
      </c>
      <c r="C1182" s="26" t="s">
        <v>300</v>
      </c>
      <c r="D1182" s="26" t="s">
        <v>36</v>
      </c>
      <c r="E1182" s="26" t="s">
        <v>4912</v>
      </c>
      <c r="F1182" s="26" t="s">
        <v>663</v>
      </c>
      <c r="G1182" s="26" t="s">
        <v>44</v>
      </c>
      <c r="H1182" s="26" t="s">
        <v>34</v>
      </c>
      <c r="I1182" s="26" t="s">
        <v>51</v>
      </c>
      <c r="J1182" s="26">
        <v>3.0</v>
      </c>
      <c r="K1182" s="26" t="s">
        <v>4913</v>
      </c>
      <c r="L1182" s="26" t="s">
        <v>15</v>
      </c>
      <c r="M1182" s="26" t="s">
        <v>81</v>
      </c>
      <c r="N1182" s="26" t="s">
        <v>307</v>
      </c>
      <c r="O1182" s="26">
        <v>22.0</v>
      </c>
    </row>
    <row r="1183" ht="15.75" customHeight="1">
      <c r="A1183" s="26" t="s">
        <v>4914</v>
      </c>
      <c r="B1183" s="26" t="s">
        <v>4915</v>
      </c>
      <c r="C1183" s="26" t="s">
        <v>363</v>
      </c>
      <c r="D1183" s="26" t="s">
        <v>72</v>
      </c>
      <c r="E1183" s="26" t="s">
        <v>4916</v>
      </c>
      <c r="F1183" s="26" t="s">
        <v>2422</v>
      </c>
      <c r="G1183" s="26" t="s">
        <v>90</v>
      </c>
      <c r="H1183" s="26" t="s">
        <v>34</v>
      </c>
      <c r="I1183" s="26" t="s">
        <v>1184</v>
      </c>
      <c r="J1183" s="26">
        <v>2.0</v>
      </c>
      <c r="K1183" s="26" t="s">
        <v>4917</v>
      </c>
      <c r="L1183" s="26" t="s">
        <v>15</v>
      </c>
      <c r="M1183" s="26" t="s">
        <v>81</v>
      </c>
      <c r="N1183" s="26" t="s">
        <v>307</v>
      </c>
      <c r="O1183" s="26">
        <v>4.0</v>
      </c>
    </row>
    <row r="1184" ht="15.75" customHeight="1">
      <c r="A1184" s="26" t="s">
        <v>4918</v>
      </c>
      <c r="B1184" s="26" t="s">
        <v>4919</v>
      </c>
      <c r="C1184" s="26" t="s">
        <v>312</v>
      </c>
      <c r="D1184" s="26" t="s">
        <v>36</v>
      </c>
      <c r="E1184" s="26" t="s">
        <v>4920</v>
      </c>
      <c r="F1184" s="26" t="s">
        <v>2150</v>
      </c>
      <c r="G1184" s="26" t="s">
        <v>104</v>
      </c>
      <c r="H1184" s="26" t="s">
        <v>49</v>
      </c>
      <c r="I1184" s="26"/>
      <c r="J1184" s="26">
        <v>1.0</v>
      </c>
      <c r="K1184" s="26" t="s">
        <v>4921</v>
      </c>
      <c r="L1184" s="26" t="s">
        <v>15</v>
      </c>
      <c r="M1184" s="26" t="s">
        <v>81</v>
      </c>
      <c r="N1184" s="26" t="s">
        <v>307</v>
      </c>
      <c r="O1184" s="26">
        <v>1.0</v>
      </c>
    </row>
    <row r="1185" ht="15.75" customHeight="1">
      <c r="A1185" s="26" t="s">
        <v>4922</v>
      </c>
      <c r="B1185" s="26" t="s">
        <v>4923</v>
      </c>
      <c r="C1185" s="26" t="s">
        <v>312</v>
      </c>
      <c r="D1185" s="26" t="s">
        <v>76</v>
      </c>
      <c r="E1185" s="26" t="s">
        <v>1202</v>
      </c>
      <c r="F1185" s="26" t="s">
        <v>493</v>
      </c>
      <c r="G1185" s="26" t="s">
        <v>494</v>
      </c>
      <c r="H1185" s="26" t="s">
        <v>34</v>
      </c>
      <c r="I1185" s="26"/>
      <c r="J1185" s="26">
        <v>1.0</v>
      </c>
      <c r="K1185" s="26" t="s">
        <v>4924</v>
      </c>
      <c r="L1185" s="26" t="s">
        <v>15</v>
      </c>
      <c r="M1185" s="26" t="s">
        <v>81</v>
      </c>
      <c r="N1185" s="26" t="s">
        <v>307</v>
      </c>
      <c r="O1185" s="26">
        <v>6.0</v>
      </c>
    </row>
    <row r="1186" ht="15.75" customHeight="1">
      <c r="A1186" s="26" t="s">
        <v>4925</v>
      </c>
      <c r="B1186" s="26" t="s">
        <v>4926</v>
      </c>
      <c r="C1186" s="26" t="s">
        <v>300</v>
      </c>
      <c r="D1186" s="26" t="s">
        <v>50</v>
      </c>
      <c r="E1186" s="26" t="s">
        <v>4927</v>
      </c>
      <c r="F1186" s="26" t="s">
        <v>336</v>
      </c>
      <c r="G1186" s="26" t="s">
        <v>75</v>
      </c>
      <c r="H1186" s="26" t="s">
        <v>53</v>
      </c>
      <c r="I1186" s="26" t="s">
        <v>189</v>
      </c>
      <c r="J1186" s="26">
        <v>5.0</v>
      </c>
      <c r="K1186" s="26" t="s">
        <v>4928</v>
      </c>
      <c r="L1186" s="26" t="s">
        <v>19</v>
      </c>
      <c r="M1186" s="26" t="s">
        <v>66</v>
      </c>
      <c r="N1186" s="26" t="s">
        <v>307</v>
      </c>
      <c r="O1186" s="26">
        <v>4.0</v>
      </c>
    </row>
    <row r="1187" ht="15.75" customHeight="1">
      <c r="A1187" s="26" t="s">
        <v>4929</v>
      </c>
      <c r="B1187" s="26" t="s">
        <v>4930</v>
      </c>
      <c r="C1187" s="26" t="s">
        <v>312</v>
      </c>
      <c r="D1187" s="26" t="s">
        <v>36</v>
      </c>
      <c r="E1187" s="26" t="s">
        <v>4931</v>
      </c>
      <c r="F1187" s="26" t="s">
        <v>2025</v>
      </c>
      <c r="G1187" s="26" t="s">
        <v>82</v>
      </c>
      <c r="H1187" s="26" t="s">
        <v>34</v>
      </c>
      <c r="I1187" s="26"/>
      <c r="J1187" s="26">
        <v>1.0</v>
      </c>
      <c r="K1187" s="26" t="s">
        <v>4932</v>
      </c>
      <c r="L1187" s="26" t="s">
        <v>15</v>
      </c>
      <c r="M1187" s="26" t="s">
        <v>81</v>
      </c>
      <c r="N1187" s="26" t="s">
        <v>307</v>
      </c>
      <c r="O1187" s="26">
        <v>3.0</v>
      </c>
    </row>
    <row r="1188" ht="15.75" customHeight="1">
      <c r="A1188" s="26" t="s">
        <v>4933</v>
      </c>
      <c r="B1188" s="26" t="s">
        <v>4934</v>
      </c>
      <c r="C1188" s="26" t="s">
        <v>363</v>
      </c>
      <c r="D1188" s="26" t="s">
        <v>45</v>
      </c>
      <c r="E1188" s="26" t="s">
        <v>4935</v>
      </c>
      <c r="F1188" s="26" t="s">
        <v>799</v>
      </c>
      <c r="G1188" s="26" t="s">
        <v>130</v>
      </c>
      <c r="H1188" s="26" t="s">
        <v>34</v>
      </c>
      <c r="I1188" s="26" t="s">
        <v>226</v>
      </c>
      <c r="J1188" s="26">
        <v>2.0</v>
      </c>
      <c r="K1188" s="26" t="s">
        <v>4936</v>
      </c>
      <c r="L1188" s="26" t="s">
        <v>15</v>
      </c>
      <c r="M1188" s="26" t="s">
        <v>81</v>
      </c>
      <c r="N1188" s="26" t="s">
        <v>307</v>
      </c>
      <c r="O1188" s="26">
        <v>1.0</v>
      </c>
    </row>
    <row r="1189" ht="15.75" customHeight="1">
      <c r="A1189" s="26" t="s">
        <v>4937</v>
      </c>
      <c r="B1189" s="26" t="s">
        <v>4938</v>
      </c>
      <c r="C1189" s="26" t="s">
        <v>363</v>
      </c>
      <c r="D1189" s="26" t="s">
        <v>45</v>
      </c>
      <c r="E1189" s="26" t="s">
        <v>4939</v>
      </c>
      <c r="F1189" s="26" t="s">
        <v>799</v>
      </c>
      <c r="G1189" s="26" t="s">
        <v>130</v>
      </c>
      <c r="H1189" s="26" t="s">
        <v>34</v>
      </c>
      <c r="I1189" s="26" t="s">
        <v>140</v>
      </c>
      <c r="J1189" s="26">
        <v>3.0</v>
      </c>
      <c r="K1189" s="26" t="s">
        <v>4940</v>
      </c>
      <c r="L1189" s="26" t="s">
        <v>15</v>
      </c>
      <c r="M1189" s="26" t="s">
        <v>81</v>
      </c>
      <c r="N1189" s="26" t="s">
        <v>307</v>
      </c>
      <c r="O1189" s="26">
        <v>1.0</v>
      </c>
    </row>
    <row r="1190" ht="15.75" customHeight="1">
      <c r="A1190" s="26" t="s">
        <v>4941</v>
      </c>
      <c r="B1190" s="26" t="s">
        <v>4942</v>
      </c>
      <c r="C1190" s="26" t="s">
        <v>312</v>
      </c>
      <c r="D1190" s="26" t="s">
        <v>54</v>
      </c>
      <c r="E1190" s="26" t="s">
        <v>4943</v>
      </c>
      <c r="F1190" s="26" t="s">
        <v>432</v>
      </c>
      <c r="G1190" s="26" t="s">
        <v>182</v>
      </c>
      <c r="H1190" s="26" t="s">
        <v>34</v>
      </c>
      <c r="I1190" s="26" t="s">
        <v>217</v>
      </c>
      <c r="J1190" s="26">
        <v>2.0</v>
      </c>
      <c r="K1190" s="26" t="s">
        <v>4944</v>
      </c>
      <c r="L1190" s="26" t="s">
        <v>19</v>
      </c>
      <c r="M1190" s="26" t="s">
        <v>66</v>
      </c>
      <c r="N1190" s="26" t="s">
        <v>307</v>
      </c>
      <c r="O1190" s="26">
        <v>1.0</v>
      </c>
    </row>
    <row r="1191" ht="15.75" customHeight="1">
      <c r="A1191" s="26" t="s">
        <v>4945</v>
      </c>
      <c r="B1191" s="26" t="s">
        <v>4946</v>
      </c>
      <c r="C1191" s="26" t="s">
        <v>363</v>
      </c>
      <c r="D1191" s="26" t="s">
        <v>48</v>
      </c>
      <c r="E1191" s="26" t="s">
        <v>4947</v>
      </c>
      <c r="F1191" s="26" t="s">
        <v>973</v>
      </c>
      <c r="G1191" s="26" t="s">
        <v>299</v>
      </c>
      <c r="H1191" s="26" t="s">
        <v>34</v>
      </c>
      <c r="I1191" s="26"/>
      <c r="J1191" s="26">
        <v>1.0</v>
      </c>
      <c r="K1191" s="26" t="s">
        <v>491</v>
      </c>
      <c r="L1191" s="26" t="s">
        <v>29</v>
      </c>
      <c r="M1191" s="26" t="s">
        <v>95</v>
      </c>
      <c r="N1191" s="26" t="s">
        <v>307</v>
      </c>
      <c r="O1191" s="26">
        <v>4.0</v>
      </c>
    </row>
    <row r="1192" ht="15.75" customHeight="1">
      <c r="A1192" s="26" t="s">
        <v>4945</v>
      </c>
      <c r="B1192" s="26" t="s">
        <v>4946</v>
      </c>
      <c r="C1192" s="26" t="s">
        <v>363</v>
      </c>
      <c r="D1192" s="26" t="s">
        <v>48</v>
      </c>
      <c r="E1192" s="26" t="s">
        <v>4947</v>
      </c>
      <c r="F1192" s="26" t="s">
        <v>973</v>
      </c>
      <c r="G1192" s="26" t="s">
        <v>299</v>
      </c>
      <c r="H1192" s="26" t="s">
        <v>34</v>
      </c>
      <c r="I1192" s="26"/>
      <c r="J1192" s="26">
        <v>1.0</v>
      </c>
      <c r="K1192" s="26" t="s">
        <v>491</v>
      </c>
      <c r="L1192" s="26" t="s">
        <v>29</v>
      </c>
      <c r="M1192" s="26" t="s">
        <v>95</v>
      </c>
      <c r="N1192" s="26" t="s">
        <v>307</v>
      </c>
      <c r="O1192" s="26">
        <v>4.0</v>
      </c>
    </row>
    <row r="1193" ht="15.75" customHeight="1">
      <c r="A1193" s="26" t="s">
        <v>4948</v>
      </c>
      <c r="B1193" s="26" t="s">
        <v>4949</v>
      </c>
      <c r="C1193" s="26" t="s">
        <v>363</v>
      </c>
      <c r="D1193" s="26" t="s">
        <v>48</v>
      </c>
      <c r="E1193" s="26" t="s">
        <v>521</v>
      </c>
      <c r="F1193" s="26" t="s">
        <v>590</v>
      </c>
      <c r="G1193" s="26" t="s">
        <v>329</v>
      </c>
      <c r="H1193" s="26" t="s">
        <v>46</v>
      </c>
      <c r="I1193" s="26" t="s">
        <v>386</v>
      </c>
      <c r="J1193" s="26">
        <v>2.0</v>
      </c>
      <c r="K1193" s="26" t="s">
        <v>4950</v>
      </c>
      <c r="L1193" s="26" t="s">
        <v>15</v>
      </c>
      <c r="M1193" s="26" t="s">
        <v>81</v>
      </c>
      <c r="N1193" s="26" t="s">
        <v>307</v>
      </c>
      <c r="O1193" s="26">
        <v>4.0</v>
      </c>
    </row>
    <row r="1194" ht="15.75" customHeight="1">
      <c r="A1194" s="26" t="s">
        <v>4951</v>
      </c>
      <c r="B1194" s="26" t="s">
        <v>4952</v>
      </c>
      <c r="C1194" s="26" t="s">
        <v>429</v>
      </c>
      <c r="D1194" s="26" t="s">
        <v>45</v>
      </c>
      <c r="E1194" s="26" t="s">
        <v>4953</v>
      </c>
      <c r="F1194" s="26" t="s">
        <v>768</v>
      </c>
      <c r="G1194" s="26" t="s">
        <v>183</v>
      </c>
      <c r="H1194" s="26" t="s">
        <v>46</v>
      </c>
      <c r="I1194" s="26"/>
      <c r="J1194" s="26">
        <v>0.0</v>
      </c>
      <c r="K1194" s="26" t="s">
        <v>4936</v>
      </c>
      <c r="L1194" s="26" t="s">
        <v>15</v>
      </c>
      <c r="M1194" s="26" t="s">
        <v>81</v>
      </c>
      <c r="N1194" s="26" t="s">
        <v>307</v>
      </c>
      <c r="O1194" s="26">
        <v>3.0</v>
      </c>
    </row>
    <row r="1195" ht="15.75" customHeight="1">
      <c r="A1195" s="26" t="s">
        <v>4954</v>
      </c>
      <c r="B1195" s="26" t="s">
        <v>4955</v>
      </c>
      <c r="C1195" s="26" t="s">
        <v>4397</v>
      </c>
      <c r="D1195" s="26" t="s">
        <v>72</v>
      </c>
      <c r="E1195" s="26" t="s">
        <v>4956</v>
      </c>
      <c r="F1195" s="26" t="s">
        <v>2261</v>
      </c>
      <c r="G1195" s="26" t="s">
        <v>1133</v>
      </c>
      <c r="H1195" s="26" t="s">
        <v>46</v>
      </c>
      <c r="I1195" s="26"/>
      <c r="J1195" s="26">
        <v>1.0</v>
      </c>
      <c r="K1195" s="26" t="s">
        <v>1190</v>
      </c>
      <c r="L1195" s="26" t="s">
        <v>29</v>
      </c>
      <c r="M1195" s="26" t="s">
        <v>95</v>
      </c>
      <c r="N1195" s="26" t="s">
        <v>307</v>
      </c>
      <c r="O1195" s="26">
        <v>4.0</v>
      </c>
    </row>
    <row r="1196" ht="15.75" customHeight="1">
      <c r="A1196" s="26" t="s">
        <v>4957</v>
      </c>
      <c r="B1196" s="26" t="s">
        <v>4958</v>
      </c>
      <c r="C1196" s="26" t="s">
        <v>4397</v>
      </c>
      <c r="D1196" s="26" t="s">
        <v>72</v>
      </c>
      <c r="E1196" s="26" t="s">
        <v>4956</v>
      </c>
      <c r="F1196" s="26" t="s">
        <v>2261</v>
      </c>
      <c r="G1196" s="26" t="s">
        <v>1133</v>
      </c>
      <c r="H1196" s="26" t="s">
        <v>46</v>
      </c>
      <c r="I1196" s="26"/>
      <c r="J1196" s="26">
        <v>1.0</v>
      </c>
      <c r="K1196" s="26" t="s">
        <v>1190</v>
      </c>
      <c r="L1196" s="26" t="s">
        <v>29</v>
      </c>
      <c r="M1196" s="26" t="s">
        <v>95</v>
      </c>
      <c r="N1196" s="26" t="s">
        <v>307</v>
      </c>
      <c r="O1196" s="26">
        <v>4.0</v>
      </c>
    </row>
    <row r="1197" ht="15.75" customHeight="1">
      <c r="A1197" s="26" t="s">
        <v>4959</v>
      </c>
      <c r="B1197" s="26" t="s">
        <v>4960</v>
      </c>
      <c r="C1197" s="26" t="s">
        <v>4397</v>
      </c>
      <c r="D1197" s="26" t="s">
        <v>72</v>
      </c>
      <c r="E1197" s="26" t="s">
        <v>1136</v>
      </c>
      <c r="F1197" s="26" t="s">
        <v>2261</v>
      </c>
      <c r="G1197" s="26" t="s">
        <v>1133</v>
      </c>
      <c r="H1197" s="26" t="s">
        <v>46</v>
      </c>
      <c r="I1197" s="26"/>
      <c r="J1197" s="26">
        <v>1.0</v>
      </c>
      <c r="K1197" s="26" t="s">
        <v>4961</v>
      </c>
      <c r="L1197" s="26" t="s">
        <v>15</v>
      </c>
      <c r="M1197" s="26" t="s">
        <v>81</v>
      </c>
      <c r="N1197" s="26" t="s">
        <v>307</v>
      </c>
      <c r="O1197" s="26">
        <v>4.0</v>
      </c>
    </row>
    <row r="1198" ht="15.75" customHeight="1">
      <c r="A1198" s="26" t="s">
        <v>4962</v>
      </c>
      <c r="B1198" s="26" t="s">
        <v>4963</v>
      </c>
      <c r="C1198" s="26" t="s">
        <v>312</v>
      </c>
      <c r="D1198" s="26" t="s">
        <v>45</v>
      </c>
      <c r="E1198" s="26" t="s">
        <v>4964</v>
      </c>
      <c r="F1198" s="26" t="s">
        <v>303</v>
      </c>
      <c r="G1198" s="26" t="s">
        <v>140</v>
      </c>
      <c r="H1198" s="26" t="s">
        <v>34</v>
      </c>
      <c r="I1198" s="26" t="s">
        <v>166</v>
      </c>
      <c r="J1198" s="26">
        <v>3.0</v>
      </c>
      <c r="K1198" s="26" t="s">
        <v>4965</v>
      </c>
      <c r="L1198" s="26" t="s">
        <v>19</v>
      </c>
      <c r="M1198" s="26" t="s">
        <v>81</v>
      </c>
      <c r="N1198" s="26" t="s">
        <v>307</v>
      </c>
      <c r="O1198" s="26">
        <v>0.0</v>
      </c>
    </row>
    <row r="1199" ht="15.75" customHeight="1">
      <c r="A1199" s="26" t="s">
        <v>4966</v>
      </c>
      <c r="B1199" s="26" t="s">
        <v>4967</v>
      </c>
      <c r="C1199" s="26" t="s">
        <v>429</v>
      </c>
      <c r="D1199" s="26" t="s">
        <v>48</v>
      </c>
      <c r="E1199" s="26" t="s">
        <v>4968</v>
      </c>
      <c r="F1199" s="26" t="s">
        <v>1014</v>
      </c>
      <c r="G1199" s="26" t="s">
        <v>248</v>
      </c>
      <c r="H1199" s="26" t="s">
        <v>46</v>
      </c>
      <c r="I1199" s="26" t="s">
        <v>339</v>
      </c>
      <c r="J1199" s="26">
        <v>3.0</v>
      </c>
      <c r="K1199" s="26" t="s">
        <v>4969</v>
      </c>
      <c r="L1199" s="26" t="s">
        <v>15</v>
      </c>
      <c r="M1199" s="26" t="s">
        <v>81</v>
      </c>
      <c r="N1199" s="26" t="s">
        <v>307</v>
      </c>
      <c r="O1199" s="26">
        <v>4.0</v>
      </c>
    </row>
    <row r="1200" ht="15.75" customHeight="1">
      <c r="A1200" s="26" t="s">
        <v>4970</v>
      </c>
      <c r="B1200" s="26" t="s">
        <v>4971</v>
      </c>
      <c r="C1200" s="26" t="s">
        <v>429</v>
      </c>
      <c r="D1200" s="26" t="s">
        <v>36</v>
      </c>
      <c r="E1200" s="26" t="s">
        <v>4972</v>
      </c>
      <c r="F1200" s="26" t="s">
        <v>315</v>
      </c>
      <c r="G1200" s="26" t="s">
        <v>47</v>
      </c>
      <c r="H1200" s="26" t="s">
        <v>34</v>
      </c>
      <c r="I1200" s="26" t="s">
        <v>116</v>
      </c>
      <c r="J1200" s="26">
        <v>2.0</v>
      </c>
      <c r="K1200" s="26" t="s">
        <v>4973</v>
      </c>
      <c r="L1200" s="26" t="s">
        <v>23</v>
      </c>
      <c r="M1200" s="26" t="s">
        <v>94</v>
      </c>
      <c r="N1200" s="26" t="s">
        <v>307</v>
      </c>
      <c r="O1200" s="26">
        <v>4.0</v>
      </c>
    </row>
    <row r="1201" ht="15.75" customHeight="1">
      <c r="A1201" s="26" t="s">
        <v>4974</v>
      </c>
      <c r="B1201" s="26" t="s">
        <v>4975</v>
      </c>
      <c r="C1201" s="26" t="s">
        <v>312</v>
      </c>
      <c r="D1201" s="26" t="s">
        <v>48</v>
      </c>
      <c r="E1201" s="26" t="s">
        <v>4976</v>
      </c>
      <c r="F1201" s="26" t="s">
        <v>1014</v>
      </c>
      <c r="G1201" s="26" t="s">
        <v>248</v>
      </c>
      <c r="H1201" s="26" t="s">
        <v>46</v>
      </c>
      <c r="I1201" s="26"/>
      <c r="J1201" s="26">
        <v>1.0</v>
      </c>
      <c r="K1201" s="26" t="s">
        <v>4977</v>
      </c>
      <c r="L1201" s="26" t="s">
        <v>23</v>
      </c>
      <c r="M1201" s="26" t="s">
        <v>94</v>
      </c>
      <c r="N1201" s="26" t="s">
        <v>307</v>
      </c>
      <c r="O1201" s="26">
        <v>0.0</v>
      </c>
    </row>
    <row r="1202" ht="15.75" customHeight="1">
      <c r="A1202" s="26" t="s">
        <v>4978</v>
      </c>
      <c r="B1202" s="26" t="s">
        <v>4979</v>
      </c>
      <c r="C1202" s="26" t="s">
        <v>363</v>
      </c>
      <c r="D1202" s="26" t="s">
        <v>72</v>
      </c>
      <c r="E1202" s="26" t="s">
        <v>1130</v>
      </c>
      <c r="F1202" s="26" t="s">
        <v>1394</v>
      </c>
      <c r="G1202" s="26" t="s">
        <v>109</v>
      </c>
      <c r="H1202" s="26" t="s">
        <v>61</v>
      </c>
      <c r="I1202" s="26" t="s">
        <v>1133</v>
      </c>
      <c r="J1202" s="26">
        <v>2.0</v>
      </c>
      <c r="K1202" s="26" t="s">
        <v>4980</v>
      </c>
      <c r="L1202" s="26" t="s">
        <v>15</v>
      </c>
      <c r="M1202" s="26" t="s">
        <v>81</v>
      </c>
      <c r="N1202" s="26" t="s">
        <v>307</v>
      </c>
      <c r="O1202" s="26">
        <v>3.0</v>
      </c>
    </row>
    <row r="1203" ht="15.75" customHeight="1">
      <c r="A1203" s="26" t="s">
        <v>4981</v>
      </c>
      <c r="B1203" s="26" t="s">
        <v>4982</v>
      </c>
      <c r="C1203" s="26" t="s">
        <v>363</v>
      </c>
      <c r="D1203" s="26" t="s">
        <v>76</v>
      </c>
      <c r="E1203" s="26" t="s">
        <v>4983</v>
      </c>
      <c r="F1203" s="26" t="s">
        <v>2666</v>
      </c>
      <c r="G1203" s="26" t="s">
        <v>1205</v>
      </c>
      <c r="H1203" s="26" t="s">
        <v>49</v>
      </c>
      <c r="I1203" s="26"/>
      <c r="J1203" s="26">
        <v>1.0</v>
      </c>
      <c r="K1203" s="26" t="s">
        <v>4984</v>
      </c>
      <c r="L1203" s="26" t="s">
        <v>15</v>
      </c>
      <c r="M1203" s="26" t="s">
        <v>81</v>
      </c>
      <c r="N1203" s="26" t="s">
        <v>307</v>
      </c>
      <c r="O1203" s="26">
        <v>3.0</v>
      </c>
    </row>
    <row r="1204" ht="15.75" customHeight="1">
      <c r="A1204" s="26" t="s">
        <v>4985</v>
      </c>
      <c r="B1204" s="26" t="s">
        <v>4986</v>
      </c>
      <c r="C1204" s="26" t="s">
        <v>300</v>
      </c>
      <c r="D1204" s="26" t="s">
        <v>45</v>
      </c>
      <c r="E1204" s="26" t="s">
        <v>4987</v>
      </c>
      <c r="F1204" s="26" t="s">
        <v>1647</v>
      </c>
      <c r="G1204" s="26" t="s">
        <v>82</v>
      </c>
      <c r="H1204" s="26" t="s">
        <v>34</v>
      </c>
      <c r="I1204" s="26"/>
      <c r="J1204" s="26">
        <v>1.0</v>
      </c>
      <c r="K1204" s="26" t="s">
        <v>4988</v>
      </c>
      <c r="L1204" s="26" t="s">
        <v>15</v>
      </c>
      <c r="M1204" s="26" t="s">
        <v>81</v>
      </c>
      <c r="N1204" s="26" t="s">
        <v>307</v>
      </c>
      <c r="O1204" s="26">
        <v>1.0</v>
      </c>
    </row>
    <row r="1205" ht="15.75" customHeight="1">
      <c r="A1205" s="26" t="s">
        <v>4989</v>
      </c>
      <c r="B1205" s="26" t="s">
        <v>4990</v>
      </c>
      <c r="C1205" s="26" t="s">
        <v>363</v>
      </c>
      <c r="D1205" s="26" t="s">
        <v>36</v>
      </c>
      <c r="E1205" s="26" t="s">
        <v>4991</v>
      </c>
      <c r="F1205" s="26" t="s">
        <v>1583</v>
      </c>
      <c r="G1205" s="26" t="s">
        <v>73</v>
      </c>
      <c r="H1205" s="26" t="s">
        <v>46</v>
      </c>
      <c r="I1205" s="26"/>
      <c r="J1205" s="26">
        <v>1.0</v>
      </c>
      <c r="K1205" s="26" t="s">
        <v>4992</v>
      </c>
      <c r="L1205" s="26" t="s">
        <v>19</v>
      </c>
      <c r="M1205" s="26" t="s">
        <v>87</v>
      </c>
      <c r="N1205" s="26" t="s">
        <v>307</v>
      </c>
      <c r="O1205" s="26">
        <v>2.0</v>
      </c>
    </row>
    <row r="1206" ht="15.75" customHeight="1">
      <c r="A1206" s="26" t="s">
        <v>4993</v>
      </c>
      <c r="B1206" s="26" t="s">
        <v>4994</v>
      </c>
      <c r="C1206" s="26" t="s">
        <v>363</v>
      </c>
      <c r="D1206" s="26" t="s">
        <v>36</v>
      </c>
      <c r="E1206" s="26" t="s">
        <v>4995</v>
      </c>
      <c r="F1206" s="26" t="s">
        <v>681</v>
      </c>
      <c r="G1206" s="26" t="s">
        <v>58</v>
      </c>
      <c r="H1206" s="26" t="s">
        <v>49</v>
      </c>
      <c r="I1206" s="26"/>
      <c r="J1206" s="26">
        <v>1.0</v>
      </c>
      <c r="K1206" s="26" t="s">
        <v>4996</v>
      </c>
      <c r="L1206" s="26" t="s">
        <v>19</v>
      </c>
      <c r="M1206" s="26" t="s">
        <v>87</v>
      </c>
      <c r="N1206" s="26" t="s">
        <v>307</v>
      </c>
      <c r="O1206" s="26">
        <v>4.0</v>
      </c>
    </row>
    <row r="1207" ht="15.75" customHeight="1">
      <c r="A1207" s="26" t="s">
        <v>4997</v>
      </c>
      <c r="B1207" s="26" t="s">
        <v>4998</v>
      </c>
      <c r="C1207" s="26" t="s">
        <v>892</v>
      </c>
      <c r="D1207" s="26" t="s">
        <v>72</v>
      </c>
      <c r="E1207" s="26" t="s">
        <v>1177</v>
      </c>
      <c r="F1207" s="26" t="s">
        <v>4999</v>
      </c>
      <c r="G1207" s="26" t="s">
        <v>110</v>
      </c>
      <c r="H1207" s="26" t="s">
        <v>71</v>
      </c>
      <c r="I1207" s="26"/>
      <c r="J1207" s="26">
        <v>1.0</v>
      </c>
      <c r="K1207" s="26" t="s">
        <v>5000</v>
      </c>
      <c r="L1207" s="26" t="s">
        <v>15</v>
      </c>
      <c r="M1207" s="26" t="s">
        <v>81</v>
      </c>
      <c r="N1207" s="26" t="s">
        <v>307</v>
      </c>
      <c r="O1207" s="26">
        <v>3.0</v>
      </c>
    </row>
    <row r="1208" ht="15.75" customHeight="1">
      <c r="A1208" s="26" t="s">
        <v>5001</v>
      </c>
      <c r="B1208" s="26" t="s">
        <v>5002</v>
      </c>
      <c r="C1208" s="26" t="s">
        <v>312</v>
      </c>
      <c r="D1208" s="26" t="s">
        <v>36</v>
      </c>
      <c r="E1208" s="26" t="s">
        <v>5003</v>
      </c>
      <c r="F1208" s="26" t="s">
        <v>315</v>
      </c>
      <c r="G1208" s="26" t="s">
        <v>47</v>
      </c>
      <c r="H1208" s="26" t="s">
        <v>34</v>
      </c>
      <c r="I1208" s="26" t="s">
        <v>73</v>
      </c>
      <c r="J1208" s="26">
        <v>2.0</v>
      </c>
      <c r="K1208" s="26" t="s">
        <v>5004</v>
      </c>
      <c r="L1208" s="26" t="s">
        <v>15</v>
      </c>
      <c r="M1208" s="26" t="s">
        <v>81</v>
      </c>
      <c r="N1208" s="26" t="s">
        <v>307</v>
      </c>
      <c r="O1208" s="26">
        <v>3.0</v>
      </c>
    </row>
    <row r="1209" ht="15.75" customHeight="1">
      <c r="A1209" s="26" t="s">
        <v>5005</v>
      </c>
      <c r="B1209" s="26" t="s">
        <v>5006</v>
      </c>
      <c r="C1209" s="26" t="s">
        <v>312</v>
      </c>
      <c r="D1209" s="26" t="s">
        <v>36</v>
      </c>
      <c r="E1209" s="26" t="s">
        <v>5007</v>
      </c>
      <c r="F1209" s="26" t="s">
        <v>1583</v>
      </c>
      <c r="G1209" s="26" t="s">
        <v>73</v>
      </c>
      <c r="H1209" s="26" t="s">
        <v>46</v>
      </c>
      <c r="I1209" s="26" t="s">
        <v>108</v>
      </c>
      <c r="J1209" s="26">
        <v>2.0</v>
      </c>
      <c r="K1209" s="26" t="s">
        <v>5008</v>
      </c>
      <c r="L1209" s="26" t="s">
        <v>15</v>
      </c>
      <c r="M1209" s="26" t="s">
        <v>81</v>
      </c>
      <c r="N1209" s="26" t="s">
        <v>307</v>
      </c>
      <c r="O1209" s="26">
        <v>3.0</v>
      </c>
    </row>
    <row r="1210" ht="15.75" customHeight="1">
      <c r="A1210" s="26" t="s">
        <v>5009</v>
      </c>
      <c r="B1210" s="26" t="s">
        <v>5010</v>
      </c>
      <c r="C1210" s="26" t="s">
        <v>429</v>
      </c>
      <c r="D1210" s="26" t="s">
        <v>48</v>
      </c>
      <c r="E1210" s="26" t="s">
        <v>5011</v>
      </c>
      <c r="F1210" s="26" t="s">
        <v>1014</v>
      </c>
      <c r="G1210" s="26" t="s">
        <v>248</v>
      </c>
      <c r="H1210" s="26" t="s">
        <v>46</v>
      </c>
      <c r="I1210" s="26"/>
      <c r="J1210" s="26">
        <v>1.0</v>
      </c>
      <c r="K1210" s="26" t="s">
        <v>5012</v>
      </c>
      <c r="L1210" s="26" t="s">
        <v>15</v>
      </c>
      <c r="M1210" s="26" t="s">
        <v>81</v>
      </c>
      <c r="N1210" s="26" t="s">
        <v>307</v>
      </c>
      <c r="O1210" s="26">
        <v>4.0</v>
      </c>
    </row>
    <row r="1211" ht="15.75" customHeight="1">
      <c r="A1211" s="26" t="s">
        <v>5013</v>
      </c>
      <c r="B1211" s="26" t="s">
        <v>5014</v>
      </c>
      <c r="C1211" s="26" t="s">
        <v>363</v>
      </c>
      <c r="D1211" s="26" t="s">
        <v>48</v>
      </c>
      <c r="E1211" s="26" t="s">
        <v>5015</v>
      </c>
      <c r="F1211" s="26" t="s">
        <v>834</v>
      </c>
      <c r="G1211" s="26" t="s">
        <v>267</v>
      </c>
      <c r="H1211" s="26" t="s">
        <v>34</v>
      </c>
      <c r="I1211" s="26" t="s">
        <v>365</v>
      </c>
      <c r="J1211" s="26">
        <v>3.0</v>
      </c>
      <c r="K1211" s="26" t="s">
        <v>5016</v>
      </c>
      <c r="L1211" s="26" t="s">
        <v>15</v>
      </c>
      <c r="M1211" s="26" t="s">
        <v>81</v>
      </c>
      <c r="N1211" s="26" t="s">
        <v>307</v>
      </c>
      <c r="O1211" s="26">
        <v>4.0</v>
      </c>
    </row>
    <row r="1212" ht="15.75" customHeight="1">
      <c r="A1212" s="26" t="s">
        <v>5017</v>
      </c>
      <c r="B1212" s="26" t="s">
        <v>5018</v>
      </c>
      <c r="C1212" s="26" t="s">
        <v>363</v>
      </c>
      <c r="D1212" s="26" t="s">
        <v>48</v>
      </c>
      <c r="E1212" s="26" t="s">
        <v>5019</v>
      </c>
      <c r="F1212" s="26" t="s">
        <v>1727</v>
      </c>
      <c r="G1212" s="26" t="s">
        <v>284</v>
      </c>
      <c r="H1212" s="26" t="s">
        <v>46</v>
      </c>
      <c r="I1212" s="26"/>
      <c r="J1212" s="26">
        <v>0.0</v>
      </c>
      <c r="K1212" s="26" t="s">
        <v>5020</v>
      </c>
      <c r="L1212" s="26" t="s">
        <v>15</v>
      </c>
      <c r="M1212" s="26" t="s">
        <v>81</v>
      </c>
      <c r="N1212" s="26" t="s">
        <v>307</v>
      </c>
      <c r="O1212" s="26">
        <v>4.0</v>
      </c>
    </row>
    <row r="1213" ht="15.75" customHeight="1">
      <c r="A1213" s="26" t="s">
        <v>5021</v>
      </c>
      <c r="B1213" s="26" t="s">
        <v>5022</v>
      </c>
      <c r="C1213" s="26" t="s">
        <v>363</v>
      </c>
      <c r="D1213" s="26" t="s">
        <v>48</v>
      </c>
      <c r="E1213" s="26" t="s">
        <v>5023</v>
      </c>
      <c r="F1213" s="26" t="s">
        <v>973</v>
      </c>
      <c r="G1213" s="26" t="s">
        <v>299</v>
      </c>
      <c r="H1213" s="26" t="s">
        <v>34</v>
      </c>
      <c r="I1213" s="26" t="s">
        <v>248</v>
      </c>
      <c r="J1213" s="26">
        <v>4.0</v>
      </c>
      <c r="K1213" s="26" t="s">
        <v>5024</v>
      </c>
      <c r="L1213" s="26" t="s">
        <v>15</v>
      </c>
      <c r="M1213" s="26" t="s">
        <v>81</v>
      </c>
      <c r="N1213" s="26" t="s">
        <v>307</v>
      </c>
      <c r="O1213" s="26">
        <v>4.0</v>
      </c>
    </row>
    <row r="1214" ht="15.75" customHeight="1">
      <c r="A1214" s="26" t="s">
        <v>5025</v>
      </c>
      <c r="B1214" s="26" t="s">
        <v>5026</v>
      </c>
      <c r="C1214" s="26" t="s">
        <v>363</v>
      </c>
      <c r="D1214" s="26" t="s">
        <v>48</v>
      </c>
      <c r="E1214" s="26" t="s">
        <v>5027</v>
      </c>
      <c r="F1214" s="26" t="s">
        <v>366</v>
      </c>
      <c r="G1214" s="26" t="s">
        <v>258</v>
      </c>
      <c r="H1214" s="26" t="s">
        <v>61</v>
      </c>
      <c r="I1214" s="26" t="s">
        <v>267</v>
      </c>
      <c r="J1214" s="26">
        <v>2.0</v>
      </c>
      <c r="K1214" s="26" t="s">
        <v>5028</v>
      </c>
      <c r="L1214" s="26" t="s">
        <v>15</v>
      </c>
      <c r="M1214" s="26" t="s">
        <v>81</v>
      </c>
      <c r="N1214" s="26" t="s">
        <v>307</v>
      </c>
      <c r="O1214" s="26">
        <v>4.0</v>
      </c>
    </row>
    <row r="1215" ht="15.75" customHeight="1">
      <c r="A1215" s="26" t="s">
        <v>5029</v>
      </c>
      <c r="B1215" s="26" t="s">
        <v>5030</v>
      </c>
      <c r="C1215" s="26" t="s">
        <v>312</v>
      </c>
      <c r="D1215" s="26" t="s">
        <v>48</v>
      </c>
      <c r="E1215" s="26" t="s">
        <v>550</v>
      </c>
      <c r="F1215" s="26" t="s">
        <v>463</v>
      </c>
      <c r="G1215" s="26" t="s">
        <v>365</v>
      </c>
      <c r="H1215" s="26" t="s">
        <v>53</v>
      </c>
      <c r="I1215" s="26"/>
      <c r="J1215" s="26">
        <v>1.0</v>
      </c>
      <c r="K1215" s="26" t="s">
        <v>5031</v>
      </c>
      <c r="L1215" s="26" t="s">
        <v>15</v>
      </c>
      <c r="M1215" s="26" t="s">
        <v>81</v>
      </c>
      <c r="N1215" s="26" t="s">
        <v>307</v>
      </c>
      <c r="O1215" s="26">
        <v>4.0</v>
      </c>
    </row>
    <row r="1216" ht="15.75" customHeight="1">
      <c r="A1216" s="26" t="s">
        <v>5032</v>
      </c>
      <c r="B1216" s="26" t="s">
        <v>5033</v>
      </c>
      <c r="C1216" s="26" t="s">
        <v>312</v>
      </c>
      <c r="D1216" s="26" t="s">
        <v>48</v>
      </c>
      <c r="E1216" s="26" t="s">
        <v>5034</v>
      </c>
      <c r="F1216" s="26" t="s">
        <v>463</v>
      </c>
      <c r="G1216" s="26" t="s">
        <v>365</v>
      </c>
      <c r="H1216" s="26" t="s">
        <v>53</v>
      </c>
      <c r="I1216" s="26"/>
      <c r="J1216" s="26">
        <v>1.0</v>
      </c>
      <c r="K1216" s="26" t="s">
        <v>491</v>
      </c>
      <c r="L1216" s="26" t="s">
        <v>29</v>
      </c>
      <c r="M1216" s="26" t="s">
        <v>95</v>
      </c>
      <c r="N1216" s="26" t="s">
        <v>307</v>
      </c>
      <c r="O1216" s="26">
        <v>4.0</v>
      </c>
    </row>
    <row r="1217" ht="15.75" customHeight="1">
      <c r="A1217" s="26" t="s">
        <v>5035</v>
      </c>
      <c r="B1217" s="26" t="s">
        <v>5036</v>
      </c>
      <c r="C1217" s="26" t="s">
        <v>363</v>
      </c>
      <c r="D1217" s="26" t="s">
        <v>48</v>
      </c>
      <c r="E1217" s="26" t="s">
        <v>5037</v>
      </c>
      <c r="F1217" s="26" t="s">
        <v>366</v>
      </c>
      <c r="G1217" s="26" t="s">
        <v>258</v>
      </c>
      <c r="H1217" s="26" t="s">
        <v>61</v>
      </c>
      <c r="I1217" s="26" t="s">
        <v>248</v>
      </c>
      <c r="J1217" s="26">
        <v>2.0</v>
      </c>
      <c r="K1217" s="26" t="s">
        <v>5038</v>
      </c>
      <c r="L1217" s="26" t="s">
        <v>15</v>
      </c>
      <c r="M1217" s="26" t="s">
        <v>81</v>
      </c>
      <c r="N1217" s="26" t="s">
        <v>307</v>
      </c>
      <c r="O1217" s="26">
        <v>4.0</v>
      </c>
    </row>
    <row r="1218" ht="15.75" customHeight="1">
      <c r="A1218" s="26" t="s">
        <v>5039</v>
      </c>
      <c r="B1218" s="26" t="s">
        <v>5040</v>
      </c>
      <c r="C1218" s="26" t="s">
        <v>300</v>
      </c>
      <c r="D1218" s="26" t="s">
        <v>48</v>
      </c>
      <c r="E1218" s="26" t="s">
        <v>5041</v>
      </c>
      <c r="F1218" s="26" t="s">
        <v>366</v>
      </c>
      <c r="G1218" s="26" t="s">
        <v>258</v>
      </c>
      <c r="H1218" s="26" t="s">
        <v>61</v>
      </c>
      <c r="I1218" s="26"/>
      <c r="J1218" s="26">
        <v>1.0</v>
      </c>
      <c r="K1218" s="26" t="s">
        <v>5042</v>
      </c>
      <c r="L1218" s="26" t="s">
        <v>15</v>
      </c>
      <c r="M1218" s="26" t="s">
        <v>81</v>
      </c>
      <c r="N1218" s="26" t="s">
        <v>307</v>
      </c>
      <c r="O1218" s="26">
        <v>4.0</v>
      </c>
    </row>
    <row r="1219" ht="15.75" customHeight="1">
      <c r="A1219" s="26" t="s">
        <v>5043</v>
      </c>
      <c r="B1219" s="26" t="s">
        <v>5044</v>
      </c>
      <c r="C1219" s="26" t="s">
        <v>312</v>
      </c>
      <c r="D1219" s="26" t="s">
        <v>48</v>
      </c>
      <c r="E1219" s="26" t="s">
        <v>5045</v>
      </c>
      <c r="F1219" s="26" t="s">
        <v>973</v>
      </c>
      <c r="G1219" s="26" t="s">
        <v>299</v>
      </c>
      <c r="H1219" s="26" t="s">
        <v>34</v>
      </c>
      <c r="I1219" s="26"/>
      <c r="J1219" s="26">
        <v>1.0</v>
      </c>
      <c r="K1219" s="26" t="s">
        <v>5046</v>
      </c>
      <c r="L1219" s="26" t="s">
        <v>15</v>
      </c>
      <c r="M1219" s="26" t="s">
        <v>81</v>
      </c>
      <c r="N1219" s="26" t="s">
        <v>307</v>
      </c>
      <c r="O1219" s="26">
        <v>4.0</v>
      </c>
    </row>
    <row r="1220" ht="15.75" customHeight="1">
      <c r="A1220" s="26" t="s">
        <v>5047</v>
      </c>
      <c r="B1220" s="26" t="s">
        <v>5048</v>
      </c>
      <c r="C1220" s="26" t="s">
        <v>363</v>
      </c>
      <c r="D1220" s="26" t="s">
        <v>48</v>
      </c>
      <c r="E1220" s="26" t="s">
        <v>5049</v>
      </c>
      <c r="F1220" s="26" t="s">
        <v>463</v>
      </c>
      <c r="G1220" s="26" t="s">
        <v>365</v>
      </c>
      <c r="H1220" s="26" t="s">
        <v>53</v>
      </c>
      <c r="I1220" s="26"/>
      <c r="J1220" s="26">
        <v>1.0</v>
      </c>
      <c r="K1220" s="26" t="s">
        <v>5050</v>
      </c>
      <c r="L1220" s="26" t="s">
        <v>15</v>
      </c>
      <c r="M1220" s="26" t="s">
        <v>81</v>
      </c>
      <c r="N1220" s="26" t="s">
        <v>307</v>
      </c>
      <c r="O1220" s="26">
        <v>4.0</v>
      </c>
    </row>
    <row r="1221" ht="15.75" customHeight="1">
      <c r="A1221" s="26" t="s">
        <v>5051</v>
      </c>
      <c r="B1221" s="26" t="s">
        <v>5052</v>
      </c>
      <c r="C1221" s="26" t="s">
        <v>429</v>
      </c>
      <c r="D1221" s="26" t="s">
        <v>45</v>
      </c>
      <c r="E1221" s="26" t="s">
        <v>5053</v>
      </c>
      <c r="F1221" s="26" t="s">
        <v>799</v>
      </c>
      <c r="G1221" s="26" t="s">
        <v>130</v>
      </c>
      <c r="H1221" s="26" t="s">
        <v>34</v>
      </c>
      <c r="I1221" s="26"/>
      <c r="J1221" s="26">
        <v>1.0</v>
      </c>
      <c r="K1221" s="26" t="s">
        <v>4988</v>
      </c>
      <c r="L1221" s="26" t="s">
        <v>15</v>
      </c>
      <c r="M1221" s="26" t="s">
        <v>81</v>
      </c>
      <c r="N1221" s="26" t="s">
        <v>307</v>
      </c>
      <c r="O1221" s="26">
        <v>1.0</v>
      </c>
    </row>
    <row r="1222" ht="15.75" customHeight="1">
      <c r="A1222" s="26" t="s">
        <v>5054</v>
      </c>
      <c r="B1222" s="26" t="s">
        <v>5055</v>
      </c>
      <c r="C1222" s="26" t="s">
        <v>363</v>
      </c>
      <c r="D1222" s="26" t="s">
        <v>48</v>
      </c>
      <c r="E1222" s="26" t="s">
        <v>441</v>
      </c>
      <c r="F1222" s="26" t="s">
        <v>366</v>
      </c>
      <c r="G1222" s="26" t="s">
        <v>258</v>
      </c>
      <c r="H1222" s="26" t="s">
        <v>61</v>
      </c>
      <c r="I1222" s="26"/>
      <c r="J1222" s="26">
        <v>1.0</v>
      </c>
      <c r="K1222" s="26" t="s">
        <v>5056</v>
      </c>
      <c r="L1222" s="26" t="s">
        <v>15</v>
      </c>
      <c r="M1222" s="26" t="s">
        <v>81</v>
      </c>
      <c r="N1222" s="26" t="s">
        <v>307</v>
      </c>
      <c r="O1222" s="26">
        <v>4.0</v>
      </c>
    </row>
    <row r="1223" ht="15.75" customHeight="1">
      <c r="A1223" s="26" t="s">
        <v>5057</v>
      </c>
      <c r="B1223" s="26" t="s">
        <v>5058</v>
      </c>
      <c r="C1223" s="26" t="s">
        <v>300</v>
      </c>
      <c r="D1223" s="26" t="s">
        <v>48</v>
      </c>
      <c r="E1223" s="26" t="s">
        <v>5059</v>
      </c>
      <c r="F1223" s="26" t="s">
        <v>366</v>
      </c>
      <c r="G1223" s="26" t="s">
        <v>258</v>
      </c>
      <c r="H1223" s="26" t="s">
        <v>61</v>
      </c>
      <c r="I1223" s="26" t="s">
        <v>248</v>
      </c>
      <c r="J1223" s="26">
        <v>4.0</v>
      </c>
      <c r="K1223" s="26" t="s">
        <v>5060</v>
      </c>
      <c r="L1223" s="26" t="s">
        <v>15</v>
      </c>
      <c r="M1223" s="26" t="s">
        <v>81</v>
      </c>
      <c r="N1223" s="26" t="s">
        <v>307</v>
      </c>
      <c r="O1223" s="26">
        <v>4.0</v>
      </c>
    </row>
    <row r="1224" ht="15.75" customHeight="1">
      <c r="A1224" s="26" t="s">
        <v>5061</v>
      </c>
      <c r="B1224" s="26" t="s">
        <v>5062</v>
      </c>
      <c r="C1224" s="26" t="s">
        <v>312</v>
      </c>
      <c r="D1224" s="26" t="s">
        <v>48</v>
      </c>
      <c r="E1224" s="26" t="s">
        <v>620</v>
      </c>
      <c r="F1224" s="26" t="s">
        <v>391</v>
      </c>
      <c r="G1224" s="26" t="s">
        <v>114</v>
      </c>
      <c r="H1224" s="26" t="s">
        <v>74</v>
      </c>
      <c r="I1224" s="26"/>
      <c r="J1224" s="26">
        <v>0.0</v>
      </c>
      <c r="K1224" s="26" t="s">
        <v>5063</v>
      </c>
      <c r="L1224" s="26" t="s">
        <v>15</v>
      </c>
      <c r="M1224" s="26" t="s">
        <v>81</v>
      </c>
      <c r="N1224" s="26" t="s">
        <v>307</v>
      </c>
      <c r="O1224" s="26">
        <v>4.0</v>
      </c>
    </row>
    <row r="1225" ht="15.75" customHeight="1">
      <c r="A1225" s="26" t="s">
        <v>5064</v>
      </c>
      <c r="B1225" s="26" t="s">
        <v>5065</v>
      </c>
      <c r="C1225" s="26" t="s">
        <v>363</v>
      </c>
      <c r="D1225" s="26" t="s">
        <v>48</v>
      </c>
      <c r="E1225" s="26" t="s">
        <v>489</v>
      </c>
      <c r="F1225" s="26" t="s">
        <v>973</v>
      </c>
      <c r="G1225" s="26" t="s">
        <v>299</v>
      </c>
      <c r="H1225" s="26" t="s">
        <v>34</v>
      </c>
      <c r="I1225" s="26"/>
      <c r="J1225" s="26">
        <v>1.0</v>
      </c>
      <c r="K1225" s="26" t="s">
        <v>491</v>
      </c>
      <c r="L1225" s="26" t="s">
        <v>29</v>
      </c>
      <c r="M1225" s="26" t="s">
        <v>95</v>
      </c>
      <c r="N1225" s="26" t="s">
        <v>307</v>
      </c>
      <c r="O1225" s="26">
        <v>4.0</v>
      </c>
    </row>
    <row r="1226" ht="15.75" customHeight="1">
      <c r="A1226" s="26" t="s">
        <v>5066</v>
      </c>
      <c r="B1226" s="26" t="s">
        <v>5067</v>
      </c>
      <c r="C1226" s="26" t="s">
        <v>363</v>
      </c>
      <c r="D1226" s="26" t="s">
        <v>48</v>
      </c>
      <c r="E1226" s="26" t="s">
        <v>5068</v>
      </c>
      <c r="F1226" s="26" t="s">
        <v>973</v>
      </c>
      <c r="G1226" s="26" t="s">
        <v>299</v>
      </c>
      <c r="H1226" s="26" t="s">
        <v>34</v>
      </c>
      <c r="I1226" s="26"/>
      <c r="J1226" s="26">
        <v>1.0</v>
      </c>
      <c r="K1226" s="26" t="s">
        <v>5069</v>
      </c>
      <c r="L1226" s="26" t="s">
        <v>15</v>
      </c>
      <c r="M1226" s="26" t="s">
        <v>81</v>
      </c>
      <c r="N1226" s="26" t="s">
        <v>307</v>
      </c>
      <c r="O1226" s="26">
        <v>4.0</v>
      </c>
    </row>
    <row r="1227" ht="15.75" customHeight="1">
      <c r="A1227" s="26" t="s">
        <v>5070</v>
      </c>
      <c r="B1227" s="26" t="s">
        <v>5071</v>
      </c>
      <c r="C1227" s="26" t="s">
        <v>300</v>
      </c>
      <c r="D1227" s="26" t="s">
        <v>48</v>
      </c>
      <c r="E1227" s="26" t="s">
        <v>5072</v>
      </c>
      <c r="F1227" s="26" t="s">
        <v>1727</v>
      </c>
      <c r="G1227" s="26" t="s">
        <v>284</v>
      </c>
      <c r="H1227" s="26" t="s">
        <v>46</v>
      </c>
      <c r="I1227" s="26"/>
      <c r="J1227" s="26">
        <v>0.0</v>
      </c>
      <c r="K1227" s="26" t="s">
        <v>5073</v>
      </c>
      <c r="L1227" s="26" t="s">
        <v>15</v>
      </c>
      <c r="M1227" s="26" t="s">
        <v>81</v>
      </c>
      <c r="N1227" s="26" t="s">
        <v>307</v>
      </c>
      <c r="O1227" s="26">
        <v>4.0</v>
      </c>
    </row>
    <row r="1228" ht="15.75" customHeight="1">
      <c r="A1228" s="26" t="s">
        <v>5074</v>
      </c>
      <c r="B1228" s="26" t="s">
        <v>5075</v>
      </c>
      <c r="C1228" s="26" t="s">
        <v>363</v>
      </c>
      <c r="D1228" s="26" t="s">
        <v>48</v>
      </c>
      <c r="E1228" s="26" t="s">
        <v>5076</v>
      </c>
      <c r="F1228" s="26" t="s">
        <v>463</v>
      </c>
      <c r="G1228" s="26" t="s">
        <v>365</v>
      </c>
      <c r="H1228" s="26" t="s">
        <v>53</v>
      </c>
      <c r="I1228" s="26"/>
      <c r="J1228" s="26">
        <v>1.0</v>
      </c>
      <c r="K1228" s="26" t="s">
        <v>136</v>
      </c>
      <c r="L1228" s="26" t="s">
        <v>29</v>
      </c>
      <c r="M1228" s="26" t="s">
        <v>95</v>
      </c>
      <c r="N1228" s="26" t="s">
        <v>307</v>
      </c>
      <c r="O1228" s="26">
        <v>4.0</v>
      </c>
    </row>
    <row r="1229" ht="15.75" customHeight="1">
      <c r="A1229" s="26" t="s">
        <v>5077</v>
      </c>
      <c r="B1229" s="26" t="s">
        <v>5078</v>
      </c>
      <c r="C1229" s="26" t="s">
        <v>363</v>
      </c>
      <c r="D1229" s="26" t="s">
        <v>48</v>
      </c>
      <c r="E1229" s="26" t="s">
        <v>5079</v>
      </c>
      <c r="F1229" s="26" t="s">
        <v>1727</v>
      </c>
      <c r="G1229" s="26" t="s">
        <v>284</v>
      </c>
      <c r="H1229" s="26" t="s">
        <v>46</v>
      </c>
      <c r="I1229" s="26"/>
      <c r="J1229" s="26">
        <v>0.0</v>
      </c>
      <c r="K1229" s="26" t="s">
        <v>5080</v>
      </c>
      <c r="L1229" s="26" t="s">
        <v>15</v>
      </c>
      <c r="M1229" s="26" t="s">
        <v>81</v>
      </c>
      <c r="N1229" s="26" t="s">
        <v>307</v>
      </c>
      <c r="O1229" s="26">
        <v>4.0</v>
      </c>
    </row>
    <row r="1230" ht="15.75" customHeight="1">
      <c r="A1230" s="26" t="s">
        <v>5081</v>
      </c>
      <c r="B1230" s="26" t="s">
        <v>5082</v>
      </c>
      <c r="C1230" s="26" t="s">
        <v>300</v>
      </c>
      <c r="D1230" s="26" t="s">
        <v>36</v>
      </c>
      <c r="E1230" s="26" t="s">
        <v>5083</v>
      </c>
      <c r="F1230" s="26" t="s">
        <v>663</v>
      </c>
      <c r="G1230" s="26" t="s">
        <v>44</v>
      </c>
      <c r="H1230" s="26" t="s">
        <v>34</v>
      </c>
      <c r="I1230" s="26" t="s">
        <v>47</v>
      </c>
      <c r="J1230" s="26">
        <v>4.0</v>
      </c>
      <c r="K1230" s="26" t="s">
        <v>5084</v>
      </c>
      <c r="L1230" s="26" t="s">
        <v>15</v>
      </c>
      <c r="M1230" s="26" t="s">
        <v>81</v>
      </c>
      <c r="N1230" s="26" t="s">
        <v>307</v>
      </c>
      <c r="O1230" s="26">
        <v>4.0</v>
      </c>
    </row>
    <row r="1231" ht="15.75" customHeight="1">
      <c r="A1231" s="26" t="s">
        <v>5085</v>
      </c>
      <c r="B1231" s="26" t="s">
        <v>5086</v>
      </c>
      <c r="C1231" s="26" t="s">
        <v>429</v>
      </c>
      <c r="D1231" s="26" t="s">
        <v>36</v>
      </c>
      <c r="E1231" s="26" t="s">
        <v>5087</v>
      </c>
      <c r="F1231" s="26" t="s">
        <v>2025</v>
      </c>
      <c r="G1231" s="26" t="s">
        <v>82</v>
      </c>
      <c r="H1231" s="26" t="s">
        <v>34</v>
      </c>
      <c r="I1231" s="26"/>
      <c r="J1231" s="26">
        <v>1.0</v>
      </c>
      <c r="K1231" s="26" t="s">
        <v>1190</v>
      </c>
      <c r="L1231" s="26" t="s">
        <v>29</v>
      </c>
      <c r="M1231" s="26" t="s">
        <v>95</v>
      </c>
      <c r="N1231" s="26" t="s">
        <v>307</v>
      </c>
      <c r="O1231" s="26">
        <v>4.0</v>
      </c>
    </row>
    <row r="1232" ht="15.75" customHeight="1">
      <c r="A1232" s="26" t="s">
        <v>5088</v>
      </c>
      <c r="B1232" s="26" t="s">
        <v>5089</v>
      </c>
      <c r="C1232" s="26" t="s">
        <v>429</v>
      </c>
      <c r="D1232" s="26" t="s">
        <v>36</v>
      </c>
      <c r="E1232" s="26" t="s">
        <v>5090</v>
      </c>
      <c r="F1232" s="26" t="s">
        <v>663</v>
      </c>
      <c r="G1232" s="26" t="s">
        <v>44</v>
      </c>
      <c r="H1232" s="26" t="s">
        <v>34</v>
      </c>
      <c r="I1232" s="26" t="s">
        <v>101</v>
      </c>
      <c r="J1232" s="26">
        <v>3.0</v>
      </c>
      <c r="K1232" s="26" t="s">
        <v>5091</v>
      </c>
      <c r="L1232" s="26" t="s">
        <v>15</v>
      </c>
      <c r="M1232" s="26" t="s">
        <v>81</v>
      </c>
      <c r="N1232" s="26" t="s">
        <v>307</v>
      </c>
      <c r="O1232" s="26">
        <v>4.0</v>
      </c>
    </row>
    <row r="1233" ht="15.75" customHeight="1">
      <c r="A1233" s="26" t="s">
        <v>5092</v>
      </c>
      <c r="B1233" s="26" t="s">
        <v>5093</v>
      </c>
      <c r="C1233" s="26" t="s">
        <v>363</v>
      </c>
      <c r="D1233" s="26" t="s">
        <v>48</v>
      </c>
      <c r="E1233" s="26" t="s">
        <v>5094</v>
      </c>
      <c r="F1233" s="26" t="s">
        <v>984</v>
      </c>
      <c r="G1233" s="26" t="s">
        <v>265</v>
      </c>
      <c r="H1233" s="26" t="s">
        <v>34</v>
      </c>
      <c r="I1233" s="26" t="s">
        <v>267</v>
      </c>
      <c r="J1233" s="26">
        <v>3.0</v>
      </c>
      <c r="K1233" s="26" t="s">
        <v>5095</v>
      </c>
      <c r="L1233" s="26" t="s">
        <v>15</v>
      </c>
      <c r="M1233" s="26" t="s">
        <v>81</v>
      </c>
      <c r="N1233" s="26" t="s">
        <v>307</v>
      </c>
      <c r="O1233" s="26">
        <v>3.0</v>
      </c>
    </row>
    <row r="1234" ht="15.75" customHeight="1">
      <c r="A1234" s="26" t="s">
        <v>5096</v>
      </c>
      <c r="B1234" s="26" t="s">
        <v>5097</v>
      </c>
      <c r="C1234" s="26" t="s">
        <v>300</v>
      </c>
      <c r="D1234" s="26" t="s">
        <v>36</v>
      </c>
      <c r="E1234" s="26" t="s">
        <v>5098</v>
      </c>
      <c r="F1234" s="26" t="s">
        <v>681</v>
      </c>
      <c r="G1234" s="26" t="s">
        <v>58</v>
      </c>
      <c r="H1234" s="26" t="s">
        <v>49</v>
      </c>
      <c r="I1234" s="26" t="s">
        <v>106</v>
      </c>
      <c r="J1234" s="26">
        <v>2.0</v>
      </c>
      <c r="K1234" s="26" t="s">
        <v>5099</v>
      </c>
      <c r="L1234" s="26" t="s">
        <v>15</v>
      </c>
      <c r="M1234" s="26" t="s">
        <v>81</v>
      </c>
      <c r="N1234" s="26" t="s">
        <v>307</v>
      </c>
      <c r="O1234" s="26">
        <v>3.0</v>
      </c>
    </row>
    <row r="1235" ht="15.75" customHeight="1">
      <c r="A1235" s="26" t="s">
        <v>5100</v>
      </c>
      <c r="B1235" s="26" t="s">
        <v>5101</v>
      </c>
      <c r="C1235" s="26" t="s">
        <v>300</v>
      </c>
      <c r="D1235" s="26" t="s">
        <v>50</v>
      </c>
      <c r="E1235" s="26" t="s">
        <v>5102</v>
      </c>
      <c r="F1235" s="26" t="s">
        <v>1877</v>
      </c>
      <c r="G1235" s="26" t="s">
        <v>311</v>
      </c>
      <c r="H1235" s="26" t="s">
        <v>34</v>
      </c>
      <c r="I1235" s="26" t="s">
        <v>328</v>
      </c>
      <c r="J1235" s="26">
        <v>2.0</v>
      </c>
      <c r="K1235" s="26" t="s">
        <v>491</v>
      </c>
      <c r="L1235" s="26" t="s">
        <v>29</v>
      </c>
      <c r="M1235" s="26" t="s">
        <v>95</v>
      </c>
      <c r="N1235" s="26" t="s">
        <v>307</v>
      </c>
      <c r="O1235" s="26">
        <v>3.0</v>
      </c>
    </row>
    <row r="1236" ht="15.75" customHeight="1">
      <c r="A1236" s="26" t="s">
        <v>5103</v>
      </c>
      <c r="B1236" s="26" t="s">
        <v>5104</v>
      </c>
      <c r="C1236" s="26" t="s">
        <v>312</v>
      </c>
      <c r="D1236" s="26" t="s">
        <v>45</v>
      </c>
      <c r="E1236" s="26" t="s">
        <v>5105</v>
      </c>
      <c r="F1236" s="26" t="s">
        <v>799</v>
      </c>
      <c r="G1236" s="26" t="s">
        <v>130</v>
      </c>
      <c r="H1236" s="26" t="s">
        <v>34</v>
      </c>
      <c r="I1236" s="26" t="s">
        <v>82</v>
      </c>
      <c r="J1236" s="26">
        <v>2.0</v>
      </c>
      <c r="K1236" s="26" t="s">
        <v>4936</v>
      </c>
      <c r="L1236" s="26" t="s">
        <v>15</v>
      </c>
      <c r="M1236" s="26" t="s">
        <v>81</v>
      </c>
      <c r="N1236" s="26" t="s">
        <v>307</v>
      </c>
      <c r="O1236" s="26">
        <v>1.0</v>
      </c>
    </row>
    <row r="1237" ht="15.75" customHeight="1">
      <c r="A1237" s="26" t="s">
        <v>5106</v>
      </c>
      <c r="B1237" s="26" t="s">
        <v>5107</v>
      </c>
      <c r="C1237" s="26" t="s">
        <v>312</v>
      </c>
      <c r="D1237" s="26" t="s">
        <v>45</v>
      </c>
      <c r="E1237" s="26" t="s">
        <v>5108</v>
      </c>
      <c r="F1237" s="26" t="s">
        <v>799</v>
      </c>
      <c r="G1237" s="26" t="s">
        <v>130</v>
      </c>
      <c r="H1237" s="26" t="s">
        <v>34</v>
      </c>
      <c r="I1237" s="26"/>
      <c r="J1237" s="26">
        <v>1.0</v>
      </c>
      <c r="K1237" s="26" t="s">
        <v>4936</v>
      </c>
      <c r="L1237" s="26" t="s">
        <v>15</v>
      </c>
      <c r="M1237" s="26" t="s">
        <v>81</v>
      </c>
      <c r="N1237" s="26" t="s">
        <v>307</v>
      </c>
      <c r="O1237" s="26">
        <v>1.0</v>
      </c>
    </row>
    <row r="1238" ht="15.75" customHeight="1">
      <c r="A1238" s="26" t="s">
        <v>5109</v>
      </c>
      <c r="B1238" s="26" t="s">
        <v>5110</v>
      </c>
      <c r="C1238" s="26" t="s">
        <v>363</v>
      </c>
      <c r="D1238" s="26" t="s">
        <v>48</v>
      </c>
      <c r="E1238" s="26" t="s">
        <v>5111</v>
      </c>
      <c r="F1238" s="26" t="s">
        <v>366</v>
      </c>
      <c r="G1238" s="26" t="s">
        <v>258</v>
      </c>
      <c r="H1238" s="26" t="s">
        <v>61</v>
      </c>
      <c r="I1238" s="26"/>
      <c r="J1238" s="26">
        <v>1.0</v>
      </c>
      <c r="K1238" s="26" t="s">
        <v>5112</v>
      </c>
      <c r="L1238" s="26" t="s">
        <v>15</v>
      </c>
      <c r="M1238" s="26" t="s">
        <v>81</v>
      </c>
      <c r="N1238" s="26" t="s">
        <v>307</v>
      </c>
      <c r="O1238" s="26">
        <v>3.0</v>
      </c>
    </row>
    <row r="1239" ht="15.75" customHeight="1">
      <c r="A1239" s="26" t="s">
        <v>5113</v>
      </c>
      <c r="B1239" s="26" t="s">
        <v>5114</v>
      </c>
      <c r="C1239" s="26" t="s">
        <v>300</v>
      </c>
      <c r="D1239" s="26" t="s">
        <v>48</v>
      </c>
      <c r="E1239" s="26" t="s">
        <v>5115</v>
      </c>
      <c r="F1239" s="26" t="s">
        <v>463</v>
      </c>
      <c r="G1239" s="26" t="s">
        <v>365</v>
      </c>
      <c r="H1239" s="26" t="s">
        <v>53</v>
      </c>
      <c r="I1239" s="26"/>
      <c r="J1239" s="26">
        <v>1.0</v>
      </c>
      <c r="K1239" s="26" t="s">
        <v>5116</v>
      </c>
      <c r="L1239" s="26" t="s">
        <v>15</v>
      </c>
      <c r="M1239" s="26" t="s">
        <v>81</v>
      </c>
      <c r="N1239" s="26" t="s">
        <v>307</v>
      </c>
      <c r="O1239" s="26">
        <v>3.0</v>
      </c>
    </row>
    <row r="1240" ht="15.75" customHeight="1">
      <c r="A1240" s="26" t="s">
        <v>5117</v>
      </c>
      <c r="B1240" s="26" t="s">
        <v>5118</v>
      </c>
      <c r="C1240" s="26" t="s">
        <v>312</v>
      </c>
      <c r="D1240" s="26" t="s">
        <v>45</v>
      </c>
      <c r="E1240" s="26" t="s">
        <v>5119</v>
      </c>
      <c r="F1240" s="26" t="s">
        <v>799</v>
      </c>
      <c r="G1240" s="26" t="s">
        <v>130</v>
      </c>
      <c r="H1240" s="26" t="s">
        <v>34</v>
      </c>
      <c r="I1240" s="26" t="s">
        <v>166</v>
      </c>
      <c r="J1240" s="26">
        <v>3.0</v>
      </c>
      <c r="K1240" s="26" t="s">
        <v>491</v>
      </c>
      <c r="L1240" s="26" t="s">
        <v>29</v>
      </c>
      <c r="M1240" s="26" t="s">
        <v>95</v>
      </c>
      <c r="N1240" s="26" t="s">
        <v>307</v>
      </c>
      <c r="O1240" s="26">
        <v>1.0</v>
      </c>
    </row>
    <row r="1241" ht="15.75" customHeight="1">
      <c r="A1241" s="26" t="s">
        <v>5120</v>
      </c>
      <c r="B1241" s="26" t="s">
        <v>5121</v>
      </c>
      <c r="C1241" s="26" t="s">
        <v>363</v>
      </c>
      <c r="D1241" s="26" t="s">
        <v>72</v>
      </c>
      <c r="E1241" s="26" t="s">
        <v>5122</v>
      </c>
      <c r="F1241" s="26" t="s">
        <v>2422</v>
      </c>
      <c r="G1241" s="26" t="s">
        <v>90</v>
      </c>
      <c r="H1241" s="26" t="s">
        <v>34</v>
      </c>
      <c r="I1241" s="26" t="s">
        <v>1184</v>
      </c>
      <c r="J1241" s="26">
        <v>2.0</v>
      </c>
      <c r="K1241" s="26" t="s">
        <v>5123</v>
      </c>
      <c r="L1241" s="26" t="s">
        <v>15</v>
      </c>
      <c r="M1241" s="26" t="s">
        <v>81</v>
      </c>
      <c r="N1241" s="26" t="s">
        <v>307</v>
      </c>
      <c r="O1241" s="26">
        <v>5.0</v>
      </c>
    </row>
    <row r="1242" ht="15.75" customHeight="1">
      <c r="A1242" s="26" t="s">
        <v>5124</v>
      </c>
      <c r="B1242" s="26" t="s">
        <v>5125</v>
      </c>
      <c r="C1242" s="26" t="s">
        <v>363</v>
      </c>
      <c r="D1242" s="26" t="s">
        <v>62</v>
      </c>
      <c r="E1242" s="26" t="s">
        <v>5126</v>
      </c>
      <c r="F1242" s="26" t="s">
        <v>1245</v>
      </c>
      <c r="G1242" s="26" t="s">
        <v>119</v>
      </c>
      <c r="H1242" s="26" t="s">
        <v>57</v>
      </c>
      <c r="I1242" s="26"/>
      <c r="J1242" s="26">
        <v>1.0</v>
      </c>
      <c r="K1242" s="26" t="s">
        <v>136</v>
      </c>
      <c r="L1242" s="26" t="s">
        <v>29</v>
      </c>
      <c r="M1242" s="26" t="s">
        <v>95</v>
      </c>
      <c r="N1242" s="26" t="s">
        <v>307</v>
      </c>
      <c r="O1242" s="26">
        <v>16.0</v>
      </c>
    </row>
    <row r="1243" ht="15.75" customHeight="1">
      <c r="A1243" s="26" t="s">
        <v>5127</v>
      </c>
      <c r="B1243" s="26" t="s">
        <v>5128</v>
      </c>
      <c r="C1243" s="26" t="s">
        <v>363</v>
      </c>
      <c r="D1243" s="26" t="s">
        <v>62</v>
      </c>
      <c r="E1243" s="26" t="s">
        <v>5129</v>
      </c>
      <c r="F1243" s="26" t="s">
        <v>2273</v>
      </c>
      <c r="G1243" s="26" t="s">
        <v>261</v>
      </c>
      <c r="H1243" s="26" t="s">
        <v>46</v>
      </c>
      <c r="I1243" s="26"/>
      <c r="J1243" s="26">
        <v>1.0</v>
      </c>
      <c r="K1243" s="26" t="s">
        <v>5130</v>
      </c>
      <c r="L1243" s="26" t="s">
        <v>15</v>
      </c>
      <c r="M1243" s="26" t="s">
        <v>81</v>
      </c>
      <c r="N1243" s="26" t="s">
        <v>307</v>
      </c>
      <c r="O1243" s="26">
        <v>3.0</v>
      </c>
    </row>
    <row r="1244" ht="15.75" customHeight="1">
      <c r="A1244" s="26" t="s">
        <v>5131</v>
      </c>
      <c r="B1244" s="26" t="s">
        <v>5132</v>
      </c>
      <c r="C1244" s="26" t="s">
        <v>363</v>
      </c>
      <c r="D1244" s="26" t="s">
        <v>62</v>
      </c>
      <c r="E1244" s="26" t="s">
        <v>909</v>
      </c>
      <c r="F1244" s="26" t="s">
        <v>1245</v>
      </c>
      <c r="G1244" s="26" t="s">
        <v>119</v>
      </c>
      <c r="H1244" s="26" t="s">
        <v>57</v>
      </c>
      <c r="I1244" s="26"/>
      <c r="J1244" s="26">
        <v>1.0</v>
      </c>
      <c r="K1244" s="26" t="s">
        <v>910</v>
      </c>
      <c r="L1244" s="26" t="s">
        <v>15</v>
      </c>
      <c r="M1244" s="26" t="s">
        <v>81</v>
      </c>
      <c r="N1244" s="26" t="s">
        <v>307</v>
      </c>
      <c r="O1244" s="26">
        <v>3.0</v>
      </c>
    </row>
    <row r="1245" ht="15.75" customHeight="1">
      <c r="A1245" s="26" t="s">
        <v>5133</v>
      </c>
      <c r="B1245" s="26" t="s">
        <v>5134</v>
      </c>
      <c r="C1245" s="26" t="s">
        <v>300</v>
      </c>
      <c r="D1245" s="26" t="s">
        <v>50</v>
      </c>
      <c r="E1245" s="26" t="s">
        <v>5135</v>
      </c>
      <c r="F1245" s="26" t="s">
        <v>1309</v>
      </c>
      <c r="G1245" s="26" t="s">
        <v>245</v>
      </c>
      <c r="H1245" s="26" t="s">
        <v>57</v>
      </c>
      <c r="I1245" s="26" t="s">
        <v>328</v>
      </c>
      <c r="J1245" s="26">
        <v>3.0</v>
      </c>
      <c r="K1245" s="26" t="s">
        <v>5136</v>
      </c>
      <c r="L1245" s="26" t="s">
        <v>19</v>
      </c>
      <c r="M1245" s="26" t="s">
        <v>66</v>
      </c>
      <c r="N1245" s="26" t="s">
        <v>307</v>
      </c>
      <c r="O1245" s="26">
        <v>3.0</v>
      </c>
    </row>
    <row r="1246" ht="15.75" customHeight="1">
      <c r="A1246" s="26" t="s">
        <v>5137</v>
      </c>
      <c r="B1246" s="26" t="s">
        <v>5138</v>
      </c>
      <c r="C1246" s="26" t="s">
        <v>429</v>
      </c>
      <c r="D1246" s="26" t="s">
        <v>62</v>
      </c>
      <c r="E1246" s="26" t="s">
        <v>5139</v>
      </c>
      <c r="F1246" s="26" t="s">
        <v>1245</v>
      </c>
      <c r="G1246" s="26" t="s">
        <v>119</v>
      </c>
      <c r="H1246" s="26" t="s">
        <v>57</v>
      </c>
      <c r="I1246" s="26"/>
      <c r="J1246" s="26">
        <v>1.0</v>
      </c>
      <c r="K1246" s="26" t="s">
        <v>5140</v>
      </c>
      <c r="L1246" s="26" t="s">
        <v>15</v>
      </c>
      <c r="M1246" s="26" t="s">
        <v>81</v>
      </c>
      <c r="N1246" s="26" t="s">
        <v>307</v>
      </c>
      <c r="O1246" s="26">
        <v>3.0</v>
      </c>
    </row>
    <row r="1247" ht="15.75" customHeight="1">
      <c r="A1247" s="26" t="s">
        <v>5117</v>
      </c>
      <c r="B1247" s="26" t="s">
        <v>5118</v>
      </c>
      <c r="C1247" s="26" t="s">
        <v>312</v>
      </c>
      <c r="D1247" s="26" t="s">
        <v>45</v>
      </c>
      <c r="E1247" s="26" t="s">
        <v>5119</v>
      </c>
      <c r="F1247" s="26" t="s">
        <v>799</v>
      </c>
      <c r="G1247" s="26" t="s">
        <v>130</v>
      </c>
      <c r="H1247" s="26" t="s">
        <v>34</v>
      </c>
      <c r="I1247" s="26" t="s">
        <v>166</v>
      </c>
      <c r="J1247" s="26">
        <v>3.0</v>
      </c>
      <c r="K1247" s="26" t="s">
        <v>4936</v>
      </c>
      <c r="L1247" s="26" t="s">
        <v>15</v>
      </c>
      <c r="M1247" s="26" t="s">
        <v>81</v>
      </c>
      <c r="N1247" s="26" t="s">
        <v>307</v>
      </c>
      <c r="O1247" s="26">
        <v>1.0</v>
      </c>
    </row>
    <row r="1248" ht="15.75" customHeight="1">
      <c r="A1248" s="26" t="s">
        <v>5141</v>
      </c>
      <c r="B1248" s="26" t="s">
        <v>5142</v>
      </c>
      <c r="C1248" s="26" t="s">
        <v>312</v>
      </c>
      <c r="D1248" s="26" t="s">
        <v>48</v>
      </c>
      <c r="E1248" s="26" t="s">
        <v>5143</v>
      </c>
      <c r="F1248" s="26" t="s">
        <v>366</v>
      </c>
      <c r="G1248" s="26" t="s">
        <v>258</v>
      </c>
      <c r="H1248" s="26" t="s">
        <v>61</v>
      </c>
      <c r="I1248" s="26" t="s">
        <v>248</v>
      </c>
      <c r="J1248" s="26">
        <v>3.0</v>
      </c>
      <c r="K1248" s="26" t="s">
        <v>5144</v>
      </c>
      <c r="L1248" s="26" t="s">
        <v>15</v>
      </c>
      <c r="M1248" s="26" t="s">
        <v>81</v>
      </c>
      <c r="N1248" s="26" t="s">
        <v>307</v>
      </c>
      <c r="O1248" s="26">
        <v>3.0</v>
      </c>
    </row>
    <row r="1249" ht="15.75" customHeight="1">
      <c r="A1249" s="26" t="s">
        <v>5145</v>
      </c>
      <c r="B1249" s="26" t="s">
        <v>5146</v>
      </c>
      <c r="C1249" s="26" t="s">
        <v>363</v>
      </c>
      <c r="D1249" s="26" t="s">
        <v>48</v>
      </c>
      <c r="E1249" s="26" t="s">
        <v>546</v>
      </c>
      <c r="F1249" s="26" t="s">
        <v>463</v>
      </c>
      <c r="G1249" s="26" t="s">
        <v>365</v>
      </c>
      <c r="H1249" s="26" t="s">
        <v>53</v>
      </c>
      <c r="I1249" s="26" t="s">
        <v>339</v>
      </c>
      <c r="J1249" s="26">
        <v>2.0</v>
      </c>
      <c r="K1249" s="26" t="s">
        <v>5147</v>
      </c>
      <c r="L1249" s="26" t="s">
        <v>15</v>
      </c>
      <c r="M1249" s="26" t="s">
        <v>81</v>
      </c>
      <c r="N1249" s="26" t="s">
        <v>307</v>
      </c>
      <c r="O1249" s="26">
        <v>5.0</v>
      </c>
    </row>
    <row r="1250" ht="15.75" customHeight="1">
      <c r="A1250" s="26" t="s">
        <v>5148</v>
      </c>
      <c r="B1250" s="26" t="s">
        <v>5149</v>
      </c>
      <c r="C1250" s="26" t="s">
        <v>300</v>
      </c>
      <c r="D1250" s="26" t="s">
        <v>62</v>
      </c>
      <c r="E1250" s="26" t="s">
        <v>920</v>
      </c>
      <c r="F1250" s="26" t="s">
        <v>2273</v>
      </c>
      <c r="G1250" s="26" t="s">
        <v>261</v>
      </c>
      <c r="H1250" s="26" t="s">
        <v>46</v>
      </c>
      <c r="I1250" s="26"/>
      <c r="J1250" s="26">
        <v>1.0</v>
      </c>
      <c r="K1250" s="26" t="s">
        <v>921</v>
      </c>
      <c r="L1250" s="26" t="s">
        <v>15</v>
      </c>
      <c r="M1250" s="26" t="s">
        <v>81</v>
      </c>
      <c r="N1250" s="26" t="s">
        <v>307</v>
      </c>
      <c r="O1250" s="26">
        <v>8.0</v>
      </c>
    </row>
    <row r="1251" ht="15.75" customHeight="1">
      <c r="A1251" s="26" t="s">
        <v>5150</v>
      </c>
      <c r="B1251" s="26" t="s">
        <v>5151</v>
      </c>
      <c r="C1251" s="26" t="s">
        <v>363</v>
      </c>
      <c r="D1251" s="26" t="s">
        <v>48</v>
      </c>
      <c r="E1251" s="26" t="s">
        <v>5152</v>
      </c>
      <c r="F1251" s="26" t="s">
        <v>366</v>
      </c>
      <c r="G1251" s="26" t="s">
        <v>258</v>
      </c>
      <c r="H1251" s="26" t="s">
        <v>61</v>
      </c>
      <c r="I1251" s="26"/>
      <c r="J1251" s="26">
        <v>1.0</v>
      </c>
      <c r="K1251" s="26" t="s">
        <v>5153</v>
      </c>
      <c r="L1251" s="26" t="s">
        <v>15</v>
      </c>
      <c r="M1251" s="26" t="s">
        <v>81</v>
      </c>
      <c r="N1251" s="26" t="s">
        <v>307</v>
      </c>
      <c r="O1251" s="26">
        <v>5.0</v>
      </c>
    </row>
    <row r="1252" ht="15.75" customHeight="1">
      <c r="A1252" s="26" t="s">
        <v>5154</v>
      </c>
      <c r="B1252" s="26" t="s">
        <v>5155</v>
      </c>
      <c r="C1252" s="26" t="s">
        <v>300</v>
      </c>
      <c r="D1252" s="26" t="s">
        <v>48</v>
      </c>
      <c r="E1252" s="26" t="s">
        <v>5156</v>
      </c>
      <c r="F1252" s="26" t="s">
        <v>834</v>
      </c>
      <c r="G1252" s="26" t="s">
        <v>267</v>
      </c>
      <c r="H1252" s="26" t="s">
        <v>34</v>
      </c>
      <c r="I1252" s="26"/>
      <c r="J1252" s="26">
        <v>1.0</v>
      </c>
      <c r="K1252" s="26" t="s">
        <v>136</v>
      </c>
      <c r="L1252" s="26" t="s">
        <v>29</v>
      </c>
      <c r="M1252" s="26" t="s">
        <v>95</v>
      </c>
      <c r="N1252" s="26" t="s">
        <v>307</v>
      </c>
      <c r="O1252" s="26">
        <v>5.0</v>
      </c>
    </row>
    <row r="1253" ht="15.75" customHeight="1">
      <c r="A1253" s="26" t="s">
        <v>5157</v>
      </c>
      <c r="B1253" s="26" t="s">
        <v>5158</v>
      </c>
      <c r="C1253" s="26" t="s">
        <v>300</v>
      </c>
      <c r="D1253" s="26" t="s">
        <v>48</v>
      </c>
      <c r="E1253" s="26" t="s">
        <v>5159</v>
      </c>
      <c r="F1253" s="26" t="s">
        <v>366</v>
      </c>
      <c r="G1253" s="26" t="s">
        <v>258</v>
      </c>
      <c r="H1253" s="26" t="s">
        <v>61</v>
      </c>
      <c r="I1253" s="26" t="s">
        <v>401</v>
      </c>
      <c r="J1253" s="26">
        <v>3.0</v>
      </c>
      <c r="K1253" s="26" t="s">
        <v>5160</v>
      </c>
      <c r="L1253" s="26" t="s">
        <v>15</v>
      </c>
      <c r="M1253" s="26" t="s">
        <v>81</v>
      </c>
      <c r="N1253" s="26" t="s">
        <v>307</v>
      </c>
      <c r="O1253" s="26">
        <v>5.0</v>
      </c>
    </row>
    <row r="1254" ht="15.75" customHeight="1">
      <c r="A1254" s="26" t="s">
        <v>5161</v>
      </c>
      <c r="B1254" s="26" t="s">
        <v>5162</v>
      </c>
      <c r="C1254" s="26" t="s">
        <v>363</v>
      </c>
      <c r="D1254" s="26" t="s">
        <v>48</v>
      </c>
      <c r="E1254" s="26" t="s">
        <v>609</v>
      </c>
      <c r="F1254" s="26" t="s">
        <v>1620</v>
      </c>
      <c r="G1254" s="26" t="s">
        <v>438</v>
      </c>
      <c r="H1254" s="26" t="s">
        <v>34</v>
      </c>
      <c r="I1254" s="26"/>
      <c r="J1254" s="26">
        <v>0.0</v>
      </c>
      <c r="K1254" s="26" t="s">
        <v>610</v>
      </c>
      <c r="L1254" s="26" t="s">
        <v>15</v>
      </c>
      <c r="M1254" s="26" t="s">
        <v>81</v>
      </c>
      <c r="N1254" s="26" t="s">
        <v>307</v>
      </c>
      <c r="O1254" s="26">
        <v>5.0</v>
      </c>
    </row>
    <row r="1255" ht="15.75" customHeight="1">
      <c r="A1255" s="26" t="s">
        <v>5163</v>
      </c>
      <c r="B1255" s="26" t="s">
        <v>5164</v>
      </c>
      <c r="C1255" s="26" t="s">
        <v>312</v>
      </c>
      <c r="D1255" s="26" t="s">
        <v>50</v>
      </c>
      <c r="E1255" s="26" t="s">
        <v>5165</v>
      </c>
      <c r="F1255" s="26" t="s">
        <v>1309</v>
      </c>
      <c r="G1255" s="26" t="s">
        <v>245</v>
      </c>
      <c r="H1255" s="26" t="s">
        <v>57</v>
      </c>
      <c r="I1255" s="26" t="s">
        <v>328</v>
      </c>
      <c r="J1255" s="26">
        <v>2.0</v>
      </c>
      <c r="K1255" s="26" t="s">
        <v>136</v>
      </c>
      <c r="L1255" s="26" t="s">
        <v>29</v>
      </c>
      <c r="M1255" s="26" t="s">
        <v>95</v>
      </c>
      <c r="N1255" s="26" t="s">
        <v>307</v>
      </c>
      <c r="O1255" s="26">
        <v>15.0</v>
      </c>
    </row>
    <row r="1256" ht="15.75" customHeight="1">
      <c r="A1256" s="26" t="s">
        <v>5166</v>
      </c>
      <c r="B1256" s="26" t="s">
        <v>5167</v>
      </c>
      <c r="C1256" s="26" t="s">
        <v>892</v>
      </c>
      <c r="D1256" s="26" t="s">
        <v>36</v>
      </c>
      <c r="E1256" s="26" t="s">
        <v>5168</v>
      </c>
      <c r="F1256" s="26" t="s">
        <v>1583</v>
      </c>
      <c r="G1256" s="26" t="s">
        <v>73</v>
      </c>
      <c r="H1256" s="26" t="s">
        <v>46</v>
      </c>
      <c r="I1256" s="26"/>
      <c r="J1256" s="26">
        <v>1.0</v>
      </c>
      <c r="K1256" s="26" t="s">
        <v>136</v>
      </c>
      <c r="L1256" s="26" t="s">
        <v>29</v>
      </c>
      <c r="M1256" s="26" t="s">
        <v>95</v>
      </c>
      <c r="N1256" s="26" t="s">
        <v>307</v>
      </c>
      <c r="O1256" s="26">
        <v>15.0</v>
      </c>
    </row>
    <row r="1257" ht="15.75" customHeight="1">
      <c r="A1257" s="26" t="s">
        <v>5169</v>
      </c>
      <c r="B1257" s="26" t="s">
        <v>5170</v>
      </c>
      <c r="C1257" s="26" t="s">
        <v>429</v>
      </c>
      <c r="D1257" s="26" t="s">
        <v>36</v>
      </c>
      <c r="E1257" s="26" t="s">
        <v>5171</v>
      </c>
      <c r="F1257" s="26" t="s">
        <v>1583</v>
      </c>
      <c r="G1257" s="26" t="s">
        <v>73</v>
      </c>
      <c r="H1257" s="26" t="s">
        <v>46</v>
      </c>
      <c r="I1257" s="26"/>
      <c r="J1257" s="26">
        <v>1.0</v>
      </c>
      <c r="K1257" s="26" t="s">
        <v>5172</v>
      </c>
      <c r="L1257" s="26" t="s">
        <v>15</v>
      </c>
      <c r="M1257" s="26" t="s">
        <v>81</v>
      </c>
      <c r="N1257" s="26" t="s">
        <v>307</v>
      </c>
      <c r="O1257" s="26">
        <v>15.0</v>
      </c>
    </row>
    <row r="1258" ht="15.75" customHeight="1">
      <c r="A1258" s="26" t="s">
        <v>5173</v>
      </c>
      <c r="B1258" s="26" t="s">
        <v>5167</v>
      </c>
      <c r="C1258" s="26" t="s">
        <v>322</v>
      </c>
      <c r="D1258" s="26" t="s">
        <v>72</v>
      </c>
      <c r="E1258" s="26" t="s">
        <v>1121</v>
      </c>
      <c r="F1258" s="26" t="s">
        <v>2422</v>
      </c>
      <c r="G1258" s="26" t="s">
        <v>90</v>
      </c>
      <c r="H1258" s="26" t="s">
        <v>34</v>
      </c>
      <c r="I1258" s="26"/>
      <c r="J1258" s="26">
        <v>1.0</v>
      </c>
      <c r="K1258" s="26" t="s">
        <v>244</v>
      </c>
      <c r="L1258" s="26" t="s">
        <v>29</v>
      </c>
      <c r="M1258" s="26" t="s">
        <v>95</v>
      </c>
      <c r="N1258" s="26" t="s">
        <v>307</v>
      </c>
      <c r="O1258" s="26">
        <v>19.0</v>
      </c>
    </row>
    <row r="1259" ht="15.75" customHeight="1">
      <c r="A1259" s="26" t="s">
        <v>5174</v>
      </c>
      <c r="B1259" s="26" t="s">
        <v>5175</v>
      </c>
      <c r="C1259" s="26" t="s">
        <v>300</v>
      </c>
      <c r="D1259" s="26" t="s">
        <v>62</v>
      </c>
      <c r="E1259" s="26" t="s">
        <v>923</v>
      </c>
      <c r="F1259" s="26" t="s">
        <v>2273</v>
      </c>
      <c r="G1259" s="26" t="s">
        <v>261</v>
      </c>
      <c r="H1259" s="26" t="s">
        <v>46</v>
      </c>
      <c r="I1259" s="26"/>
      <c r="J1259" s="26">
        <v>1.0</v>
      </c>
      <c r="K1259" s="26" t="s">
        <v>466</v>
      </c>
      <c r="L1259" s="26" t="s">
        <v>29</v>
      </c>
      <c r="M1259" s="26" t="s">
        <v>95</v>
      </c>
      <c r="N1259" s="26" t="s">
        <v>307</v>
      </c>
      <c r="O1259" s="26">
        <v>8.0</v>
      </c>
    </row>
    <row r="1260" ht="15.75" customHeight="1">
      <c r="A1260" s="26" t="s">
        <v>5176</v>
      </c>
      <c r="B1260" s="26" t="s">
        <v>5177</v>
      </c>
      <c r="C1260" s="26" t="s">
        <v>363</v>
      </c>
      <c r="D1260" s="26" t="s">
        <v>48</v>
      </c>
      <c r="E1260" s="26" t="s">
        <v>5178</v>
      </c>
      <c r="F1260" s="26" t="s">
        <v>1014</v>
      </c>
      <c r="G1260" s="26" t="s">
        <v>248</v>
      </c>
      <c r="H1260" s="26" t="s">
        <v>46</v>
      </c>
      <c r="I1260" s="26" t="s">
        <v>339</v>
      </c>
      <c r="J1260" s="26">
        <v>3.0</v>
      </c>
      <c r="K1260" s="26" t="s">
        <v>5179</v>
      </c>
      <c r="L1260" s="26" t="s">
        <v>15</v>
      </c>
      <c r="M1260" s="26" t="s">
        <v>81</v>
      </c>
      <c r="N1260" s="26" t="s">
        <v>307</v>
      </c>
      <c r="O1260" s="26">
        <v>5.0</v>
      </c>
    </row>
    <row r="1261" ht="15.75" customHeight="1">
      <c r="A1261" s="26" t="s">
        <v>5180</v>
      </c>
      <c r="B1261" s="26" t="s">
        <v>5181</v>
      </c>
      <c r="C1261" s="26" t="s">
        <v>363</v>
      </c>
      <c r="D1261" s="26" t="s">
        <v>50</v>
      </c>
      <c r="E1261" s="26" t="s">
        <v>5182</v>
      </c>
      <c r="F1261" s="26" t="s">
        <v>847</v>
      </c>
      <c r="G1261" s="26" t="s">
        <v>328</v>
      </c>
      <c r="H1261" s="26" t="s">
        <v>49</v>
      </c>
      <c r="I1261" s="26"/>
      <c r="J1261" s="26">
        <v>1.0</v>
      </c>
      <c r="K1261" s="26" t="s">
        <v>5183</v>
      </c>
      <c r="L1261" s="26" t="s">
        <v>15</v>
      </c>
      <c r="M1261" s="26" t="s">
        <v>81</v>
      </c>
      <c r="N1261" s="26" t="s">
        <v>307</v>
      </c>
      <c r="O1261" s="26">
        <v>15.0</v>
      </c>
    </row>
    <row r="1262" ht="15.75" customHeight="1">
      <c r="A1262" s="26" t="s">
        <v>5184</v>
      </c>
      <c r="B1262" s="26" t="s">
        <v>5185</v>
      </c>
      <c r="C1262" s="26" t="s">
        <v>312</v>
      </c>
      <c r="D1262" s="26" t="s">
        <v>54</v>
      </c>
      <c r="E1262" s="26" t="s">
        <v>5186</v>
      </c>
      <c r="F1262" s="26" t="s">
        <v>432</v>
      </c>
      <c r="G1262" s="26" t="s">
        <v>182</v>
      </c>
      <c r="H1262" s="26" t="s">
        <v>34</v>
      </c>
      <c r="I1262" s="26" t="s">
        <v>572</v>
      </c>
      <c r="J1262" s="26">
        <v>3.0</v>
      </c>
      <c r="K1262" s="26" t="s">
        <v>5187</v>
      </c>
      <c r="L1262" s="26" t="s">
        <v>15</v>
      </c>
      <c r="M1262" s="26" t="s">
        <v>81</v>
      </c>
      <c r="N1262" s="26" t="s">
        <v>307</v>
      </c>
      <c r="O1262" s="26">
        <v>1.0</v>
      </c>
    </row>
    <row r="1263" ht="15.75" customHeight="1">
      <c r="A1263" s="26" t="s">
        <v>5188</v>
      </c>
      <c r="B1263" s="26" t="s">
        <v>5189</v>
      </c>
      <c r="C1263" s="26" t="s">
        <v>312</v>
      </c>
      <c r="D1263" s="26" t="s">
        <v>36</v>
      </c>
      <c r="E1263" s="26" t="s">
        <v>5190</v>
      </c>
      <c r="F1263" s="26" t="s">
        <v>663</v>
      </c>
      <c r="G1263" s="26" t="s">
        <v>44</v>
      </c>
      <c r="H1263" s="26" t="s">
        <v>34</v>
      </c>
      <c r="I1263" s="26" t="s">
        <v>47</v>
      </c>
      <c r="J1263" s="26">
        <v>3.0</v>
      </c>
      <c r="K1263" s="26" t="s">
        <v>1028</v>
      </c>
      <c r="L1263" s="26" t="s">
        <v>19</v>
      </c>
      <c r="M1263" s="26" t="s">
        <v>87</v>
      </c>
      <c r="N1263" s="26" t="s">
        <v>307</v>
      </c>
      <c r="O1263" s="26">
        <v>15.0</v>
      </c>
    </row>
    <row r="1264" ht="15.75" customHeight="1">
      <c r="A1264" s="26" t="s">
        <v>5191</v>
      </c>
      <c r="B1264" s="26" t="s">
        <v>5192</v>
      </c>
      <c r="C1264" s="26" t="s">
        <v>312</v>
      </c>
      <c r="D1264" s="26" t="s">
        <v>48</v>
      </c>
      <c r="E1264" s="26" t="s">
        <v>5193</v>
      </c>
      <c r="F1264" s="26" t="s">
        <v>366</v>
      </c>
      <c r="G1264" s="26" t="s">
        <v>258</v>
      </c>
      <c r="H1264" s="26" t="s">
        <v>61</v>
      </c>
      <c r="I1264" s="26" t="s">
        <v>267</v>
      </c>
      <c r="J1264" s="26">
        <v>2.0</v>
      </c>
      <c r="K1264" s="26" t="s">
        <v>5194</v>
      </c>
      <c r="L1264" s="26" t="s">
        <v>15</v>
      </c>
      <c r="M1264" s="26" t="s">
        <v>81</v>
      </c>
      <c r="N1264" s="26" t="s">
        <v>307</v>
      </c>
      <c r="O1264" s="26">
        <v>4.0</v>
      </c>
    </row>
    <row r="1265" ht="15.75" customHeight="1">
      <c r="A1265" s="26" t="s">
        <v>5195</v>
      </c>
      <c r="B1265" s="26" t="s">
        <v>5196</v>
      </c>
      <c r="C1265" s="26" t="s">
        <v>363</v>
      </c>
      <c r="D1265" s="26" t="s">
        <v>62</v>
      </c>
      <c r="E1265" s="26" t="s">
        <v>5197</v>
      </c>
      <c r="F1265" s="26" t="s">
        <v>1245</v>
      </c>
      <c r="G1265" s="26" t="s">
        <v>119</v>
      </c>
      <c r="H1265" s="26" t="s">
        <v>57</v>
      </c>
      <c r="I1265" s="26" t="s">
        <v>1007</v>
      </c>
      <c r="J1265" s="26">
        <v>2.0</v>
      </c>
      <c r="K1265" s="26" t="s">
        <v>5198</v>
      </c>
      <c r="L1265" s="26" t="s">
        <v>23</v>
      </c>
      <c r="M1265" s="26" t="s">
        <v>94</v>
      </c>
      <c r="N1265" s="26" t="s">
        <v>307</v>
      </c>
      <c r="O1265" s="26">
        <v>14.0</v>
      </c>
    </row>
    <row r="1266" ht="15.75" customHeight="1">
      <c r="A1266" s="26" t="s">
        <v>5199</v>
      </c>
      <c r="B1266" s="26" t="s">
        <v>5200</v>
      </c>
      <c r="C1266" s="26" t="s">
        <v>312</v>
      </c>
      <c r="D1266" s="26" t="s">
        <v>50</v>
      </c>
      <c r="E1266" s="26" t="s">
        <v>5201</v>
      </c>
      <c r="F1266" s="26" t="s">
        <v>336</v>
      </c>
      <c r="G1266" s="26" t="s">
        <v>75</v>
      </c>
      <c r="H1266" s="26" t="s">
        <v>53</v>
      </c>
      <c r="I1266" s="26" t="s">
        <v>245</v>
      </c>
      <c r="J1266" s="26">
        <v>4.0</v>
      </c>
      <c r="K1266" s="26" t="s">
        <v>5202</v>
      </c>
      <c r="L1266" s="26" t="s">
        <v>15</v>
      </c>
      <c r="M1266" s="26" t="s">
        <v>81</v>
      </c>
      <c r="N1266" s="26" t="s">
        <v>307</v>
      </c>
      <c r="O1266" s="26">
        <v>14.0</v>
      </c>
    </row>
    <row r="1267" ht="15.75" customHeight="1">
      <c r="A1267" s="26" t="s">
        <v>5203</v>
      </c>
      <c r="B1267" s="26" t="s">
        <v>5204</v>
      </c>
      <c r="C1267" s="26" t="s">
        <v>363</v>
      </c>
      <c r="D1267" s="26" t="s">
        <v>54</v>
      </c>
      <c r="E1267" s="26" t="s">
        <v>5205</v>
      </c>
      <c r="F1267" s="26" t="s">
        <v>432</v>
      </c>
      <c r="G1267" s="26" t="s">
        <v>182</v>
      </c>
      <c r="H1267" s="26" t="s">
        <v>34</v>
      </c>
      <c r="I1267" s="26" t="s">
        <v>217</v>
      </c>
      <c r="J1267" s="26">
        <v>2.0</v>
      </c>
      <c r="K1267" s="26" t="s">
        <v>692</v>
      </c>
      <c r="L1267" s="26" t="s">
        <v>15</v>
      </c>
      <c r="M1267" s="26" t="s">
        <v>81</v>
      </c>
      <c r="N1267" s="26" t="s">
        <v>307</v>
      </c>
      <c r="O1267" s="26">
        <v>2.0</v>
      </c>
    </row>
    <row r="1268" ht="15.75" customHeight="1">
      <c r="A1268" s="26" t="s">
        <v>5206</v>
      </c>
      <c r="B1268" s="26" t="s">
        <v>5207</v>
      </c>
      <c r="C1268" s="26" t="s">
        <v>363</v>
      </c>
      <c r="D1268" s="26" t="s">
        <v>96</v>
      </c>
      <c r="E1268" s="26" t="s">
        <v>1434</v>
      </c>
      <c r="F1268" s="26" t="s">
        <v>4507</v>
      </c>
      <c r="G1268" s="26" t="s">
        <v>1429</v>
      </c>
      <c r="H1268" s="26" t="s">
        <v>46</v>
      </c>
      <c r="I1268" s="26"/>
      <c r="J1268" s="26">
        <v>1.0</v>
      </c>
      <c r="K1268" s="26" t="s">
        <v>1435</v>
      </c>
      <c r="L1268" s="26" t="s">
        <v>15</v>
      </c>
      <c r="M1268" s="26" t="s">
        <v>81</v>
      </c>
      <c r="N1268" s="26" t="s">
        <v>307</v>
      </c>
      <c r="O1268" s="26">
        <v>6.0</v>
      </c>
    </row>
    <row r="1269" ht="15.75" customHeight="1">
      <c r="A1269" s="26" t="s">
        <v>5208</v>
      </c>
      <c r="B1269" s="26" t="s">
        <v>5209</v>
      </c>
      <c r="C1269" s="26" t="s">
        <v>363</v>
      </c>
      <c r="D1269" s="26" t="s">
        <v>50</v>
      </c>
      <c r="E1269" s="26" t="s">
        <v>5210</v>
      </c>
      <c r="F1269" s="26" t="s">
        <v>847</v>
      </c>
      <c r="G1269" s="26" t="s">
        <v>328</v>
      </c>
      <c r="H1269" s="26" t="s">
        <v>49</v>
      </c>
      <c r="I1269" s="26" t="s">
        <v>581</v>
      </c>
      <c r="J1269" s="26">
        <v>2.0</v>
      </c>
      <c r="K1269" s="26" t="s">
        <v>5211</v>
      </c>
      <c r="L1269" s="26" t="s">
        <v>15</v>
      </c>
      <c r="M1269" s="26" t="s">
        <v>81</v>
      </c>
      <c r="N1269" s="26" t="s">
        <v>307</v>
      </c>
      <c r="O1269" s="26">
        <v>14.0</v>
      </c>
    </row>
    <row r="1270" ht="15.75" customHeight="1">
      <c r="A1270" s="26" t="s">
        <v>5212</v>
      </c>
      <c r="B1270" s="26" t="s">
        <v>5213</v>
      </c>
      <c r="C1270" s="26" t="s">
        <v>429</v>
      </c>
      <c r="D1270" s="26" t="s">
        <v>96</v>
      </c>
      <c r="E1270" s="26" t="s">
        <v>1437</v>
      </c>
      <c r="F1270" s="26" t="s">
        <v>4183</v>
      </c>
      <c r="G1270" s="26" t="s">
        <v>1436</v>
      </c>
      <c r="H1270" s="26" t="s">
        <v>46</v>
      </c>
      <c r="I1270" s="26"/>
      <c r="J1270" s="26">
        <v>1.0</v>
      </c>
      <c r="K1270" s="26" t="s">
        <v>1438</v>
      </c>
      <c r="L1270" s="26" t="s">
        <v>15</v>
      </c>
      <c r="M1270" s="26" t="s">
        <v>81</v>
      </c>
      <c r="N1270" s="26" t="s">
        <v>307</v>
      </c>
      <c r="O1270" s="26">
        <v>1.0</v>
      </c>
    </row>
    <row r="1271" ht="15.75" customHeight="1">
      <c r="A1271" s="26" t="s">
        <v>5214</v>
      </c>
      <c r="B1271" s="26" t="s">
        <v>5215</v>
      </c>
      <c r="C1271" s="26" t="s">
        <v>363</v>
      </c>
      <c r="D1271" s="26" t="s">
        <v>48</v>
      </c>
      <c r="E1271" s="26" t="s">
        <v>577</v>
      </c>
      <c r="F1271" s="26" t="s">
        <v>1819</v>
      </c>
      <c r="G1271" s="26" t="s">
        <v>386</v>
      </c>
      <c r="H1271" s="26" t="s">
        <v>46</v>
      </c>
      <c r="I1271" s="26"/>
      <c r="J1271" s="26">
        <v>1.0</v>
      </c>
      <c r="K1271" s="26" t="s">
        <v>579</v>
      </c>
      <c r="L1271" s="26" t="s">
        <v>15</v>
      </c>
      <c r="M1271" s="26" t="s">
        <v>81</v>
      </c>
      <c r="N1271" s="26" t="s">
        <v>307</v>
      </c>
      <c r="O1271" s="26">
        <v>5.0</v>
      </c>
    </row>
    <row r="1272" ht="15.75" customHeight="1">
      <c r="A1272" s="26" t="s">
        <v>5216</v>
      </c>
      <c r="B1272" s="26" t="s">
        <v>5217</v>
      </c>
      <c r="C1272" s="26" t="s">
        <v>363</v>
      </c>
      <c r="D1272" s="26" t="s">
        <v>62</v>
      </c>
      <c r="E1272" s="26" t="s">
        <v>5218</v>
      </c>
      <c r="F1272" s="26" t="s">
        <v>1245</v>
      </c>
      <c r="G1272" s="26" t="s">
        <v>119</v>
      </c>
      <c r="H1272" s="26" t="s">
        <v>57</v>
      </c>
      <c r="I1272" s="26" t="s">
        <v>1007</v>
      </c>
      <c r="J1272" s="26">
        <v>2.0</v>
      </c>
      <c r="K1272" s="26" t="s">
        <v>5219</v>
      </c>
      <c r="L1272" s="26" t="s">
        <v>15</v>
      </c>
      <c r="M1272" s="26" t="s">
        <v>81</v>
      </c>
      <c r="N1272" s="26" t="s">
        <v>307</v>
      </c>
      <c r="O1272" s="26">
        <v>14.0</v>
      </c>
    </row>
    <row r="1273" ht="15.75" customHeight="1">
      <c r="A1273" s="26" t="s">
        <v>5220</v>
      </c>
      <c r="B1273" s="26" t="s">
        <v>5221</v>
      </c>
      <c r="C1273" s="26" t="s">
        <v>363</v>
      </c>
      <c r="D1273" s="26" t="s">
        <v>36</v>
      </c>
      <c r="E1273" s="26" t="s">
        <v>172</v>
      </c>
      <c r="F1273" s="26" t="s">
        <v>3132</v>
      </c>
      <c r="G1273" s="26" t="s">
        <v>77</v>
      </c>
      <c r="H1273" s="26" t="s">
        <v>46</v>
      </c>
      <c r="I1273" s="26"/>
      <c r="J1273" s="26">
        <v>0.0</v>
      </c>
      <c r="K1273" s="26" t="s">
        <v>173</v>
      </c>
      <c r="L1273" s="26" t="s">
        <v>15</v>
      </c>
      <c r="M1273" s="26" t="s">
        <v>81</v>
      </c>
      <c r="N1273" s="26" t="s">
        <v>307</v>
      </c>
      <c r="O1273" s="26">
        <v>14.0</v>
      </c>
    </row>
    <row r="1274" ht="15.75" customHeight="1">
      <c r="A1274" s="26" t="s">
        <v>5222</v>
      </c>
      <c r="B1274" s="26" t="s">
        <v>5223</v>
      </c>
      <c r="C1274" s="26" t="s">
        <v>363</v>
      </c>
      <c r="D1274" s="26" t="s">
        <v>68</v>
      </c>
      <c r="E1274" s="26" t="s">
        <v>1343</v>
      </c>
      <c r="F1274" s="26" t="s">
        <v>355</v>
      </c>
      <c r="G1274" s="26" t="s">
        <v>356</v>
      </c>
      <c r="H1274" s="26" t="s">
        <v>61</v>
      </c>
      <c r="I1274" s="26"/>
      <c r="J1274" s="26">
        <v>1.0</v>
      </c>
      <c r="K1274" s="26" t="s">
        <v>1344</v>
      </c>
      <c r="L1274" s="26" t="s">
        <v>19</v>
      </c>
      <c r="M1274" s="26" t="s">
        <v>66</v>
      </c>
      <c r="N1274" s="26" t="s">
        <v>307</v>
      </c>
      <c r="O1274" s="26">
        <v>12.0</v>
      </c>
    </row>
    <row r="1275" ht="15.75" customHeight="1">
      <c r="A1275" s="26" t="s">
        <v>5224</v>
      </c>
      <c r="B1275" s="26" t="s">
        <v>5225</v>
      </c>
      <c r="C1275" s="26" t="s">
        <v>300</v>
      </c>
      <c r="D1275" s="26" t="s">
        <v>69</v>
      </c>
      <c r="E1275" s="26" t="s">
        <v>5226</v>
      </c>
      <c r="F1275" s="26" t="s">
        <v>1448</v>
      </c>
      <c r="G1275" s="26" t="s">
        <v>1060</v>
      </c>
      <c r="H1275" s="26" t="s">
        <v>49</v>
      </c>
      <c r="I1275" s="26" t="s">
        <v>5227</v>
      </c>
      <c r="J1275" s="26">
        <v>2.0</v>
      </c>
      <c r="K1275" s="26" t="s">
        <v>136</v>
      </c>
      <c r="L1275" s="26" t="s">
        <v>29</v>
      </c>
      <c r="M1275" s="26" t="s">
        <v>95</v>
      </c>
      <c r="N1275" s="26" t="s">
        <v>307</v>
      </c>
      <c r="O1275" s="26">
        <v>20.0</v>
      </c>
    </row>
    <row r="1276" ht="15.75" customHeight="1">
      <c r="A1276" s="26" t="s">
        <v>5228</v>
      </c>
      <c r="B1276" s="26" t="s">
        <v>5229</v>
      </c>
      <c r="C1276" s="26" t="s">
        <v>300</v>
      </c>
      <c r="D1276" s="26" t="s">
        <v>50</v>
      </c>
      <c r="E1276" s="26" t="s">
        <v>5230</v>
      </c>
      <c r="F1276" s="26" t="s">
        <v>847</v>
      </c>
      <c r="G1276" s="26" t="s">
        <v>328</v>
      </c>
      <c r="H1276" s="26" t="s">
        <v>49</v>
      </c>
      <c r="I1276" s="26"/>
      <c r="J1276" s="26">
        <v>1.0</v>
      </c>
      <c r="K1276" s="26" t="s">
        <v>5231</v>
      </c>
      <c r="L1276" s="26" t="s">
        <v>19</v>
      </c>
      <c r="M1276" s="26" t="s">
        <v>87</v>
      </c>
      <c r="N1276" s="26" t="s">
        <v>307</v>
      </c>
      <c r="O1276" s="26">
        <v>14.0</v>
      </c>
    </row>
    <row r="1277" ht="15.75" customHeight="1">
      <c r="A1277" s="26" t="s">
        <v>5232</v>
      </c>
      <c r="B1277" s="26" t="s">
        <v>5233</v>
      </c>
      <c r="C1277" s="26" t="s">
        <v>312</v>
      </c>
      <c r="D1277" s="26" t="s">
        <v>59</v>
      </c>
      <c r="E1277" s="26" t="s">
        <v>5234</v>
      </c>
      <c r="F1277" s="26" t="s">
        <v>372</v>
      </c>
      <c r="G1277" s="26" t="s">
        <v>373</v>
      </c>
      <c r="H1277" s="26" t="s">
        <v>34</v>
      </c>
      <c r="I1277" s="26"/>
      <c r="J1277" s="26">
        <v>1.0</v>
      </c>
      <c r="K1277" s="26" t="s">
        <v>5235</v>
      </c>
      <c r="L1277" s="26" t="s">
        <v>15</v>
      </c>
      <c r="M1277" s="26" t="s">
        <v>81</v>
      </c>
      <c r="N1277" s="26" t="s">
        <v>307</v>
      </c>
      <c r="O1277" s="26">
        <v>3.0</v>
      </c>
    </row>
    <row r="1278" ht="15.75" customHeight="1">
      <c r="A1278" s="26" t="s">
        <v>5236</v>
      </c>
      <c r="B1278" s="26" t="s">
        <v>5237</v>
      </c>
      <c r="C1278" s="26" t="s">
        <v>322</v>
      </c>
      <c r="D1278" s="26" t="s">
        <v>62</v>
      </c>
      <c r="E1278" s="26" t="s">
        <v>992</v>
      </c>
      <c r="F1278" s="26" t="s">
        <v>3577</v>
      </c>
      <c r="G1278" s="26" t="s">
        <v>983</v>
      </c>
      <c r="H1278" s="26" t="s">
        <v>61</v>
      </c>
      <c r="I1278" s="26"/>
      <c r="J1278" s="26">
        <v>1.0</v>
      </c>
      <c r="K1278" s="26" t="s">
        <v>994</v>
      </c>
      <c r="L1278" s="26" t="s">
        <v>15</v>
      </c>
      <c r="M1278" s="26" t="s">
        <v>81</v>
      </c>
      <c r="N1278" s="26" t="s">
        <v>307</v>
      </c>
      <c r="O1278" s="26">
        <v>10.0</v>
      </c>
    </row>
    <row r="1279" ht="15.75" customHeight="1">
      <c r="A1279" s="26" t="s">
        <v>5238</v>
      </c>
      <c r="B1279" s="26" t="s">
        <v>5239</v>
      </c>
      <c r="C1279" s="26" t="s">
        <v>363</v>
      </c>
      <c r="D1279" s="26" t="s">
        <v>62</v>
      </c>
      <c r="E1279" s="26" t="s">
        <v>5240</v>
      </c>
      <c r="F1279" s="26" t="s">
        <v>1245</v>
      </c>
      <c r="G1279" s="26" t="s">
        <v>119</v>
      </c>
      <c r="H1279" s="26" t="s">
        <v>57</v>
      </c>
      <c r="I1279" s="26"/>
      <c r="J1279" s="26">
        <v>1.0</v>
      </c>
      <c r="K1279" s="26" t="s">
        <v>491</v>
      </c>
      <c r="L1279" s="26" t="s">
        <v>29</v>
      </c>
      <c r="M1279" s="26" t="s">
        <v>95</v>
      </c>
      <c r="N1279" s="26" t="s">
        <v>307</v>
      </c>
      <c r="O1279" s="26">
        <v>3.0</v>
      </c>
    </row>
    <row r="1280" ht="15.75" customHeight="1">
      <c r="A1280" s="26" t="s">
        <v>5241</v>
      </c>
      <c r="B1280" s="26" t="s">
        <v>5242</v>
      </c>
      <c r="C1280" s="26" t="s">
        <v>363</v>
      </c>
      <c r="D1280" s="26" t="s">
        <v>36</v>
      </c>
      <c r="E1280" s="26" t="s">
        <v>5243</v>
      </c>
      <c r="F1280" s="26" t="s">
        <v>315</v>
      </c>
      <c r="G1280" s="26" t="s">
        <v>47</v>
      </c>
      <c r="H1280" s="26" t="s">
        <v>34</v>
      </c>
      <c r="I1280" s="26" t="s">
        <v>58</v>
      </c>
      <c r="J1280" s="26">
        <v>4.0</v>
      </c>
      <c r="K1280" s="26" t="s">
        <v>5244</v>
      </c>
      <c r="L1280" s="26" t="s">
        <v>19</v>
      </c>
      <c r="M1280" s="26" t="s">
        <v>87</v>
      </c>
      <c r="N1280" s="26" t="s">
        <v>307</v>
      </c>
      <c r="O1280" s="26">
        <v>13.0</v>
      </c>
    </row>
    <row r="1281" ht="15.75" customHeight="1">
      <c r="A1281" s="26" t="s">
        <v>5245</v>
      </c>
      <c r="B1281" s="26" t="s">
        <v>5246</v>
      </c>
      <c r="C1281" s="26" t="s">
        <v>363</v>
      </c>
      <c r="D1281" s="26" t="s">
        <v>69</v>
      </c>
      <c r="E1281" s="26" t="s">
        <v>5247</v>
      </c>
      <c r="F1281" s="26" t="s">
        <v>440</v>
      </c>
      <c r="G1281" s="26" t="s">
        <v>83</v>
      </c>
      <c r="H1281" s="26" t="s">
        <v>46</v>
      </c>
      <c r="I1281" s="26"/>
      <c r="J1281" s="26">
        <v>1.0</v>
      </c>
      <c r="K1281" s="26" t="s">
        <v>5248</v>
      </c>
      <c r="L1281" s="26" t="s">
        <v>15</v>
      </c>
      <c r="M1281" s="26" t="s">
        <v>81</v>
      </c>
      <c r="N1281" s="26" t="s">
        <v>307</v>
      </c>
      <c r="O1281" s="26">
        <v>3.0</v>
      </c>
    </row>
    <row r="1282" ht="15.75" customHeight="1">
      <c r="A1282" s="26" t="s">
        <v>5249</v>
      </c>
      <c r="B1282" s="26" t="s">
        <v>5250</v>
      </c>
      <c r="C1282" s="26" t="s">
        <v>322</v>
      </c>
      <c r="D1282" s="26" t="s">
        <v>54</v>
      </c>
      <c r="E1282" s="26" t="s">
        <v>5251</v>
      </c>
      <c r="F1282" s="26" t="s">
        <v>432</v>
      </c>
      <c r="G1282" s="26" t="s">
        <v>182</v>
      </c>
      <c r="H1282" s="26" t="s">
        <v>34</v>
      </c>
      <c r="I1282" s="26" t="s">
        <v>217</v>
      </c>
      <c r="J1282" s="26">
        <v>2.0</v>
      </c>
      <c r="K1282" s="26" t="s">
        <v>5252</v>
      </c>
      <c r="L1282" s="26" t="s">
        <v>15</v>
      </c>
      <c r="M1282" s="26" t="s">
        <v>81</v>
      </c>
      <c r="N1282" s="26" t="s">
        <v>307</v>
      </c>
      <c r="O1282" s="26">
        <v>2.0</v>
      </c>
    </row>
    <row r="1283" ht="15.75" customHeight="1">
      <c r="A1283" s="26" t="s">
        <v>5253</v>
      </c>
      <c r="B1283" s="26" t="s">
        <v>5254</v>
      </c>
      <c r="C1283" s="26" t="s">
        <v>312</v>
      </c>
      <c r="D1283" s="26" t="s">
        <v>54</v>
      </c>
      <c r="E1283" s="26" t="s">
        <v>5255</v>
      </c>
      <c r="F1283" s="26" t="s">
        <v>432</v>
      </c>
      <c r="G1283" s="26" t="s">
        <v>182</v>
      </c>
      <c r="H1283" s="26" t="s">
        <v>34</v>
      </c>
      <c r="I1283" s="26" t="s">
        <v>217</v>
      </c>
      <c r="J1283" s="26">
        <v>2.0</v>
      </c>
      <c r="K1283" s="26" t="s">
        <v>692</v>
      </c>
      <c r="L1283" s="26" t="s">
        <v>15</v>
      </c>
      <c r="M1283" s="26" t="s">
        <v>81</v>
      </c>
      <c r="N1283" s="26" t="s">
        <v>307</v>
      </c>
      <c r="O1283" s="26">
        <v>1.0</v>
      </c>
    </row>
    <row r="1284" ht="15.75" customHeight="1">
      <c r="A1284" s="26" t="s">
        <v>5256</v>
      </c>
      <c r="B1284" s="26" t="s">
        <v>5257</v>
      </c>
      <c r="C1284" s="26" t="s">
        <v>312</v>
      </c>
      <c r="D1284" s="26" t="s">
        <v>45</v>
      </c>
      <c r="E1284" s="26" t="s">
        <v>5258</v>
      </c>
      <c r="F1284" s="26" t="s">
        <v>768</v>
      </c>
      <c r="G1284" s="26" t="s">
        <v>183</v>
      </c>
      <c r="H1284" s="26" t="s">
        <v>46</v>
      </c>
      <c r="I1284" s="26"/>
      <c r="J1284" s="26">
        <v>0.0</v>
      </c>
      <c r="K1284" s="26" t="s">
        <v>5259</v>
      </c>
      <c r="L1284" s="26" t="s">
        <v>15</v>
      </c>
      <c r="M1284" s="26" t="s">
        <v>81</v>
      </c>
      <c r="N1284" s="26" t="s">
        <v>307</v>
      </c>
      <c r="O1284" s="26">
        <v>2.0</v>
      </c>
    </row>
    <row r="1285" ht="15.75" customHeight="1">
      <c r="A1285" s="26" t="s">
        <v>5260</v>
      </c>
      <c r="B1285" s="26" t="s">
        <v>5261</v>
      </c>
      <c r="C1285" s="26" t="s">
        <v>312</v>
      </c>
      <c r="D1285" s="26" t="s">
        <v>45</v>
      </c>
      <c r="E1285" s="26" t="s">
        <v>421</v>
      </c>
      <c r="F1285" s="26" t="s">
        <v>5262</v>
      </c>
      <c r="G1285" s="26" t="s">
        <v>239</v>
      </c>
      <c r="H1285" s="26" t="s">
        <v>52</v>
      </c>
      <c r="I1285" s="26"/>
      <c r="J1285" s="26">
        <v>0.0</v>
      </c>
      <c r="K1285" s="26" t="s">
        <v>5263</v>
      </c>
      <c r="L1285" s="26" t="s">
        <v>15</v>
      </c>
      <c r="M1285" s="26" t="s">
        <v>81</v>
      </c>
      <c r="N1285" s="26" t="s">
        <v>307</v>
      </c>
      <c r="O1285" s="26">
        <v>4.0</v>
      </c>
    </row>
    <row r="1286" ht="15.75" customHeight="1">
      <c r="A1286" s="26" t="s">
        <v>5264</v>
      </c>
      <c r="B1286" s="26" t="s">
        <v>5265</v>
      </c>
      <c r="C1286" s="26" t="s">
        <v>363</v>
      </c>
      <c r="D1286" s="26" t="s">
        <v>45</v>
      </c>
      <c r="E1286" s="26" t="s">
        <v>5266</v>
      </c>
      <c r="F1286" s="26" t="s">
        <v>799</v>
      </c>
      <c r="G1286" s="26" t="s">
        <v>130</v>
      </c>
      <c r="H1286" s="26" t="s">
        <v>34</v>
      </c>
      <c r="I1286" s="26" t="s">
        <v>166</v>
      </c>
      <c r="J1286" s="26">
        <v>4.0</v>
      </c>
      <c r="K1286" s="26" t="s">
        <v>5267</v>
      </c>
      <c r="L1286" s="26" t="s">
        <v>15</v>
      </c>
      <c r="M1286" s="26" t="s">
        <v>81</v>
      </c>
      <c r="N1286" s="26" t="s">
        <v>307</v>
      </c>
      <c r="O1286" s="26">
        <v>1.0</v>
      </c>
    </row>
    <row r="1287" ht="15.75" customHeight="1">
      <c r="A1287" s="26" t="s">
        <v>5268</v>
      </c>
      <c r="B1287" s="26" t="s">
        <v>5269</v>
      </c>
      <c r="C1287" s="26" t="s">
        <v>322</v>
      </c>
      <c r="D1287" s="26" t="s">
        <v>45</v>
      </c>
      <c r="E1287" s="26" t="s">
        <v>5270</v>
      </c>
      <c r="F1287" s="26" t="s">
        <v>799</v>
      </c>
      <c r="G1287" s="26" t="s">
        <v>130</v>
      </c>
      <c r="H1287" s="26" t="s">
        <v>34</v>
      </c>
      <c r="I1287" s="26" t="s">
        <v>140</v>
      </c>
      <c r="J1287" s="26">
        <v>3.0</v>
      </c>
      <c r="K1287" s="26" t="s">
        <v>1547</v>
      </c>
      <c r="L1287" s="26" t="s">
        <v>15</v>
      </c>
      <c r="M1287" s="26" t="s">
        <v>81</v>
      </c>
      <c r="N1287" s="26" t="s">
        <v>307</v>
      </c>
      <c r="O1287" s="26">
        <v>138.0</v>
      </c>
    </row>
    <row r="1288" ht="15.75" customHeight="1">
      <c r="A1288" s="26" t="s">
        <v>5271</v>
      </c>
      <c r="B1288" s="26" t="s">
        <v>5272</v>
      </c>
      <c r="C1288" s="26" t="s">
        <v>363</v>
      </c>
      <c r="D1288" s="26" t="s">
        <v>45</v>
      </c>
      <c r="E1288" s="26" t="s">
        <v>5273</v>
      </c>
      <c r="F1288" s="26" t="s">
        <v>1403</v>
      </c>
      <c r="G1288" s="26" t="s">
        <v>143</v>
      </c>
      <c r="H1288" s="26" t="s">
        <v>46</v>
      </c>
      <c r="I1288" s="26" t="s">
        <v>169</v>
      </c>
      <c r="J1288" s="26">
        <v>3.0</v>
      </c>
      <c r="K1288" s="26" t="s">
        <v>1294</v>
      </c>
      <c r="L1288" s="26" t="s">
        <v>19</v>
      </c>
      <c r="M1288" s="26" t="s">
        <v>87</v>
      </c>
      <c r="N1288" s="26" t="s">
        <v>307</v>
      </c>
      <c r="O1288" s="26">
        <v>127.0</v>
      </c>
    </row>
    <row r="1289" ht="15.75" customHeight="1">
      <c r="A1289" s="26" t="s">
        <v>5274</v>
      </c>
      <c r="B1289" s="26" t="s">
        <v>5275</v>
      </c>
      <c r="C1289" s="26" t="s">
        <v>300</v>
      </c>
      <c r="D1289" s="26" t="s">
        <v>50</v>
      </c>
      <c r="E1289" s="26" t="s">
        <v>5276</v>
      </c>
      <c r="F1289" s="26" t="s">
        <v>391</v>
      </c>
      <c r="G1289" s="26" t="s">
        <v>114</v>
      </c>
      <c r="H1289" s="26" t="s">
        <v>74</v>
      </c>
      <c r="I1289" s="26"/>
      <c r="J1289" s="26">
        <v>0.0</v>
      </c>
      <c r="K1289" s="26" t="s">
        <v>491</v>
      </c>
      <c r="L1289" s="26" t="s">
        <v>29</v>
      </c>
      <c r="M1289" s="26" t="s">
        <v>95</v>
      </c>
      <c r="N1289" s="26" t="s">
        <v>307</v>
      </c>
      <c r="O1289" s="26">
        <v>13.0</v>
      </c>
    </row>
    <row r="1290" ht="15.75" customHeight="1">
      <c r="A1290" s="26" t="s">
        <v>5277</v>
      </c>
      <c r="B1290" s="26" t="s">
        <v>5278</v>
      </c>
      <c r="C1290" s="26" t="s">
        <v>312</v>
      </c>
      <c r="D1290" s="26" t="s">
        <v>36</v>
      </c>
      <c r="E1290" s="26" t="s">
        <v>5279</v>
      </c>
      <c r="F1290" s="26" t="s">
        <v>315</v>
      </c>
      <c r="G1290" s="26" t="s">
        <v>47</v>
      </c>
      <c r="H1290" s="26" t="s">
        <v>34</v>
      </c>
      <c r="I1290" s="26" t="s">
        <v>101</v>
      </c>
      <c r="J1290" s="26">
        <v>3.0</v>
      </c>
      <c r="K1290" s="26" t="s">
        <v>5280</v>
      </c>
      <c r="L1290" s="26" t="s">
        <v>15</v>
      </c>
      <c r="M1290" s="26" t="s">
        <v>81</v>
      </c>
      <c r="N1290" s="26" t="s">
        <v>307</v>
      </c>
      <c r="O1290" s="26">
        <v>13.0</v>
      </c>
    </row>
    <row r="1291" ht="15.75" customHeight="1">
      <c r="A1291" s="26" t="s">
        <v>5281</v>
      </c>
      <c r="B1291" s="26" t="s">
        <v>5282</v>
      </c>
      <c r="C1291" s="26" t="s">
        <v>429</v>
      </c>
      <c r="D1291" s="26" t="s">
        <v>50</v>
      </c>
      <c r="E1291" s="26" t="s">
        <v>5283</v>
      </c>
      <c r="F1291" s="26" t="s">
        <v>902</v>
      </c>
      <c r="G1291" s="26" t="s">
        <v>189</v>
      </c>
      <c r="H1291" s="26" t="s">
        <v>34</v>
      </c>
      <c r="I1291" s="26" t="s">
        <v>328</v>
      </c>
      <c r="J1291" s="26">
        <v>2.0</v>
      </c>
      <c r="K1291" s="26" t="s">
        <v>5284</v>
      </c>
      <c r="L1291" s="26" t="s">
        <v>15</v>
      </c>
      <c r="M1291" s="26" t="s">
        <v>81</v>
      </c>
      <c r="N1291" s="26" t="s">
        <v>307</v>
      </c>
      <c r="O1291" s="26">
        <v>13.0</v>
      </c>
    </row>
    <row r="1292" ht="15.75" customHeight="1">
      <c r="A1292" s="26" t="s">
        <v>5285</v>
      </c>
      <c r="B1292" s="26" t="s">
        <v>5286</v>
      </c>
      <c r="C1292" s="26" t="s">
        <v>429</v>
      </c>
      <c r="D1292" s="26" t="s">
        <v>48</v>
      </c>
      <c r="E1292" s="26" t="s">
        <v>5287</v>
      </c>
      <c r="F1292" s="26" t="s">
        <v>463</v>
      </c>
      <c r="G1292" s="26" t="s">
        <v>365</v>
      </c>
      <c r="H1292" s="26" t="s">
        <v>53</v>
      </c>
      <c r="I1292" s="26"/>
      <c r="J1292" s="26">
        <v>1.0</v>
      </c>
      <c r="K1292" s="26" t="s">
        <v>5288</v>
      </c>
      <c r="L1292" s="26" t="s">
        <v>15</v>
      </c>
      <c r="M1292" s="26" t="s">
        <v>81</v>
      </c>
      <c r="N1292" s="26" t="s">
        <v>307</v>
      </c>
      <c r="O1292" s="26">
        <v>5.0</v>
      </c>
    </row>
    <row r="1293" ht="15.75" customHeight="1">
      <c r="A1293" s="26" t="s">
        <v>5289</v>
      </c>
      <c r="B1293" s="26" t="s">
        <v>5290</v>
      </c>
      <c r="C1293" s="26"/>
      <c r="D1293" s="26" t="s">
        <v>62</v>
      </c>
      <c r="E1293" s="26" t="s">
        <v>5291</v>
      </c>
      <c r="F1293" s="26" t="s">
        <v>2755</v>
      </c>
      <c r="G1293" s="26" t="s">
        <v>970</v>
      </c>
      <c r="H1293" s="26" t="s">
        <v>34</v>
      </c>
      <c r="I1293" s="26"/>
      <c r="J1293" s="26">
        <v>1.0</v>
      </c>
      <c r="K1293" s="26" t="s">
        <v>5292</v>
      </c>
      <c r="L1293" s="26" t="s">
        <v>15</v>
      </c>
      <c r="M1293" s="26" t="s">
        <v>81</v>
      </c>
      <c r="N1293" s="26" t="s">
        <v>307</v>
      </c>
      <c r="O1293" s="26">
        <v>120.0</v>
      </c>
    </row>
    <row r="1294" ht="15.75" customHeight="1">
      <c r="A1294" s="26" t="s">
        <v>5293</v>
      </c>
      <c r="B1294" s="26" t="s">
        <v>5294</v>
      </c>
      <c r="C1294" s="26" t="s">
        <v>312</v>
      </c>
      <c r="D1294" s="26" t="s">
        <v>72</v>
      </c>
      <c r="E1294" s="26" t="s">
        <v>5295</v>
      </c>
      <c r="F1294" s="26" t="s">
        <v>2422</v>
      </c>
      <c r="G1294" s="26" t="s">
        <v>90</v>
      </c>
      <c r="H1294" s="26" t="s">
        <v>34</v>
      </c>
      <c r="I1294" s="26"/>
      <c r="J1294" s="26">
        <v>1.0</v>
      </c>
      <c r="K1294" s="26" t="s">
        <v>244</v>
      </c>
      <c r="L1294" s="26" t="s">
        <v>29</v>
      </c>
      <c r="M1294" s="26" t="s">
        <v>95</v>
      </c>
      <c r="N1294" s="26" t="s">
        <v>307</v>
      </c>
      <c r="O1294" s="26">
        <v>17.0</v>
      </c>
    </row>
    <row r="1295" ht="15.75" customHeight="1">
      <c r="A1295" s="26" t="s">
        <v>5296</v>
      </c>
      <c r="B1295" s="26" t="s">
        <v>5297</v>
      </c>
      <c r="C1295" s="26" t="s">
        <v>363</v>
      </c>
      <c r="D1295" s="26" t="s">
        <v>36</v>
      </c>
      <c r="E1295" s="26" t="s">
        <v>5298</v>
      </c>
      <c r="F1295" s="26" t="s">
        <v>315</v>
      </c>
      <c r="G1295" s="26" t="s">
        <v>47</v>
      </c>
      <c r="H1295" s="26" t="s">
        <v>34</v>
      </c>
      <c r="I1295" s="26" t="s">
        <v>51</v>
      </c>
      <c r="J1295" s="26">
        <v>2.0</v>
      </c>
      <c r="K1295" s="26" t="s">
        <v>132</v>
      </c>
      <c r="L1295" s="26" t="s">
        <v>15</v>
      </c>
      <c r="M1295" s="26" t="s">
        <v>87</v>
      </c>
      <c r="N1295" s="26" t="s">
        <v>307</v>
      </c>
      <c r="O1295" s="26">
        <v>12.0</v>
      </c>
    </row>
    <row r="1296" ht="15.75" customHeight="1">
      <c r="A1296" s="26" t="s">
        <v>5299</v>
      </c>
      <c r="B1296" s="26" t="s">
        <v>5300</v>
      </c>
      <c r="C1296" s="26" t="s">
        <v>363</v>
      </c>
      <c r="D1296" s="26" t="s">
        <v>48</v>
      </c>
      <c r="E1296" s="26" t="s">
        <v>5301</v>
      </c>
      <c r="F1296" s="26" t="s">
        <v>984</v>
      </c>
      <c r="G1296" s="26" t="s">
        <v>265</v>
      </c>
      <c r="H1296" s="26" t="s">
        <v>34</v>
      </c>
      <c r="I1296" s="26" t="s">
        <v>258</v>
      </c>
      <c r="J1296" s="26">
        <v>4.0</v>
      </c>
      <c r="K1296" s="26" t="s">
        <v>5302</v>
      </c>
      <c r="L1296" s="26" t="s">
        <v>15</v>
      </c>
      <c r="M1296" s="26" t="s">
        <v>81</v>
      </c>
      <c r="N1296" s="26" t="s">
        <v>307</v>
      </c>
      <c r="O1296" s="26">
        <v>5.0</v>
      </c>
    </row>
    <row r="1297" ht="15.75" customHeight="1">
      <c r="A1297" s="26" t="s">
        <v>5303</v>
      </c>
      <c r="B1297" s="26" t="s">
        <v>5304</v>
      </c>
      <c r="C1297" s="26" t="s">
        <v>300</v>
      </c>
      <c r="D1297" s="26" t="s">
        <v>76</v>
      </c>
      <c r="E1297" s="26" t="s">
        <v>5305</v>
      </c>
      <c r="F1297" s="26" t="s">
        <v>2306</v>
      </c>
      <c r="G1297" s="26" t="s">
        <v>1218</v>
      </c>
      <c r="H1297" s="26" t="s">
        <v>34</v>
      </c>
      <c r="I1297" s="26" t="s">
        <v>1205</v>
      </c>
      <c r="J1297" s="26">
        <v>2.0</v>
      </c>
      <c r="K1297" s="26" t="s">
        <v>5306</v>
      </c>
      <c r="L1297" s="26" t="s">
        <v>15</v>
      </c>
      <c r="M1297" s="26" t="s">
        <v>81</v>
      </c>
      <c r="N1297" s="26" t="s">
        <v>307</v>
      </c>
      <c r="O1297" s="26">
        <v>4.0</v>
      </c>
    </row>
    <row r="1298" ht="15.75" customHeight="1">
      <c r="A1298" s="26" t="s">
        <v>5303</v>
      </c>
      <c r="B1298" s="26" t="s">
        <v>5304</v>
      </c>
      <c r="C1298" s="26" t="s">
        <v>300</v>
      </c>
      <c r="D1298" s="26" t="s">
        <v>76</v>
      </c>
      <c r="E1298" s="26" t="s">
        <v>5305</v>
      </c>
      <c r="F1298" s="26" t="s">
        <v>2306</v>
      </c>
      <c r="G1298" s="26" t="s">
        <v>1218</v>
      </c>
      <c r="H1298" s="26" t="s">
        <v>34</v>
      </c>
      <c r="I1298" s="26" t="s">
        <v>1205</v>
      </c>
      <c r="J1298" s="26">
        <v>2.0</v>
      </c>
      <c r="K1298" s="26" t="s">
        <v>136</v>
      </c>
      <c r="L1298" s="26" t="s">
        <v>29</v>
      </c>
      <c r="M1298" s="26" t="s">
        <v>95</v>
      </c>
      <c r="N1298" s="26" t="s">
        <v>307</v>
      </c>
      <c r="O1298" s="26">
        <v>4.0</v>
      </c>
    </row>
    <row r="1299" ht="15.75" customHeight="1">
      <c r="A1299" s="26" t="s">
        <v>5307</v>
      </c>
      <c r="B1299" s="26" t="s">
        <v>5308</v>
      </c>
      <c r="C1299" s="26" t="s">
        <v>363</v>
      </c>
      <c r="D1299" s="26" t="s">
        <v>36</v>
      </c>
      <c r="E1299" s="26" t="s">
        <v>5309</v>
      </c>
      <c r="F1299" s="26" t="s">
        <v>3132</v>
      </c>
      <c r="G1299" s="26" t="s">
        <v>77</v>
      </c>
      <c r="H1299" s="26" t="s">
        <v>46</v>
      </c>
      <c r="I1299" s="26"/>
      <c r="J1299" s="26">
        <v>0.0</v>
      </c>
      <c r="K1299" s="26" t="s">
        <v>5310</v>
      </c>
      <c r="L1299" s="26" t="s">
        <v>15</v>
      </c>
      <c r="M1299" s="26" t="s">
        <v>81</v>
      </c>
      <c r="N1299" s="26" t="s">
        <v>307</v>
      </c>
      <c r="O1299" s="26">
        <v>2.0</v>
      </c>
    </row>
    <row r="1300" ht="15.75" customHeight="1">
      <c r="A1300" s="26" t="s">
        <v>5311</v>
      </c>
      <c r="B1300" s="26" t="s">
        <v>5312</v>
      </c>
      <c r="C1300" s="26" t="s">
        <v>312</v>
      </c>
      <c r="D1300" s="26" t="s">
        <v>50</v>
      </c>
      <c r="E1300" s="26" t="s">
        <v>5313</v>
      </c>
      <c r="F1300" s="26" t="s">
        <v>847</v>
      </c>
      <c r="G1300" s="26" t="s">
        <v>328</v>
      </c>
      <c r="H1300" s="26" t="s">
        <v>49</v>
      </c>
      <c r="I1300" s="26"/>
      <c r="J1300" s="26">
        <v>1.0</v>
      </c>
      <c r="K1300" s="26" t="s">
        <v>5314</v>
      </c>
      <c r="L1300" s="26" t="s">
        <v>15</v>
      </c>
      <c r="M1300" s="26" t="s">
        <v>81</v>
      </c>
      <c r="N1300" s="26" t="s">
        <v>307</v>
      </c>
      <c r="O1300" s="26">
        <v>2.0</v>
      </c>
    </row>
    <row r="1301" ht="15.75" customHeight="1">
      <c r="A1301" s="26" t="s">
        <v>5315</v>
      </c>
      <c r="B1301" s="26" t="s">
        <v>5316</v>
      </c>
      <c r="C1301" s="26" t="s">
        <v>363</v>
      </c>
      <c r="D1301" s="26" t="s">
        <v>72</v>
      </c>
      <c r="E1301" s="26" t="s">
        <v>5317</v>
      </c>
      <c r="F1301" s="26" t="s">
        <v>1394</v>
      </c>
      <c r="G1301" s="26" t="s">
        <v>109</v>
      </c>
      <c r="H1301" s="26" t="s">
        <v>61</v>
      </c>
      <c r="I1301" s="26" t="s">
        <v>1143</v>
      </c>
      <c r="J1301" s="26">
        <v>2.0</v>
      </c>
      <c r="K1301" s="26" t="s">
        <v>5318</v>
      </c>
      <c r="L1301" s="26" t="s">
        <v>15</v>
      </c>
      <c r="M1301" s="26" t="s">
        <v>81</v>
      </c>
      <c r="N1301" s="26" t="s">
        <v>307</v>
      </c>
      <c r="O1301" s="26">
        <v>16.0</v>
      </c>
    </row>
    <row r="1302" ht="15.75" customHeight="1">
      <c r="A1302" s="26" t="s">
        <v>5319</v>
      </c>
      <c r="B1302" s="26" t="s">
        <v>5320</v>
      </c>
      <c r="C1302" s="26" t="s">
        <v>300</v>
      </c>
      <c r="D1302" s="26" t="s">
        <v>68</v>
      </c>
      <c r="E1302" s="26" t="s">
        <v>1350</v>
      </c>
      <c r="F1302" s="26" t="s">
        <v>5321</v>
      </c>
      <c r="G1302" s="26" t="s">
        <v>1349</v>
      </c>
      <c r="H1302" s="26" t="s">
        <v>46</v>
      </c>
      <c r="I1302" s="26"/>
      <c r="J1302" s="26">
        <v>0.0</v>
      </c>
      <c r="K1302" s="26" t="s">
        <v>5322</v>
      </c>
      <c r="L1302" s="26" t="s">
        <v>15</v>
      </c>
      <c r="M1302" s="26" t="s">
        <v>81</v>
      </c>
      <c r="N1302" s="26" t="s">
        <v>307</v>
      </c>
      <c r="O1302" s="26">
        <v>117.0</v>
      </c>
    </row>
    <row r="1303" ht="15.75" customHeight="1">
      <c r="A1303" s="26" t="s">
        <v>5323</v>
      </c>
      <c r="B1303" s="26" t="s">
        <v>5324</v>
      </c>
      <c r="C1303" s="26" t="s">
        <v>312</v>
      </c>
      <c r="D1303" s="26" t="s">
        <v>36</v>
      </c>
      <c r="E1303" s="26" t="s">
        <v>5325</v>
      </c>
      <c r="F1303" s="26" t="s">
        <v>663</v>
      </c>
      <c r="G1303" s="26" t="s">
        <v>44</v>
      </c>
      <c r="H1303" s="26" t="s">
        <v>34</v>
      </c>
      <c r="I1303" s="26" t="s">
        <v>82</v>
      </c>
      <c r="J1303" s="26">
        <v>2.0</v>
      </c>
      <c r="K1303" s="26" t="s">
        <v>5326</v>
      </c>
      <c r="L1303" s="26" t="s">
        <v>15</v>
      </c>
      <c r="M1303" s="26" t="s">
        <v>87</v>
      </c>
      <c r="N1303" s="26" t="s">
        <v>307</v>
      </c>
      <c r="O1303" s="26">
        <v>2.0</v>
      </c>
    </row>
    <row r="1304" ht="15.75" customHeight="1">
      <c r="A1304" s="26" t="s">
        <v>5327</v>
      </c>
      <c r="B1304" s="26" t="s">
        <v>5328</v>
      </c>
      <c r="C1304" s="26" t="s">
        <v>300</v>
      </c>
      <c r="D1304" s="26" t="s">
        <v>59</v>
      </c>
      <c r="E1304" s="26" t="s">
        <v>5329</v>
      </c>
      <c r="F1304" s="26" t="s">
        <v>1301</v>
      </c>
      <c r="G1304" s="26" t="s">
        <v>810</v>
      </c>
      <c r="H1304" s="26" t="s">
        <v>46</v>
      </c>
      <c r="I1304" s="26"/>
      <c r="J1304" s="26">
        <v>0.0</v>
      </c>
      <c r="K1304" s="26" t="s">
        <v>5330</v>
      </c>
      <c r="L1304" s="26" t="s">
        <v>15</v>
      </c>
      <c r="M1304" s="26" t="s">
        <v>81</v>
      </c>
      <c r="N1304" s="26" t="s">
        <v>307</v>
      </c>
      <c r="O1304" s="26">
        <v>1.0</v>
      </c>
    </row>
    <row r="1305" ht="15.75" customHeight="1">
      <c r="A1305" s="26" t="s">
        <v>5331</v>
      </c>
      <c r="B1305" s="26" t="s">
        <v>5332</v>
      </c>
      <c r="C1305" s="26" t="s">
        <v>300</v>
      </c>
      <c r="D1305" s="26" t="s">
        <v>59</v>
      </c>
      <c r="E1305" s="26" t="s">
        <v>5333</v>
      </c>
      <c r="F1305" s="26" t="s">
        <v>1125</v>
      </c>
      <c r="G1305" s="26" t="s">
        <v>113</v>
      </c>
      <c r="H1305" s="26" t="s">
        <v>49</v>
      </c>
      <c r="I1305" s="26" t="s">
        <v>373</v>
      </c>
      <c r="J1305" s="26">
        <v>2.0</v>
      </c>
      <c r="K1305" s="26" t="s">
        <v>5334</v>
      </c>
      <c r="L1305" s="26" t="s">
        <v>15</v>
      </c>
      <c r="M1305" s="26" t="s">
        <v>81</v>
      </c>
      <c r="N1305" s="26" t="s">
        <v>307</v>
      </c>
      <c r="O1305" s="26">
        <v>1.0</v>
      </c>
    </row>
    <row r="1306" ht="15.75" customHeight="1">
      <c r="A1306" s="26" t="s">
        <v>5331</v>
      </c>
      <c r="B1306" s="26" t="s">
        <v>5332</v>
      </c>
      <c r="C1306" s="26" t="s">
        <v>300</v>
      </c>
      <c r="D1306" s="26" t="s">
        <v>59</v>
      </c>
      <c r="E1306" s="26" t="s">
        <v>5333</v>
      </c>
      <c r="F1306" s="26" t="s">
        <v>1125</v>
      </c>
      <c r="G1306" s="26" t="s">
        <v>113</v>
      </c>
      <c r="H1306" s="26" t="s">
        <v>49</v>
      </c>
      <c r="I1306" s="26" t="s">
        <v>373</v>
      </c>
      <c r="J1306" s="26">
        <v>2.0</v>
      </c>
      <c r="K1306" s="26" t="s">
        <v>466</v>
      </c>
      <c r="L1306" s="26" t="s">
        <v>29</v>
      </c>
      <c r="M1306" s="26" t="s">
        <v>95</v>
      </c>
      <c r="N1306" s="26" t="s">
        <v>307</v>
      </c>
      <c r="O1306" s="26">
        <v>1.0</v>
      </c>
    </row>
    <row r="1307" ht="15.75" customHeight="1">
      <c r="A1307" s="26" t="s">
        <v>5335</v>
      </c>
      <c r="B1307" s="26" t="s">
        <v>5336</v>
      </c>
      <c r="C1307" s="26" t="s">
        <v>363</v>
      </c>
      <c r="D1307" s="26" t="s">
        <v>36</v>
      </c>
      <c r="E1307" s="26" t="s">
        <v>5337</v>
      </c>
      <c r="F1307" s="26" t="s">
        <v>663</v>
      </c>
      <c r="G1307" s="26" t="s">
        <v>44</v>
      </c>
      <c r="H1307" s="26" t="s">
        <v>34</v>
      </c>
      <c r="I1307" s="26"/>
      <c r="J1307" s="26">
        <v>1.0</v>
      </c>
      <c r="K1307" s="26" t="s">
        <v>5326</v>
      </c>
      <c r="L1307" s="26" t="s">
        <v>15</v>
      </c>
      <c r="M1307" s="26" t="s">
        <v>87</v>
      </c>
      <c r="N1307" s="26" t="s">
        <v>307</v>
      </c>
      <c r="O1307" s="26">
        <v>1.0</v>
      </c>
    </row>
    <row r="1308" ht="15.75" customHeight="1">
      <c r="A1308" s="26" t="s">
        <v>5338</v>
      </c>
      <c r="B1308" s="26" t="s">
        <v>5339</v>
      </c>
      <c r="C1308" s="26" t="s">
        <v>429</v>
      </c>
      <c r="D1308" s="26" t="s">
        <v>45</v>
      </c>
      <c r="E1308" s="26" t="s">
        <v>5340</v>
      </c>
      <c r="F1308" s="26" t="s">
        <v>2178</v>
      </c>
      <c r="G1308" s="26" t="s">
        <v>161</v>
      </c>
      <c r="H1308" s="26" t="s">
        <v>57</v>
      </c>
      <c r="I1308" s="26"/>
      <c r="J1308" s="26">
        <v>1.0</v>
      </c>
      <c r="K1308" s="26" t="s">
        <v>5341</v>
      </c>
      <c r="L1308" s="26" t="s">
        <v>15</v>
      </c>
      <c r="M1308" s="26" t="s">
        <v>81</v>
      </c>
      <c r="N1308" s="26" t="s">
        <v>307</v>
      </c>
      <c r="O1308" s="26">
        <v>1.0</v>
      </c>
    </row>
    <row r="1309" ht="15.75" customHeight="1">
      <c r="A1309" s="26" t="s">
        <v>5342</v>
      </c>
      <c r="B1309" s="26" t="s">
        <v>5343</v>
      </c>
      <c r="C1309" s="26" t="s">
        <v>363</v>
      </c>
      <c r="D1309" s="26" t="s">
        <v>69</v>
      </c>
      <c r="E1309" s="26" t="s">
        <v>5344</v>
      </c>
      <c r="F1309" s="26" t="s">
        <v>537</v>
      </c>
      <c r="G1309" s="26" t="s">
        <v>197</v>
      </c>
      <c r="H1309" s="26" t="s">
        <v>34</v>
      </c>
      <c r="I1309" s="26"/>
      <c r="J1309" s="26">
        <v>1.0</v>
      </c>
      <c r="K1309" s="26" t="s">
        <v>5345</v>
      </c>
      <c r="L1309" s="26" t="s">
        <v>23</v>
      </c>
      <c r="M1309" s="26" t="s">
        <v>91</v>
      </c>
      <c r="N1309" s="26" t="s">
        <v>307</v>
      </c>
      <c r="O1309" s="26">
        <v>98.0</v>
      </c>
    </row>
    <row r="1310" ht="15.75" customHeight="1">
      <c r="A1310" s="26" t="s">
        <v>5346</v>
      </c>
      <c r="B1310" s="26" t="s">
        <v>5347</v>
      </c>
      <c r="C1310" s="26" t="s">
        <v>363</v>
      </c>
      <c r="D1310" s="26" t="s">
        <v>45</v>
      </c>
      <c r="E1310" s="26" t="s">
        <v>5348</v>
      </c>
      <c r="F1310" s="26" t="s">
        <v>799</v>
      </c>
      <c r="G1310" s="26" t="s">
        <v>130</v>
      </c>
      <c r="H1310" s="26" t="s">
        <v>34</v>
      </c>
      <c r="I1310" s="26" t="s">
        <v>140</v>
      </c>
      <c r="J1310" s="26">
        <v>4.0</v>
      </c>
      <c r="K1310" s="26" t="s">
        <v>2266</v>
      </c>
      <c r="L1310" s="26" t="s">
        <v>15</v>
      </c>
      <c r="M1310" s="26" t="s">
        <v>81</v>
      </c>
      <c r="N1310" s="26" t="s">
        <v>307</v>
      </c>
      <c r="O1310" s="26">
        <v>94.0</v>
      </c>
    </row>
    <row r="1311" ht="15.75" customHeight="1">
      <c r="A1311" s="26" t="s">
        <v>5349</v>
      </c>
      <c r="B1311" s="26" t="s">
        <v>5350</v>
      </c>
      <c r="C1311" s="26" t="s">
        <v>363</v>
      </c>
      <c r="D1311" s="26" t="s">
        <v>48</v>
      </c>
      <c r="E1311" s="26" t="s">
        <v>5351</v>
      </c>
      <c r="F1311" s="26" t="s">
        <v>366</v>
      </c>
      <c r="G1311" s="26" t="s">
        <v>258</v>
      </c>
      <c r="H1311" s="26" t="s">
        <v>61</v>
      </c>
      <c r="I1311" s="26" t="s">
        <v>339</v>
      </c>
      <c r="J1311" s="26">
        <v>2.0</v>
      </c>
      <c r="K1311" s="26" t="s">
        <v>5352</v>
      </c>
      <c r="L1311" s="26" t="s">
        <v>15</v>
      </c>
      <c r="M1311" s="26" t="s">
        <v>81</v>
      </c>
      <c r="N1311" s="26" t="s">
        <v>307</v>
      </c>
      <c r="O1311" s="26">
        <v>3.0</v>
      </c>
    </row>
    <row r="1312" ht="15.75" customHeight="1">
      <c r="A1312" s="26" t="s">
        <v>5353</v>
      </c>
      <c r="B1312" s="26" t="s">
        <v>5354</v>
      </c>
      <c r="C1312" s="26" t="s">
        <v>300</v>
      </c>
      <c r="D1312" s="26" t="s">
        <v>45</v>
      </c>
      <c r="E1312" s="26" t="s">
        <v>5355</v>
      </c>
      <c r="F1312" s="26" t="s">
        <v>799</v>
      </c>
      <c r="G1312" s="26" t="s">
        <v>130</v>
      </c>
      <c r="H1312" s="26" t="s">
        <v>34</v>
      </c>
      <c r="I1312" s="26" t="s">
        <v>140</v>
      </c>
      <c r="J1312" s="26">
        <v>3.0</v>
      </c>
      <c r="K1312" s="26" t="s">
        <v>5356</v>
      </c>
      <c r="L1312" s="26" t="s">
        <v>15</v>
      </c>
      <c r="M1312" s="26" t="s">
        <v>81</v>
      </c>
      <c r="N1312" s="26" t="s">
        <v>307</v>
      </c>
      <c r="O1312" s="26">
        <v>94.0</v>
      </c>
    </row>
    <row r="1313" ht="15.75" customHeight="1">
      <c r="A1313" s="26" t="s">
        <v>5357</v>
      </c>
      <c r="B1313" s="26" t="s">
        <v>5358</v>
      </c>
      <c r="C1313" s="26" t="s">
        <v>363</v>
      </c>
      <c r="D1313" s="26" t="s">
        <v>69</v>
      </c>
      <c r="E1313" s="26" t="s">
        <v>5359</v>
      </c>
      <c r="F1313" s="26" t="s">
        <v>537</v>
      </c>
      <c r="G1313" s="26" t="s">
        <v>197</v>
      </c>
      <c r="H1313" s="26" t="s">
        <v>34</v>
      </c>
      <c r="I1313" s="26" t="s">
        <v>83</v>
      </c>
      <c r="J1313" s="26">
        <v>2.0</v>
      </c>
      <c r="K1313" s="26" t="s">
        <v>5360</v>
      </c>
      <c r="L1313" s="26" t="s">
        <v>15</v>
      </c>
      <c r="M1313" s="26" t="s">
        <v>81</v>
      </c>
      <c r="N1313" s="26" t="s">
        <v>307</v>
      </c>
      <c r="O1313" s="26">
        <v>88.0</v>
      </c>
    </row>
    <row r="1314" ht="15.75" customHeight="1">
      <c r="A1314" s="26" t="s">
        <v>5361</v>
      </c>
      <c r="B1314" s="26" t="s">
        <v>5362</v>
      </c>
      <c r="C1314" s="26" t="s">
        <v>363</v>
      </c>
      <c r="D1314" s="26" t="s">
        <v>45</v>
      </c>
      <c r="E1314" s="26" t="s">
        <v>5363</v>
      </c>
      <c r="F1314" s="26" t="s">
        <v>799</v>
      </c>
      <c r="G1314" s="26" t="s">
        <v>130</v>
      </c>
      <c r="H1314" s="26" t="s">
        <v>34</v>
      </c>
      <c r="I1314" s="26" t="s">
        <v>140</v>
      </c>
      <c r="J1314" s="26">
        <v>5.0</v>
      </c>
      <c r="K1314" s="26" t="s">
        <v>5364</v>
      </c>
      <c r="L1314" s="26" t="s">
        <v>15</v>
      </c>
      <c r="M1314" s="26" t="s">
        <v>81</v>
      </c>
      <c r="N1314" s="26" t="s">
        <v>307</v>
      </c>
      <c r="O1314" s="26">
        <v>82.0</v>
      </c>
    </row>
    <row r="1315" ht="15.75" customHeight="1">
      <c r="A1315" s="26" t="s">
        <v>5365</v>
      </c>
      <c r="B1315" s="26" t="s">
        <v>5366</v>
      </c>
      <c r="C1315" s="26" t="s">
        <v>300</v>
      </c>
      <c r="D1315" s="26" t="s">
        <v>68</v>
      </c>
      <c r="E1315" s="26" t="s">
        <v>1325</v>
      </c>
      <c r="F1315" s="26" t="s">
        <v>4721</v>
      </c>
      <c r="G1315" s="26" t="s">
        <v>895</v>
      </c>
      <c r="H1315" s="26" t="s">
        <v>46</v>
      </c>
      <c r="I1315" s="26" t="s">
        <v>1078</v>
      </c>
      <c r="J1315" s="26">
        <v>2.0</v>
      </c>
      <c r="K1315" s="26" t="s">
        <v>5367</v>
      </c>
      <c r="L1315" s="26" t="s">
        <v>19</v>
      </c>
      <c r="M1315" s="26" t="s">
        <v>66</v>
      </c>
      <c r="N1315" s="26" t="s">
        <v>307</v>
      </c>
      <c r="O1315" s="26">
        <v>66.0</v>
      </c>
    </row>
    <row r="1316" ht="15.75" customHeight="1">
      <c r="A1316" s="26" t="s">
        <v>5368</v>
      </c>
      <c r="B1316" s="26" t="s">
        <v>5369</v>
      </c>
      <c r="C1316" s="26" t="s">
        <v>300</v>
      </c>
      <c r="D1316" s="26" t="s">
        <v>48</v>
      </c>
      <c r="E1316" s="26" t="s">
        <v>5370</v>
      </c>
      <c r="F1316" s="26" t="s">
        <v>1727</v>
      </c>
      <c r="G1316" s="26" t="s">
        <v>284</v>
      </c>
      <c r="H1316" s="26" t="s">
        <v>46</v>
      </c>
      <c r="I1316" s="26"/>
      <c r="J1316" s="26">
        <v>0.0</v>
      </c>
      <c r="K1316" s="26" t="s">
        <v>5371</v>
      </c>
      <c r="L1316" s="26" t="s">
        <v>15</v>
      </c>
      <c r="M1316" s="26" t="s">
        <v>81</v>
      </c>
      <c r="N1316" s="26" t="s">
        <v>307</v>
      </c>
      <c r="O1316" s="26">
        <v>3.0</v>
      </c>
    </row>
    <row r="1317" ht="15.75" customHeight="1">
      <c r="A1317" s="26" t="s">
        <v>5372</v>
      </c>
      <c r="B1317" s="26" t="s">
        <v>5373</v>
      </c>
      <c r="C1317" s="26" t="s">
        <v>363</v>
      </c>
      <c r="D1317" s="26" t="s">
        <v>69</v>
      </c>
      <c r="E1317" s="26" t="s">
        <v>1026</v>
      </c>
      <c r="F1317" s="26" t="s">
        <v>440</v>
      </c>
      <c r="G1317" s="26" t="s">
        <v>83</v>
      </c>
      <c r="H1317" s="26" t="s">
        <v>46</v>
      </c>
      <c r="I1317" s="26"/>
      <c r="J1317" s="26">
        <v>1.0</v>
      </c>
      <c r="K1317" s="26" t="s">
        <v>1028</v>
      </c>
      <c r="L1317" s="26" t="s">
        <v>19</v>
      </c>
      <c r="M1317" s="26" t="s">
        <v>87</v>
      </c>
      <c r="N1317" s="26" t="s">
        <v>307</v>
      </c>
      <c r="O1317" s="26">
        <v>4.0</v>
      </c>
    </row>
    <row r="1318" ht="15.75" customHeight="1">
      <c r="A1318" s="26" t="s">
        <v>5374</v>
      </c>
      <c r="B1318" s="26" t="s">
        <v>5375</v>
      </c>
      <c r="C1318" s="26" t="s">
        <v>363</v>
      </c>
      <c r="D1318" s="26" t="s">
        <v>69</v>
      </c>
      <c r="E1318" s="26" t="s">
        <v>5376</v>
      </c>
      <c r="F1318" s="26" t="s">
        <v>440</v>
      </c>
      <c r="G1318" s="26" t="s">
        <v>83</v>
      </c>
      <c r="H1318" s="26" t="s">
        <v>46</v>
      </c>
      <c r="I1318" s="26"/>
      <c r="J1318" s="26">
        <v>1.0</v>
      </c>
      <c r="K1318" s="26" t="s">
        <v>1028</v>
      </c>
      <c r="L1318" s="26" t="s">
        <v>19</v>
      </c>
      <c r="M1318" s="26" t="s">
        <v>87</v>
      </c>
      <c r="N1318" s="26" t="s">
        <v>307</v>
      </c>
      <c r="O1318" s="26">
        <v>4.0</v>
      </c>
    </row>
    <row r="1319" ht="15.75" customHeight="1">
      <c r="A1319" s="26" t="s">
        <v>5377</v>
      </c>
      <c r="B1319" s="26" t="s">
        <v>5378</v>
      </c>
      <c r="C1319" s="26" t="s">
        <v>322</v>
      </c>
      <c r="D1319" s="26" t="s">
        <v>68</v>
      </c>
      <c r="E1319" s="26" t="s">
        <v>1321</v>
      </c>
      <c r="F1319" s="26" t="s">
        <v>4721</v>
      </c>
      <c r="G1319" s="26" t="s">
        <v>895</v>
      </c>
      <c r="H1319" s="26" t="s">
        <v>46</v>
      </c>
      <c r="I1319" s="26"/>
      <c r="J1319" s="26">
        <v>1.0</v>
      </c>
      <c r="K1319" s="26" t="s">
        <v>5379</v>
      </c>
      <c r="L1319" s="26" t="s">
        <v>19</v>
      </c>
      <c r="M1319" s="26" t="s">
        <v>66</v>
      </c>
      <c r="N1319" s="26" t="s">
        <v>307</v>
      </c>
      <c r="O1319" s="26">
        <v>64.0</v>
      </c>
    </row>
    <row r="1320" ht="15.75" customHeight="1">
      <c r="A1320" s="26" t="s">
        <v>5380</v>
      </c>
      <c r="B1320" s="26" t="s">
        <v>5381</v>
      </c>
      <c r="C1320" s="26" t="s">
        <v>363</v>
      </c>
      <c r="D1320" s="26" t="s">
        <v>50</v>
      </c>
      <c r="E1320" s="26" t="s">
        <v>5382</v>
      </c>
      <c r="F1320" s="26" t="s">
        <v>1309</v>
      </c>
      <c r="G1320" s="26" t="s">
        <v>245</v>
      </c>
      <c r="H1320" s="26" t="s">
        <v>57</v>
      </c>
      <c r="I1320" s="26" t="s">
        <v>328</v>
      </c>
      <c r="J1320" s="26">
        <v>2.0</v>
      </c>
      <c r="K1320" s="26" t="s">
        <v>5383</v>
      </c>
      <c r="L1320" s="26" t="s">
        <v>15</v>
      </c>
      <c r="M1320" s="26" t="s">
        <v>81</v>
      </c>
      <c r="N1320" s="26" t="s">
        <v>307</v>
      </c>
      <c r="O1320" s="26">
        <v>4.0</v>
      </c>
    </row>
    <row r="1321" ht="15.75" customHeight="1">
      <c r="A1321" s="26" t="s">
        <v>3678</v>
      </c>
      <c r="B1321" s="26" t="s">
        <v>3679</v>
      </c>
      <c r="C1321" s="26" t="s">
        <v>312</v>
      </c>
      <c r="D1321" s="26" t="s">
        <v>45</v>
      </c>
      <c r="E1321" s="26" t="s">
        <v>3680</v>
      </c>
      <c r="F1321" s="26" t="s">
        <v>937</v>
      </c>
      <c r="G1321" s="26" t="s">
        <v>204</v>
      </c>
      <c r="H1321" s="26" t="s">
        <v>49</v>
      </c>
      <c r="I1321" s="26"/>
      <c r="J1321" s="26">
        <v>1.0</v>
      </c>
      <c r="K1321" s="26" t="s">
        <v>466</v>
      </c>
      <c r="L1321" s="26" t="s">
        <v>29</v>
      </c>
      <c r="M1321" s="26" t="s">
        <v>95</v>
      </c>
      <c r="N1321" s="26" t="s">
        <v>307</v>
      </c>
      <c r="O1321" s="26">
        <v>56.0</v>
      </c>
    </row>
    <row r="1322" ht="15.75" customHeight="1">
      <c r="A1322" s="26" t="s">
        <v>5384</v>
      </c>
      <c r="B1322" s="26" t="s">
        <v>5385</v>
      </c>
      <c r="C1322" s="26" t="s">
        <v>363</v>
      </c>
      <c r="D1322" s="26" t="s">
        <v>36</v>
      </c>
      <c r="E1322" s="26" t="s">
        <v>5386</v>
      </c>
      <c r="F1322" s="26" t="s">
        <v>315</v>
      </c>
      <c r="G1322" s="26" t="s">
        <v>47</v>
      </c>
      <c r="H1322" s="26" t="s">
        <v>34</v>
      </c>
      <c r="I1322" s="26" t="s">
        <v>82</v>
      </c>
      <c r="J1322" s="26">
        <v>2.0</v>
      </c>
      <c r="K1322" s="26" t="s">
        <v>5387</v>
      </c>
      <c r="L1322" s="26" t="s">
        <v>15</v>
      </c>
      <c r="M1322" s="26" t="s">
        <v>81</v>
      </c>
      <c r="N1322" s="26" t="s">
        <v>307</v>
      </c>
      <c r="O1322" s="26">
        <v>4.0</v>
      </c>
    </row>
    <row r="1323" ht="15.75" customHeight="1">
      <c r="A1323" s="26" t="s">
        <v>3686</v>
      </c>
      <c r="B1323" s="26" t="s">
        <v>3687</v>
      </c>
      <c r="C1323" s="26" t="s">
        <v>300</v>
      </c>
      <c r="D1323" s="26" t="s">
        <v>45</v>
      </c>
      <c r="E1323" s="26" t="s">
        <v>3688</v>
      </c>
      <c r="F1323" s="26" t="s">
        <v>768</v>
      </c>
      <c r="G1323" s="26" t="s">
        <v>183</v>
      </c>
      <c r="H1323" s="26" t="s">
        <v>46</v>
      </c>
      <c r="I1323" s="26"/>
      <c r="J1323" s="26">
        <v>0.0</v>
      </c>
      <c r="K1323" s="26" t="s">
        <v>466</v>
      </c>
      <c r="L1323" s="26" t="s">
        <v>29</v>
      </c>
      <c r="M1323" s="26" t="s">
        <v>95</v>
      </c>
      <c r="N1323" s="26" t="s">
        <v>307</v>
      </c>
      <c r="O1323" s="26">
        <v>56.0</v>
      </c>
    </row>
    <row r="1324" ht="15.75" customHeight="1">
      <c r="A1324" s="26" t="s">
        <v>5388</v>
      </c>
      <c r="B1324" s="26" t="s">
        <v>5389</v>
      </c>
      <c r="C1324" s="26" t="s">
        <v>312</v>
      </c>
      <c r="D1324" s="26" t="s">
        <v>48</v>
      </c>
      <c r="E1324" s="26" t="s">
        <v>5390</v>
      </c>
      <c r="F1324" s="26" t="s">
        <v>834</v>
      </c>
      <c r="G1324" s="26" t="s">
        <v>267</v>
      </c>
      <c r="H1324" s="26" t="s">
        <v>34</v>
      </c>
      <c r="I1324" s="26"/>
      <c r="J1324" s="26">
        <v>1.0</v>
      </c>
      <c r="K1324" s="26" t="s">
        <v>5391</v>
      </c>
      <c r="L1324" s="26" t="s">
        <v>15</v>
      </c>
      <c r="M1324" s="26" t="s">
        <v>81</v>
      </c>
      <c r="N1324" s="26" t="s">
        <v>307</v>
      </c>
      <c r="O1324" s="26">
        <v>2.0</v>
      </c>
    </row>
    <row r="1325" ht="15.75" customHeight="1">
      <c r="A1325" s="26" t="s">
        <v>5392</v>
      </c>
      <c r="B1325" s="26" t="s">
        <v>5393</v>
      </c>
      <c r="C1325" s="26" t="s">
        <v>363</v>
      </c>
      <c r="D1325" s="26" t="s">
        <v>45</v>
      </c>
      <c r="E1325" s="26" t="s">
        <v>5394</v>
      </c>
      <c r="F1325" s="26" t="s">
        <v>799</v>
      </c>
      <c r="G1325" s="26" t="s">
        <v>130</v>
      </c>
      <c r="H1325" s="26" t="s">
        <v>34</v>
      </c>
      <c r="I1325" s="26" t="s">
        <v>82</v>
      </c>
      <c r="J1325" s="26">
        <v>2.0</v>
      </c>
      <c r="K1325" s="26" t="s">
        <v>5395</v>
      </c>
      <c r="L1325" s="26" t="s">
        <v>15</v>
      </c>
      <c r="M1325" s="26" t="s">
        <v>81</v>
      </c>
      <c r="N1325" s="26" t="s">
        <v>307</v>
      </c>
      <c r="O1325" s="26">
        <v>46.0</v>
      </c>
    </row>
    <row r="1326" ht="15.75" customHeight="1">
      <c r="A1326" s="26" t="s">
        <v>5396</v>
      </c>
      <c r="B1326" s="26" t="s">
        <v>5397</v>
      </c>
      <c r="C1326" s="26" t="s">
        <v>363</v>
      </c>
      <c r="D1326" s="26" t="s">
        <v>36</v>
      </c>
      <c r="E1326" s="26" t="s">
        <v>5398</v>
      </c>
      <c r="F1326" s="26" t="s">
        <v>760</v>
      </c>
      <c r="G1326" s="26" t="s">
        <v>51</v>
      </c>
      <c r="H1326" s="26" t="s">
        <v>52</v>
      </c>
      <c r="I1326" s="26"/>
      <c r="J1326" s="26">
        <v>1.0</v>
      </c>
      <c r="K1326" s="26" t="s">
        <v>5399</v>
      </c>
      <c r="L1326" s="26" t="s">
        <v>15</v>
      </c>
      <c r="M1326" s="26" t="s">
        <v>81</v>
      </c>
      <c r="N1326" s="26" t="s">
        <v>307</v>
      </c>
      <c r="O1326" s="26">
        <v>4.0</v>
      </c>
    </row>
    <row r="1327" ht="15.75" customHeight="1">
      <c r="A1327" s="26" t="s">
        <v>5400</v>
      </c>
      <c r="B1327" s="26" t="s">
        <v>5401</v>
      </c>
      <c r="C1327" s="26" t="s">
        <v>300</v>
      </c>
      <c r="D1327" s="26" t="s">
        <v>50</v>
      </c>
      <c r="E1327" s="26" t="s">
        <v>5402</v>
      </c>
      <c r="F1327" s="26" t="s">
        <v>336</v>
      </c>
      <c r="G1327" s="26" t="s">
        <v>75</v>
      </c>
      <c r="H1327" s="26" t="s">
        <v>53</v>
      </c>
      <c r="I1327" s="26"/>
      <c r="J1327" s="26">
        <v>1.0</v>
      </c>
      <c r="K1327" s="26" t="s">
        <v>358</v>
      </c>
      <c r="L1327" s="26" t="s">
        <v>19</v>
      </c>
      <c r="M1327" s="26" t="s">
        <v>66</v>
      </c>
      <c r="N1327" s="26" t="s">
        <v>307</v>
      </c>
      <c r="O1327" s="26">
        <v>4.0</v>
      </c>
    </row>
    <row r="1328" ht="15.75" customHeight="1">
      <c r="A1328" s="26" t="s">
        <v>5403</v>
      </c>
      <c r="B1328" s="26" t="s">
        <v>5404</v>
      </c>
      <c r="C1328" s="26" t="s">
        <v>363</v>
      </c>
      <c r="D1328" s="26" t="s">
        <v>89</v>
      </c>
      <c r="E1328" s="26" t="s">
        <v>1385</v>
      </c>
      <c r="F1328" s="26" t="s">
        <v>2896</v>
      </c>
      <c r="G1328" s="26" t="s">
        <v>1379</v>
      </c>
      <c r="H1328" s="26" t="s">
        <v>49</v>
      </c>
      <c r="I1328" s="26"/>
      <c r="J1328" s="26">
        <v>1.0</v>
      </c>
      <c r="K1328" s="26" t="s">
        <v>136</v>
      </c>
      <c r="L1328" s="26" t="s">
        <v>29</v>
      </c>
      <c r="M1328" s="26" t="s">
        <v>95</v>
      </c>
      <c r="N1328" s="26" t="s">
        <v>307</v>
      </c>
      <c r="O1328" s="26">
        <v>36.0</v>
      </c>
    </row>
    <row r="1329" ht="15.75" customHeight="1">
      <c r="A1329" s="26" t="s">
        <v>5405</v>
      </c>
      <c r="B1329" s="26" t="s">
        <v>5406</v>
      </c>
      <c r="C1329" s="26" t="s">
        <v>429</v>
      </c>
      <c r="D1329" s="26" t="s">
        <v>48</v>
      </c>
      <c r="E1329" s="26" t="s">
        <v>5407</v>
      </c>
      <c r="F1329" s="26" t="s">
        <v>1014</v>
      </c>
      <c r="G1329" s="26" t="s">
        <v>248</v>
      </c>
      <c r="H1329" s="26" t="s">
        <v>46</v>
      </c>
      <c r="I1329" s="26" t="s">
        <v>339</v>
      </c>
      <c r="J1329" s="26">
        <v>2.0</v>
      </c>
      <c r="K1329" s="26" t="s">
        <v>5408</v>
      </c>
      <c r="L1329" s="26" t="s">
        <v>15</v>
      </c>
      <c r="M1329" s="26" t="s">
        <v>81</v>
      </c>
      <c r="N1329" s="26" t="s">
        <v>307</v>
      </c>
      <c r="O1329" s="26">
        <v>3.0</v>
      </c>
    </row>
    <row r="1330" ht="15.75" customHeight="1">
      <c r="A1330" s="26" t="s">
        <v>5409</v>
      </c>
      <c r="B1330" s="26" t="s">
        <v>5410</v>
      </c>
      <c r="C1330" s="26" t="s">
        <v>300</v>
      </c>
      <c r="D1330" s="26" t="s">
        <v>48</v>
      </c>
      <c r="E1330" s="26" t="s">
        <v>5411</v>
      </c>
      <c r="F1330" s="26" t="s">
        <v>366</v>
      </c>
      <c r="G1330" s="26" t="s">
        <v>258</v>
      </c>
      <c r="H1330" s="26" t="s">
        <v>61</v>
      </c>
      <c r="I1330" s="26"/>
      <c r="J1330" s="26">
        <v>1.0</v>
      </c>
      <c r="K1330" s="26" t="s">
        <v>5412</v>
      </c>
      <c r="L1330" s="26" t="s">
        <v>15</v>
      </c>
      <c r="M1330" s="26" t="s">
        <v>81</v>
      </c>
      <c r="N1330" s="26" t="s">
        <v>307</v>
      </c>
      <c r="O1330" s="26">
        <v>3.0</v>
      </c>
    </row>
    <row r="1331" ht="15.75" customHeight="1">
      <c r="A1331" s="26" t="s">
        <v>5413</v>
      </c>
      <c r="B1331" s="26" t="s">
        <v>5414</v>
      </c>
      <c r="C1331" s="26" t="s">
        <v>363</v>
      </c>
      <c r="D1331" s="26" t="s">
        <v>36</v>
      </c>
      <c r="E1331" s="26" t="s">
        <v>5415</v>
      </c>
      <c r="F1331" s="26" t="s">
        <v>315</v>
      </c>
      <c r="G1331" s="26" t="s">
        <v>47</v>
      </c>
      <c r="H1331" s="26" t="s">
        <v>34</v>
      </c>
      <c r="I1331" s="26" t="s">
        <v>58</v>
      </c>
      <c r="J1331" s="26">
        <v>6.0</v>
      </c>
      <c r="K1331" s="26" t="s">
        <v>5416</v>
      </c>
      <c r="L1331" s="26" t="s">
        <v>15</v>
      </c>
      <c r="M1331" s="26" t="s">
        <v>81</v>
      </c>
      <c r="N1331" s="26" t="s">
        <v>307</v>
      </c>
      <c r="O1331" s="26">
        <v>3.0</v>
      </c>
    </row>
    <row r="1332" ht="15.75" customHeight="1">
      <c r="A1332" s="26" t="s">
        <v>5417</v>
      </c>
      <c r="B1332" s="26" t="s">
        <v>5418</v>
      </c>
      <c r="C1332" s="26" t="s">
        <v>363</v>
      </c>
      <c r="D1332" s="26" t="s">
        <v>50</v>
      </c>
      <c r="E1332" s="26" t="s">
        <v>5419</v>
      </c>
      <c r="F1332" s="26" t="s">
        <v>902</v>
      </c>
      <c r="G1332" s="26" t="s">
        <v>189</v>
      </c>
      <c r="H1332" s="26" t="s">
        <v>34</v>
      </c>
      <c r="I1332" s="26" t="s">
        <v>328</v>
      </c>
      <c r="J1332" s="26">
        <v>3.0</v>
      </c>
      <c r="K1332" s="26" t="s">
        <v>5420</v>
      </c>
      <c r="L1332" s="26" t="s">
        <v>15</v>
      </c>
      <c r="M1332" s="26" t="s">
        <v>81</v>
      </c>
      <c r="N1332" s="26" t="s">
        <v>307</v>
      </c>
      <c r="O1332" s="26">
        <v>3.0</v>
      </c>
    </row>
    <row r="1333" ht="15.75" customHeight="1">
      <c r="A1333" s="26" t="s">
        <v>5421</v>
      </c>
      <c r="B1333" s="26" t="s">
        <v>5422</v>
      </c>
      <c r="C1333" s="26" t="s">
        <v>300</v>
      </c>
      <c r="D1333" s="26" t="s">
        <v>36</v>
      </c>
      <c r="E1333" s="26" t="s">
        <v>5423</v>
      </c>
      <c r="F1333" s="26" t="s">
        <v>315</v>
      </c>
      <c r="G1333" s="26" t="s">
        <v>47</v>
      </c>
      <c r="H1333" s="26" t="s">
        <v>34</v>
      </c>
      <c r="I1333" s="26" t="s">
        <v>108</v>
      </c>
      <c r="J1333" s="26">
        <v>3.0</v>
      </c>
      <c r="K1333" s="26" t="s">
        <v>132</v>
      </c>
      <c r="L1333" s="26" t="s">
        <v>19</v>
      </c>
      <c r="M1333" s="26" t="s">
        <v>87</v>
      </c>
      <c r="N1333" s="26" t="s">
        <v>307</v>
      </c>
      <c r="O1333" s="26">
        <v>3.0</v>
      </c>
    </row>
    <row r="1334" ht="15.75" customHeight="1">
      <c r="A1334" s="26" t="s">
        <v>5424</v>
      </c>
      <c r="B1334" s="26" t="s">
        <v>5425</v>
      </c>
      <c r="C1334" s="26" t="s">
        <v>363</v>
      </c>
      <c r="D1334" s="26" t="s">
        <v>45</v>
      </c>
      <c r="E1334" s="26" t="s">
        <v>301</v>
      </c>
      <c r="F1334" s="26" t="s">
        <v>806</v>
      </c>
      <c r="G1334" s="26" t="s">
        <v>169</v>
      </c>
      <c r="H1334" s="26" t="s">
        <v>52</v>
      </c>
      <c r="I1334" s="26"/>
      <c r="J1334" s="26">
        <v>1.0</v>
      </c>
      <c r="K1334" s="26" t="s">
        <v>136</v>
      </c>
      <c r="L1334" s="26" t="s">
        <v>29</v>
      </c>
      <c r="M1334" s="26" t="s">
        <v>95</v>
      </c>
      <c r="N1334" s="26" t="s">
        <v>307</v>
      </c>
      <c r="O1334" s="26">
        <v>36.0</v>
      </c>
    </row>
    <row r="1335" ht="15.75" customHeight="1">
      <c r="A1335" s="26" t="s">
        <v>5426</v>
      </c>
      <c r="B1335" s="26" t="s">
        <v>5427</v>
      </c>
      <c r="C1335" s="26" t="s">
        <v>363</v>
      </c>
      <c r="D1335" s="26" t="s">
        <v>48</v>
      </c>
      <c r="E1335" s="26" t="s">
        <v>5428</v>
      </c>
      <c r="F1335" s="26" t="s">
        <v>984</v>
      </c>
      <c r="G1335" s="26" t="s">
        <v>265</v>
      </c>
      <c r="H1335" s="26" t="s">
        <v>34</v>
      </c>
      <c r="I1335" s="26" t="s">
        <v>258</v>
      </c>
      <c r="J1335" s="26">
        <v>5.0</v>
      </c>
      <c r="K1335" s="26" t="s">
        <v>5429</v>
      </c>
      <c r="L1335" s="26" t="s">
        <v>15</v>
      </c>
      <c r="M1335" s="26" t="s">
        <v>81</v>
      </c>
      <c r="N1335" s="26" t="s">
        <v>307</v>
      </c>
      <c r="O1335" s="26">
        <v>1.0</v>
      </c>
    </row>
    <row r="1336" ht="15.75" customHeight="1">
      <c r="A1336" s="26" t="s">
        <v>5430</v>
      </c>
      <c r="B1336" s="26" t="s">
        <v>5431</v>
      </c>
      <c r="C1336" s="26" t="s">
        <v>363</v>
      </c>
      <c r="D1336" s="26" t="s">
        <v>54</v>
      </c>
      <c r="E1336" s="26" t="s">
        <v>827</v>
      </c>
      <c r="F1336" s="26" t="s">
        <v>1620</v>
      </c>
      <c r="G1336" s="26" t="s">
        <v>438</v>
      </c>
      <c r="H1336" s="26" t="s">
        <v>34</v>
      </c>
      <c r="I1336" s="26"/>
      <c r="J1336" s="26">
        <v>0.0</v>
      </c>
      <c r="K1336" s="26" t="s">
        <v>828</v>
      </c>
      <c r="L1336" s="26" t="s">
        <v>15</v>
      </c>
      <c r="M1336" s="26" t="s">
        <v>81</v>
      </c>
      <c r="N1336" s="26" t="s">
        <v>307</v>
      </c>
      <c r="O1336" s="26">
        <v>3.0</v>
      </c>
    </row>
    <row r="1337" ht="15.75" customHeight="1">
      <c r="A1337" s="26" t="s">
        <v>5432</v>
      </c>
      <c r="B1337" s="26" t="s">
        <v>5433</v>
      </c>
      <c r="C1337" s="26" t="s">
        <v>363</v>
      </c>
      <c r="D1337" s="26" t="s">
        <v>59</v>
      </c>
      <c r="E1337" s="26" t="s">
        <v>865</v>
      </c>
      <c r="F1337" s="26" t="s">
        <v>2097</v>
      </c>
      <c r="G1337" s="26" t="s">
        <v>127</v>
      </c>
      <c r="H1337" s="26" t="s">
        <v>53</v>
      </c>
      <c r="I1337" s="26"/>
      <c r="J1337" s="26">
        <v>1.0</v>
      </c>
      <c r="K1337" s="26" t="s">
        <v>866</v>
      </c>
      <c r="L1337" s="26" t="s">
        <v>15</v>
      </c>
      <c r="M1337" s="26" t="s">
        <v>81</v>
      </c>
      <c r="N1337" s="26" t="s">
        <v>307</v>
      </c>
      <c r="O1337" s="26">
        <v>5.0</v>
      </c>
    </row>
    <row r="1338" ht="15.75" customHeight="1">
      <c r="A1338" s="26" t="s">
        <v>5432</v>
      </c>
      <c r="B1338" s="26" t="s">
        <v>5433</v>
      </c>
      <c r="C1338" s="26" t="s">
        <v>363</v>
      </c>
      <c r="D1338" s="26" t="s">
        <v>59</v>
      </c>
      <c r="E1338" s="26" t="s">
        <v>865</v>
      </c>
      <c r="F1338" s="26" t="s">
        <v>2097</v>
      </c>
      <c r="G1338" s="26" t="s">
        <v>127</v>
      </c>
      <c r="H1338" s="26" t="s">
        <v>53</v>
      </c>
      <c r="I1338" s="26"/>
      <c r="J1338" s="26">
        <v>1.0</v>
      </c>
      <c r="K1338" s="26" t="s">
        <v>466</v>
      </c>
      <c r="L1338" s="26" t="s">
        <v>29</v>
      </c>
      <c r="M1338" s="26" t="s">
        <v>95</v>
      </c>
      <c r="N1338" s="26" t="s">
        <v>307</v>
      </c>
      <c r="O1338" s="26">
        <v>5.0</v>
      </c>
    </row>
    <row r="1339" ht="15.75" customHeight="1">
      <c r="A1339" s="26" t="s">
        <v>5434</v>
      </c>
      <c r="B1339" s="26" t="s">
        <v>5435</v>
      </c>
      <c r="C1339" s="26" t="s">
        <v>300</v>
      </c>
      <c r="D1339" s="26" t="s">
        <v>50</v>
      </c>
      <c r="E1339" s="26" t="s">
        <v>5436</v>
      </c>
      <c r="F1339" s="26" t="s">
        <v>336</v>
      </c>
      <c r="G1339" s="26" t="s">
        <v>75</v>
      </c>
      <c r="H1339" s="26" t="s">
        <v>53</v>
      </c>
      <c r="I1339" s="26"/>
      <c r="J1339" s="26">
        <v>1.0</v>
      </c>
      <c r="K1339" s="26" t="s">
        <v>358</v>
      </c>
      <c r="L1339" s="26" t="s">
        <v>19</v>
      </c>
      <c r="M1339" s="26" t="s">
        <v>66</v>
      </c>
      <c r="N1339" s="26" t="s">
        <v>307</v>
      </c>
      <c r="O1339" s="26">
        <v>2.0</v>
      </c>
    </row>
    <row r="1340" ht="15.75" customHeight="1">
      <c r="A1340" s="26" t="s">
        <v>5437</v>
      </c>
      <c r="B1340" s="26" t="s">
        <v>5438</v>
      </c>
      <c r="C1340" s="26" t="s">
        <v>429</v>
      </c>
      <c r="D1340" s="26" t="s">
        <v>48</v>
      </c>
      <c r="E1340" s="26" t="s">
        <v>512</v>
      </c>
      <c r="F1340" s="26" t="s">
        <v>625</v>
      </c>
      <c r="G1340" s="26" t="s">
        <v>313</v>
      </c>
      <c r="H1340" s="26" t="s">
        <v>34</v>
      </c>
      <c r="I1340" s="26"/>
      <c r="J1340" s="26">
        <v>1.0</v>
      </c>
      <c r="K1340" s="26" t="s">
        <v>513</v>
      </c>
      <c r="L1340" s="26" t="s">
        <v>15</v>
      </c>
      <c r="M1340" s="26" t="s">
        <v>81</v>
      </c>
      <c r="N1340" s="26" t="s">
        <v>307</v>
      </c>
      <c r="O1340" s="26">
        <v>3.0</v>
      </c>
    </row>
    <row r="1341" ht="15.75" customHeight="1">
      <c r="A1341" s="26" t="s">
        <v>5439</v>
      </c>
      <c r="B1341" s="26" t="s">
        <v>5440</v>
      </c>
      <c r="C1341" s="26" t="s">
        <v>363</v>
      </c>
      <c r="D1341" s="26" t="s">
        <v>50</v>
      </c>
      <c r="E1341" s="26" t="s">
        <v>5441</v>
      </c>
      <c r="F1341" s="26" t="s">
        <v>336</v>
      </c>
      <c r="G1341" s="26" t="s">
        <v>75</v>
      </c>
      <c r="H1341" s="26" t="s">
        <v>53</v>
      </c>
      <c r="I1341" s="26"/>
      <c r="J1341" s="26">
        <v>1.0</v>
      </c>
      <c r="K1341" s="26" t="s">
        <v>358</v>
      </c>
      <c r="L1341" s="26" t="s">
        <v>19</v>
      </c>
      <c r="M1341" s="26" t="s">
        <v>66</v>
      </c>
      <c r="N1341" s="26" t="s">
        <v>307</v>
      </c>
      <c r="O1341" s="26">
        <v>1.0</v>
      </c>
    </row>
    <row r="1342" ht="15.75" customHeight="1">
      <c r="A1342" s="26" t="s">
        <v>5442</v>
      </c>
      <c r="B1342" s="26" t="s">
        <v>5443</v>
      </c>
      <c r="C1342" s="26" t="s">
        <v>363</v>
      </c>
      <c r="D1342" s="26" t="s">
        <v>50</v>
      </c>
      <c r="E1342" s="26" t="s">
        <v>5444</v>
      </c>
      <c r="F1342" s="26" t="s">
        <v>1309</v>
      </c>
      <c r="G1342" s="26" t="s">
        <v>245</v>
      </c>
      <c r="H1342" s="26" t="s">
        <v>57</v>
      </c>
      <c r="I1342" s="26" t="s">
        <v>328</v>
      </c>
      <c r="J1342" s="26">
        <v>2.0</v>
      </c>
      <c r="K1342" s="26" t="s">
        <v>5445</v>
      </c>
      <c r="L1342" s="26" t="s">
        <v>15</v>
      </c>
      <c r="M1342" s="26" t="s">
        <v>81</v>
      </c>
      <c r="N1342" s="26" t="s">
        <v>307</v>
      </c>
      <c r="O1342" s="26">
        <v>1.0</v>
      </c>
    </row>
    <row r="1343" ht="15.75" customHeight="1">
      <c r="A1343" s="26" t="s">
        <v>5446</v>
      </c>
      <c r="B1343" s="26" t="s">
        <v>5447</v>
      </c>
      <c r="C1343" s="26" t="s">
        <v>300</v>
      </c>
      <c r="D1343" s="26" t="s">
        <v>36</v>
      </c>
      <c r="E1343" s="26" t="s">
        <v>235</v>
      </c>
      <c r="F1343" s="26" t="s">
        <v>1660</v>
      </c>
      <c r="G1343" s="26" t="s">
        <v>112</v>
      </c>
      <c r="H1343" s="26" t="s">
        <v>53</v>
      </c>
      <c r="I1343" s="26" t="s">
        <v>58</v>
      </c>
      <c r="J1343" s="26">
        <v>3.0</v>
      </c>
      <c r="K1343" s="26" t="s">
        <v>5448</v>
      </c>
      <c r="L1343" s="26" t="s">
        <v>15</v>
      </c>
      <c r="M1343" s="26" t="s">
        <v>81</v>
      </c>
      <c r="N1343" s="26" t="s">
        <v>307</v>
      </c>
      <c r="O1343" s="26">
        <v>4.0</v>
      </c>
    </row>
    <row r="1344" ht="15.75" customHeight="1">
      <c r="A1344" s="26" t="s">
        <v>5449</v>
      </c>
      <c r="B1344" s="26" t="s">
        <v>5450</v>
      </c>
      <c r="C1344" s="26" t="s">
        <v>363</v>
      </c>
      <c r="D1344" s="26" t="s">
        <v>50</v>
      </c>
      <c r="E1344" s="26" t="s">
        <v>5451</v>
      </c>
      <c r="F1344" s="26" t="s">
        <v>1877</v>
      </c>
      <c r="G1344" s="26" t="s">
        <v>311</v>
      </c>
      <c r="H1344" s="26" t="s">
        <v>34</v>
      </c>
      <c r="I1344" s="26" t="s">
        <v>328</v>
      </c>
      <c r="J1344" s="26">
        <v>2.0</v>
      </c>
      <c r="K1344" s="26" t="s">
        <v>5452</v>
      </c>
      <c r="L1344" s="26" t="s">
        <v>15</v>
      </c>
      <c r="M1344" s="26" t="s">
        <v>81</v>
      </c>
      <c r="N1344" s="26" t="s">
        <v>307</v>
      </c>
      <c r="O1344" s="26">
        <v>7.0</v>
      </c>
    </row>
    <row r="1345" ht="15.75" customHeight="1">
      <c r="A1345" s="26" t="s">
        <v>5453</v>
      </c>
      <c r="B1345" s="26" t="s">
        <v>5454</v>
      </c>
      <c r="C1345" s="26" t="s">
        <v>363</v>
      </c>
      <c r="D1345" s="26" t="s">
        <v>45</v>
      </c>
      <c r="E1345" s="26" t="s">
        <v>392</v>
      </c>
      <c r="F1345" s="26" t="s">
        <v>1285</v>
      </c>
      <c r="G1345" s="26" t="s">
        <v>118</v>
      </c>
      <c r="H1345" s="26" t="s">
        <v>46</v>
      </c>
      <c r="I1345" s="26"/>
      <c r="J1345" s="26">
        <v>0.0</v>
      </c>
      <c r="K1345" s="26" t="s">
        <v>136</v>
      </c>
      <c r="L1345" s="26" t="s">
        <v>29</v>
      </c>
      <c r="M1345" s="26" t="s">
        <v>95</v>
      </c>
      <c r="N1345" s="26" t="s">
        <v>307</v>
      </c>
      <c r="O1345" s="26">
        <v>35.0</v>
      </c>
    </row>
    <row r="1346" ht="15.75" customHeight="1">
      <c r="A1346" s="26" t="s">
        <v>5455</v>
      </c>
      <c r="B1346" s="26" t="s">
        <v>5456</v>
      </c>
      <c r="C1346" s="26" t="s">
        <v>312</v>
      </c>
      <c r="D1346" s="26" t="s">
        <v>50</v>
      </c>
      <c r="E1346" s="26" t="s">
        <v>633</v>
      </c>
      <c r="F1346" s="26" t="s">
        <v>336</v>
      </c>
      <c r="G1346" s="26" t="s">
        <v>75</v>
      </c>
      <c r="H1346" s="26" t="s">
        <v>53</v>
      </c>
      <c r="I1346" s="26"/>
      <c r="J1346" s="26">
        <v>1.0</v>
      </c>
      <c r="K1346" s="26" t="s">
        <v>358</v>
      </c>
      <c r="L1346" s="26" t="s">
        <v>19</v>
      </c>
      <c r="M1346" s="26" t="s">
        <v>66</v>
      </c>
      <c r="N1346" s="26" t="s">
        <v>307</v>
      </c>
      <c r="O1346" s="26">
        <v>7.0</v>
      </c>
    </row>
    <row r="1347" ht="15.75" customHeight="1">
      <c r="A1347" s="26" t="s">
        <v>5457</v>
      </c>
      <c r="B1347" s="26" t="s">
        <v>5458</v>
      </c>
      <c r="C1347" s="26" t="s">
        <v>312</v>
      </c>
      <c r="D1347" s="26" t="s">
        <v>54</v>
      </c>
      <c r="E1347" s="26" t="s">
        <v>5459</v>
      </c>
      <c r="F1347" s="26" t="s">
        <v>432</v>
      </c>
      <c r="G1347" s="26" t="s">
        <v>182</v>
      </c>
      <c r="H1347" s="26" t="s">
        <v>34</v>
      </c>
      <c r="I1347" s="26" t="s">
        <v>217</v>
      </c>
      <c r="J1347" s="26">
        <v>2.0</v>
      </c>
      <c r="K1347" s="26" t="s">
        <v>5460</v>
      </c>
      <c r="L1347" s="26" t="s">
        <v>15</v>
      </c>
      <c r="M1347" s="26" t="s">
        <v>81</v>
      </c>
      <c r="N1347" s="26" t="s">
        <v>307</v>
      </c>
      <c r="O1347" s="26">
        <v>33.0</v>
      </c>
    </row>
    <row r="1348" ht="15.75" customHeight="1">
      <c r="A1348" s="26" t="s">
        <v>5461</v>
      </c>
      <c r="B1348" s="26" t="s">
        <v>5462</v>
      </c>
      <c r="C1348" s="26" t="s">
        <v>312</v>
      </c>
      <c r="D1348" s="26" t="s">
        <v>85</v>
      </c>
      <c r="E1348" s="26" t="s">
        <v>5463</v>
      </c>
      <c r="F1348" s="26" t="s">
        <v>698</v>
      </c>
      <c r="G1348" s="26" t="s">
        <v>102</v>
      </c>
      <c r="H1348" s="26" t="s">
        <v>53</v>
      </c>
      <c r="I1348" s="26" t="s">
        <v>600</v>
      </c>
      <c r="J1348" s="26">
        <v>2.0</v>
      </c>
      <c r="K1348" s="26" t="s">
        <v>5464</v>
      </c>
      <c r="L1348" s="26" t="s">
        <v>15</v>
      </c>
      <c r="M1348" s="26" t="s">
        <v>81</v>
      </c>
      <c r="N1348" s="26" t="s">
        <v>307</v>
      </c>
      <c r="O1348" s="26">
        <v>4.0</v>
      </c>
    </row>
    <row r="1349" ht="15.75" customHeight="1">
      <c r="A1349" s="26" t="s">
        <v>5465</v>
      </c>
      <c r="B1349" s="26" t="s">
        <v>5466</v>
      </c>
      <c r="C1349" s="26" t="s">
        <v>300</v>
      </c>
      <c r="D1349" s="26" t="s">
        <v>36</v>
      </c>
      <c r="E1349" s="26" t="s">
        <v>5467</v>
      </c>
      <c r="F1349" s="26" t="s">
        <v>315</v>
      </c>
      <c r="G1349" s="26" t="s">
        <v>47</v>
      </c>
      <c r="H1349" s="26" t="s">
        <v>34</v>
      </c>
      <c r="I1349" s="26" t="s">
        <v>101</v>
      </c>
      <c r="J1349" s="26">
        <v>3.0</v>
      </c>
      <c r="K1349" s="26" t="s">
        <v>3073</v>
      </c>
      <c r="L1349" s="26" t="s">
        <v>19</v>
      </c>
      <c r="M1349" s="26" t="s">
        <v>87</v>
      </c>
      <c r="N1349" s="26" t="s">
        <v>307</v>
      </c>
      <c r="O1349" s="26">
        <v>7.0</v>
      </c>
    </row>
    <row r="1350" ht="15.75" customHeight="1">
      <c r="A1350" s="26" t="s">
        <v>5468</v>
      </c>
      <c r="B1350" s="26" t="s">
        <v>5469</v>
      </c>
      <c r="C1350" s="26" t="s">
        <v>300</v>
      </c>
      <c r="D1350" s="26" t="s">
        <v>36</v>
      </c>
      <c r="E1350" s="26" t="s">
        <v>5470</v>
      </c>
      <c r="F1350" s="26" t="s">
        <v>315</v>
      </c>
      <c r="G1350" s="26" t="s">
        <v>47</v>
      </c>
      <c r="H1350" s="26" t="s">
        <v>34</v>
      </c>
      <c r="I1350" s="26" t="s">
        <v>101</v>
      </c>
      <c r="J1350" s="26">
        <v>3.0</v>
      </c>
      <c r="K1350" s="26" t="s">
        <v>491</v>
      </c>
      <c r="L1350" s="26" t="s">
        <v>29</v>
      </c>
      <c r="M1350" s="26" t="s">
        <v>95</v>
      </c>
      <c r="N1350" s="26" t="s">
        <v>307</v>
      </c>
      <c r="O1350" s="26">
        <v>6.0</v>
      </c>
    </row>
    <row r="1351" ht="15.75" customHeight="1">
      <c r="A1351" s="26" t="s">
        <v>5471</v>
      </c>
      <c r="B1351" s="26" t="s">
        <v>5472</v>
      </c>
      <c r="C1351" s="26" t="s">
        <v>363</v>
      </c>
      <c r="D1351" s="26" t="s">
        <v>48</v>
      </c>
      <c r="E1351" s="26" t="s">
        <v>5473</v>
      </c>
      <c r="F1351" s="26" t="s">
        <v>1727</v>
      </c>
      <c r="G1351" s="26" t="s">
        <v>284</v>
      </c>
      <c r="H1351" s="26" t="s">
        <v>46</v>
      </c>
      <c r="I1351" s="26"/>
      <c r="J1351" s="26">
        <v>0.0</v>
      </c>
      <c r="K1351" s="26" t="s">
        <v>5474</v>
      </c>
      <c r="L1351" s="26" t="s">
        <v>15</v>
      </c>
      <c r="M1351" s="26" t="s">
        <v>81</v>
      </c>
      <c r="N1351" s="26" t="s">
        <v>307</v>
      </c>
      <c r="O1351" s="26">
        <v>3.0</v>
      </c>
    </row>
    <row r="1352" ht="15.75" customHeight="1">
      <c r="A1352" s="26" t="s">
        <v>5475</v>
      </c>
      <c r="B1352" s="26" t="s">
        <v>5476</v>
      </c>
      <c r="C1352" s="26" t="s">
        <v>429</v>
      </c>
      <c r="D1352" s="26" t="s">
        <v>36</v>
      </c>
      <c r="E1352" s="26" t="s">
        <v>5477</v>
      </c>
      <c r="F1352" s="26" t="s">
        <v>2116</v>
      </c>
      <c r="G1352" s="26" t="s">
        <v>84</v>
      </c>
      <c r="H1352" s="26" t="s">
        <v>34</v>
      </c>
      <c r="I1352" s="26" t="s">
        <v>120</v>
      </c>
      <c r="J1352" s="26">
        <v>2.0</v>
      </c>
      <c r="K1352" s="26" t="s">
        <v>5478</v>
      </c>
      <c r="L1352" s="26" t="s">
        <v>15</v>
      </c>
      <c r="M1352" s="26" t="s">
        <v>81</v>
      </c>
      <c r="N1352" s="26" t="s">
        <v>307</v>
      </c>
      <c r="O1352" s="26">
        <v>6.0</v>
      </c>
    </row>
    <row r="1353" ht="15.75" customHeight="1">
      <c r="A1353" s="26" t="s">
        <v>5479</v>
      </c>
      <c r="B1353" s="26" t="s">
        <v>5480</v>
      </c>
      <c r="C1353" s="26" t="s">
        <v>363</v>
      </c>
      <c r="D1353" s="26" t="s">
        <v>72</v>
      </c>
      <c r="E1353" s="26" t="s">
        <v>5481</v>
      </c>
      <c r="F1353" s="26" t="s">
        <v>1277</v>
      </c>
      <c r="G1353" s="26" t="s">
        <v>1162</v>
      </c>
      <c r="H1353" s="26" t="s">
        <v>46</v>
      </c>
      <c r="I1353" s="26"/>
      <c r="J1353" s="26">
        <v>1.0</v>
      </c>
      <c r="K1353" s="26" t="s">
        <v>244</v>
      </c>
      <c r="L1353" s="26" t="s">
        <v>29</v>
      </c>
      <c r="M1353" s="26" t="s">
        <v>95</v>
      </c>
      <c r="N1353" s="26" t="s">
        <v>307</v>
      </c>
      <c r="O1353" s="26">
        <v>20.0</v>
      </c>
    </row>
    <row r="1354" ht="15.75" customHeight="1">
      <c r="A1354" s="26" t="s">
        <v>5482</v>
      </c>
      <c r="B1354" s="26" t="s">
        <v>5483</v>
      </c>
      <c r="C1354" s="26" t="s">
        <v>363</v>
      </c>
      <c r="D1354" s="26" t="s">
        <v>45</v>
      </c>
      <c r="E1354" s="26" t="s">
        <v>5484</v>
      </c>
      <c r="F1354" s="26" t="s">
        <v>1403</v>
      </c>
      <c r="G1354" s="26" t="s">
        <v>143</v>
      </c>
      <c r="H1354" s="26" t="s">
        <v>46</v>
      </c>
      <c r="I1354" s="26"/>
      <c r="J1354" s="26">
        <v>1.0</v>
      </c>
      <c r="K1354" s="26" t="s">
        <v>5485</v>
      </c>
      <c r="L1354" s="26" t="s">
        <v>15</v>
      </c>
      <c r="M1354" s="26" t="s">
        <v>81</v>
      </c>
      <c r="N1354" s="26" t="s">
        <v>307</v>
      </c>
      <c r="O1354" s="26">
        <v>21.0</v>
      </c>
    </row>
    <row r="1355" ht="15.75" customHeight="1">
      <c r="A1355" s="26" t="s">
        <v>5486</v>
      </c>
      <c r="B1355" s="26" t="s">
        <v>5487</v>
      </c>
      <c r="C1355" s="26" t="s">
        <v>363</v>
      </c>
      <c r="D1355" s="26" t="s">
        <v>69</v>
      </c>
      <c r="E1355" s="26" t="s">
        <v>5488</v>
      </c>
      <c r="F1355" s="26" t="s">
        <v>887</v>
      </c>
      <c r="G1355" s="26" t="s">
        <v>888</v>
      </c>
      <c r="H1355" s="26" t="s">
        <v>46</v>
      </c>
      <c r="I1355" s="26"/>
      <c r="J1355" s="26">
        <v>0.0</v>
      </c>
      <c r="K1355" s="26" t="s">
        <v>5489</v>
      </c>
      <c r="L1355" s="26" t="s">
        <v>29</v>
      </c>
      <c r="M1355" s="26" t="s">
        <v>95</v>
      </c>
      <c r="N1355" s="26" t="s">
        <v>307</v>
      </c>
      <c r="O1355" s="26">
        <v>14.0</v>
      </c>
    </row>
    <row r="1356" ht="15.75" customHeight="1">
      <c r="A1356" s="26" t="s">
        <v>5490</v>
      </c>
      <c r="B1356" s="26" t="s">
        <v>5491</v>
      </c>
      <c r="C1356" s="26" t="s">
        <v>300</v>
      </c>
      <c r="D1356" s="26" t="s">
        <v>36</v>
      </c>
      <c r="E1356" s="26" t="s">
        <v>181</v>
      </c>
      <c r="F1356" s="26" t="s">
        <v>2116</v>
      </c>
      <c r="G1356" s="26" t="s">
        <v>84</v>
      </c>
      <c r="H1356" s="26" t="s">
        <v>34</v>
      </c>
      <c r="I1356" s="26"/>
      <c r="J1356" s="26">
        <v>1.0</v>
      </c>
      <c r="K1356" s="26" t="s">
        <v>132</v>
      </c>
      <c r="L1356" s="26" t="s">
        <v>15</v>
      </c>
      <c r="M1356" s="26" t="s">
        <v>87</v>
      </c>
      <c r="N1356" s="26" t="s">
        <v>307</v>
      </c>
      <c r="O1356" s="26">
        <v>0.0</v>
      </c>
    </row>
    <row r="1357" ht="15.75" customHeight="1">
      <c r="A1357" s="26" t="s">
        <v>5492</v>
      </c>
      <c r="B1357" s="26" t="s">
        <v>5493</v>
      </c>
      <c r="C1357" s="26" t="s">
        <v>312</v>
      </c>
      <c r="D1357" s="26" t="s">
        <v>45</v>
      </c>
      <c r="E1357" s="26" t="s">
        <v>5494</v>
      </c>
      <c r="F1357" s="26" t="s">
        <v>799</v>
      </c>
      <c r="G1357" s="26" t="s">
        <v>130</v>
      </c>
      <c r="H1357" s="26" t="s">
        <v>34</v>
      </c>
      <c r="I1357" s="26" t="s">
        <v>140</v>
      </c>
      <c r="J1357" s="26">
        <v>3.0</v>
      </c>
      <c r="K1357" s="26" t="s">
        <v>4936</v>
      </c>
      <c r="L1357" s="26" t="s">
        <v>15</v>
      </c>
      <c r="M1357" s="26" t="s">
        <v>81</v>
      </c>
      <c r="N1357" s="26" t="s">
        <v>307</v>
      </c>
      <c r="O1357" s="26">
        <v>13.0</v>
      </c>
    </row>
    <row r="1358" ht="15.75" customHeight="1">
      <c r="A1358" s="26" t="s">
        <v>5492</v>
      </c>
      <c r="B1358" s="26" t="s">
        <v>5493</v>
      </c>
      <c r="C1358" s="26" t="s">
        <v>312</v>
      </c>
      <c r="D1358" s="26" t="s">
        <v>45</v>
      </c>
      <c r="E1358" s="26" t="s">
        <v>5494</v>
      </c>
      <c r="F1358" s="26" t="s">
        <v>799</v>
      </c>
      <c r="G1358" s="26" t="s">
        <v>130</v>
      </c>
      <c r="H1358" s="26" t="s">
        <v>34</v>
      </c>
      <c r="I1358" s="26" t="s">
        <v>140</v>
      </c>
      <c r="J1358" s="26">
        <v>3.0</v>
      </c>
      <c r="K1358" s="26" t="s">
        <v>5495</v>
      </c>
      <c r="L1358" s="26" t="s">
        <v>29</v>
      </c>
      <c r="M1358" s="26" t="s">
        <v>95</v>
      </c>
      <c r="N1358" s="26" t="s">
        <v>307</v>
      </c>
      <c r="O1358" s="26">
        <v>13.0</v>
      </c>
    </row>
    <row r="1359" ht="15.75" customHeight="1">
      <c r="A1359" s="26" t="s">
        <v>5496</v>
      </c>
      <c r="B1359" s="26" t="s">
        <v>5497</v>
      </c>
      <c r="C1359" s="26" t="s">
        <v>322</v>
      </c>
      <c r="D1359" s="26" t="s">
        <v>45</v>
      </c>
      <c r="E1359" s="26" t="s">
        <v>5498</v>
      </c>
      <c r="F1359" s="26" t="s">
        <v>799</v>
      </c>
      <c r="G1359" s="26" t="s">
        <v>130</v>
      </c>
      <c r="H1359" s="26" t="s">
        <v>34</v>
      </c>
      <c r="I1359" s="26" t="s">
        <v>140</v>
      </c>
      <c r="J1359" s="26">
        <v>5.0</v>
      </c>
      <c r="K1359" s="26" t="s">
        <v>5499</v>
      </c>
      <c r="L1359" s="26" t="s">
        <v>19</v>
      </c>
      <c r="M1359" s="26" t="s">
        <v>81</v>
      </c>
      <c r="N1359" s="26" t="s">
        <v>307</v>
      </c>
      <c r="O1359" s="26">
        <v>13.0</v>
      </c>
    </row>
    <row r="1360" ht="15.75" customHeight="1">
      <c r="A1360" s="26" t="s">
        <v>5500</v>
      </c>
      <c r="B1360" s="26" t="s">
        <v>4905</v>
      </c>
      <c r="C1360" s="26" t="s">
        <v>429</v>
      </c>
      <c r="D1360" s="26" t="s">
        <v>54</v>
      </c>
      <c r="E1360" s="26" t="s">
        <v>5501</v>
      </c>
      <c r="F1360" s="26" t="s">
        <v>432</v>
      </c>
      <c r="G1360" s="26" t="s">
        <v>182</v>
      </c>
      <c r="H1360" s="26" t="s">
        <v>34</v>
      </c>
      <c r="I1360" s="26" t="s">
        <v>99</v>
      </c>
      <c r="J1360" s="26">
        <v>3.0</v>
      </c>
      <c r="K1360" s="26" t="s">
        <v>5502</v>
      </c>
      <c r="L1360" s="26" t="s">
        <v>15</v>
      </c>
      <c r="M1360" s="26" t="s">
        <v>81</v>
      </c>
      <c r="N1360" s="26" t="s">
        <v>307</v>
      </c>
      <c r="O1360" s="26">
        <v>13.0</v>
      </c>
    </row>
    <row r="1361" ht="15.75" customHeight="1">
      <c r="A1361" s="26" t="s">
        <v>5503</v>
      </c>
      <c r="B1361" s="26" t="s">
        <v>5504</v>
      </c>
      <c r="C1361" s="26" t="s">
        <v>363</v>
      </c>
      <c r="D1361" s="26" t="s">
        <v>50</v>
      </c>
      <c r="E1361" s="26" t="s">
        <v>632</v>
      </c>
      <c r="F1361" s="26" t="s">
        <v>336</v>
      </c>
      <c r="G1361" s="26" t="s">
        <v>75</v>
      </c>
      <c r="H1361" s="26" t="s">
        <v>53</v>
      </c>
      <c r="I1361" s="26" t="s">
        <v>189</v>
      </c>
      <c r="J1361" s="26">
        <v>3.0</v>
      </c>
      <c r="K1361" s="26" t="s">
        <v>358</v>
      </c>
      <c r="L1361" s="26" t="s">
        <v>19</v>
      </c>
      <c r="M1361" s="26" t="s">
        <v>66</v>
      </c>
      <c r="N1361" s="26" t="s">
        <v>307</v>
      </c>
      <c r="O1361" s="26">
        <v>6.0</v>
      </c>
    </row>
    <row r="1362" ht="15.75" customHeight="1">
      <c r="A1362" s="26" t="s">
        <v>5505</v>
      </c>
      <c r="B1362" s="26" t="s">
        <v>5506</v>
      </c>
      <c r="C1362" s="26" t="s">
        <v>363</v>
      </c>
      <c r="D1362" s="26" t="s">
        <v>36</v>
      </c>
      <c r="E1362" s="26" t="s">
        <v>5507</v>
      </c>
      <c r="F1362" s="26" t="s">
        <v>663</v>
      </c>
      <c r="G1362" s="26" t="s">
        <v>44</v>
      </c>
      <c r="H1362" s="26" t="s">
        <v>34</v>
      </c>
      <c r="I1362" s="26" t="s">
        <v>51</v>
      </c>
      <c r="J1362" s="26">
        <v>3.0</v>
      </c>
      <c r="K1362" s="26" t="s">
        <v>132</v>
      </c>
      <c r="L1362" s="26" t="s">
        <v>19</v>
      </c>
      <c r="M1362" s="26" t="s">
        <v>87</v>
      </c>
      <c r="N1362" s="26" t="s">
        <v>307</v>
      </c>
      <c r="O1362" s="26">
        <v>6.0</v>
      </c>
    </row>
    <row r="1363" ht="15.75" customHeight="1">
      <c r="A1363" s="26" t="s">
        <v>5508</v>
      </c>
      <c r="B1363" s="26" t="s">
        <v>5509</v>
      </c>
      <c r="C1363" s="26" t="s">
        <v>300</v>
      </c>
      <c r="D1363" s="26" t="s">
        <v>36</v>
      </c>
      <c r="E1363" s="26" t="s">
        <v>5510</v>
      </c>
      <c r="F1363" s="26" t="s">
        <v>663</v>
      </c>
      <c r="G1363" s="26" t="s">
        <v>44</v>
      </c>
      <c r="H1363" s="26" t="s">
        <v>34</v>
      </c>
      <c r="I1363" s="26" t="s">
        <v>51</v>
      </c>
      <c r="J1363" s="26">
        <v>3.0</v>
      </c>
      <c r="K1363" s="26" t="s">
        <v>132</v>
      </c>
      <c r="L1363" s="26" t="s">
        <v>19</v>
      </c>
      <c r="M1363" s="26" t="s">
        <v>87</v>
      </c>
      <c r="N1363" s="26" t="s">
        <v>307</v>
      </c>
      <c r="O1363" s="26">
        <v>5.0</v>
      </c>
    </row>
    <row r="1364" ht="15.75" customHeight="1">
      <c r="A1364" s="26" t="s">
        <v>5511</v>
      </c>
      <c r="B1364" s="26" t="s">
        <v>5512</v>
      </c>
      <c r="C1364" s="26" t="s">
        <v>300</v>
      </c>
      <c r="D1364" s="26" t="s">
        <v>48</v>
      </c>
      <c r="E1364" s="26" t="s">
        <v>5513</v>
      </c>
      <c r="F1364" s="26" t="s">
        <v>1727</v>
      </c>
      <c r="G1364" s="26" t="s">
        <v>284</v>
      </c>
      <c r="H1364" s="26" t="s">
        <v>46</v>
      </c>
      <c r="I1364" s="26"/>
      <c r="J1364" s="26">
        <v>0.0</v>
      </c>
      <c r="K1364" s="26" t="s">
        <v>5514</v>
      </c>
      <c r="L1364" s="26" t="s">
        <v>19</v>
      </c>
      <c r="M1364" s="26" t="s">
        <v>66</v>
      </c>
      <c r="N1364" s="26" t="s">
        <v>307</v>
      </c>
      <c r="O1364" s="26">
        <v>5.0</v>
      </c>
    </row>
    <row r="1365" ht="15.75" customHeight="1">
      <c r="A1365" s="26" t="s">
        <v>5515</v>
      </c>
      <c r="B1365" s="26" t="s">
        <v>5516</v>
      </c>
      <c r="C1365" s="26" t="s">
        <v>363</v>
      </c>
      <c r="D1365" s="26" t="s">
        <v>36</v>
      </c>
      <c r="E1365" s="26" t="s">
        <v>176</v>
      </c>
      <c r="F1365" s="26" t="s">
        <v>2025</v>
      </c>
      <c r="G1365" s="26" t="s">
        <v>82</v>
      </c>
      <c r="H1365" s="26" t="s">
        <v>34</v>
      </c>
      <c r="I1365" s="26"/>
      <c r="J1365" s="26">
        <v>1.0</v>
      </c>
      <c r="K1365" s="26" t="s">
        <v>132</v>
      </c>
      <c r="L1365" s="26" t="s">
        <v>15</v>
      </c>
      <c r="M1365" s="26" t="s">
        <v>87</v>
      </c>
      <c r="N1365" s="26" t="s">
        <v>307</v>
      </c>
      <c r="O1365" s="26">
        <v>0.0</v>
      </c>
    </row>
    <row r="1366" ht="15.75" customHeight="1">
      <c r="A1366" s="26" t="s">
        <v>5517</v>
      </c>
      <c r="B1366" s="26" t="s">
        <v>5518</v>
      </c>
      <c r="C1366" s="26" t="s">
        <v>429</v>
      </c>
      <c r="D1366" s="26" t="s">
        <v>54</v>
      </c>
      <c r="E1366" s="26" t="s">
        <v>5519</v>
      </c>
      <c r="F1366" s="26" t="s">
        <v>432</v>
      </c>
      <c r="G1366" s="26" t="s">
        <v>182</v>
      </c>
      <c r="H1366" s="26" t="s">
        <v>34</v>
      </c>
      <c r="I1366" s="26" t="s">
        <v>99</v>
      </c>
      <c r="J1366" s="26">
        <v>3.0</v>
      </c>
      <c r="K1366" s="26" t="s">
        <v>5520</v>
      </c>
      <c r="L1366" s="26" t="s">
        <v>29</v>
      </c>
      <c r="M1366" s="26" t="s">
        <v>95</v>
      </c>
      <c r="N1366" s="26" t="s">
        <v>307</v>
      </c>
      <c r="O1366" s="26">
        <v>13.0</v>
      </c>
    </row>
    <row r="1367" ht="15.75" customHeight="1">
      <c r="A1367" s="26" t="s">
        <v>5521</v>
      </c>
      <c r="B1367" s="26" t="s">
        <v>5522</v>
      </c>
      <c r="C1367" s="26" t="s">
        <v>363</v>
      </c>
      <c r="D1367" s="26" t="s">
        <v>36</v>
      </c>
      <c r="E1367" s="26" t="s">
        <v>5523</v>
      </c>
      <c r="F1367" s="26" t="s">
        <v>681</v>
      </c>
      <c r="G1367" s="26" t="s">
        <v>58</v>
      </c>
      <c r="H1367" s="26" t="s">
        <v>49</v>
      </c>
      <c r="I1367" s="26" t="s">
        <v>106</v>
      </c>
      <c r="J1367" s="26">
        <v>3.0</v>
      </c>
      <c r="K1367" s="26" t="s">
        <v>5244</v>
      </c>
      <c r="L1367" s="26" t="s">
        <v>19</v>
      </c>
      <c r="M1367" s="26" t="s">
        <v>87</v>
      </c>
      <c r="N1367" s="26" t="s">
        <v>307</v>
      </c>
      <c r="O1367" s="26">
        <v>5.0</v>
      </c>
    </row>
    <row r="1368" ht="15.75" customHeight="1">
      <c r="A1368" s="26" t="s">
        <v>5517</v>
      </c>
      <c r="B1368" s="26" t="s">
        <v>5518</v>
      </c>
      <c r="C1368" s="26" t="s">
        <v>429</v>
      </c>
      <c r="D1368" s="26" t="s">
        <v>54</v>
      </c>
      <c r="E1368" s="26" t="s">
        <v>5519</v>
      </c>
      <c r="F1368" s="26" t="s">
        <v>432</v>
      </c>
      <c r="G1368" s="26" t="s">
        <v>182</v>
      </c>
      <c r="H1368" s="26" t="s">
        <v>34</v>
      </c>
      <c r="I1368" s="26" t="s">
        <v>99</v>
      </c>
      <c r="J1368" s="26">
        <v>3.0</v>
      </c>
      <c r="K1368" s="26" t="s">
        <v>5520</v>
      </c>
      <c r="L1368" s="26" t="s">
        <v>29</v>
      </c>
      <c r="M1368" s="26" t="s">
        <v>95</v>
      </c>
      <c r="N1368" s="26" t="s">
        <v>307</v>
      </c>
      <c r="O1368" s="26">
        <v>13.0</v>
      </c>
    </row>
    <row r="1369" ht="15.75" customHeight="1">
      <c r="A1369" s="26" t="s">
        <v>5524</v>
      </c>
      <c r="B1369" s="26" t="s">
        <v>5525</v>
      </c>
      <c r="C1369" s="26" t="s">
        <v>363</v>
      </c>
      <c r="D1369" s="26" t="s">
        <v>45</v>
      </c>
      <c r="E1369" s="26" t="s">
        <v>5526</v>
      </c>
      <c r="F1369" s="26" t="s">
        <v>799</v>
      </c>
      <c r="G1369" s="26" t="s">
        <v>130</v>
      </c>
      <c r="H1369" s="26" t="s">
        <v>34</v>
      </c>
      <c r="I1369" s="26" t="s">
        <v>143</v>
      </c>
      <c r="J1369" s="26">
        <v>2.0</v>
      </c>
      <c r="K1369" s="26" t="s">
        <v>4936</v>
      </c>
      <c r="L1369" s="26" t="s">
        <v>15</v>
      </c>
      <c r="M1369" s="26" t="s">
        <v>81</v>
      </c>
      <c r="N1369" s="26" t="s">
        <v>307</v>
      </c>
      <c r="O1369" s="26">
        <v>13.0</v>
      </c>
    </row>
    <row r="1370" ht="15.75" customHeight="1">
      <c r="A1370" s="26" t="s">
        <v>5527</v>
      </c>
      <c r="B1370" s="26" t="s">
        <v>5528</v>
      </c>
      <c r="C1370" s="26" t="s">
        <v>322</v>
      </c>
      <c r="D1370" s="26" t="s">
        <v>54</v>
      </c>
      <c r="E1370" s="26" t="s">
        <v>5529</v>
      </c>
      <c r="F1370" s="26" t="s">
        <v>432</v>
      </c>
      <c r="G1370" s="26" t="s">
        <v>182</v>
      </c>
      <c r="H1370" s="26" t="s">
        <v>34</v>
      </c>
      <c r="I1370" s="26" t="s">
        <v>520</v>
      </c>
      <c r="J1370" s="26">
        <v>3.0</v>
      </c>
      <c r="K1370" s="26" t="s">
        <v>4944</v>
      </c>
      <c r="L1370" s="26" t="s">
        <v>19</v>
      </c>
      <c r="M1370" s="26" t="s">
        <v>66</v>
      </c>
      <c r="N1370" s="26" t="s">
        <v>307</v>
      </c>
      <c r="O1370" s="26">
        <v>11.0</v>
      </c>
    </row>
    <row r="1371" ht="15.75" customHeight="1">
      <c r="A1371" s="26" t="s">
        <v>5530</v>
      </c>
      <c r="B1371" s="26" t="s">
        <v>5531</v>
      </c>
      <c r="C1371" s="26" t="s">
        <v>363</v>
      </c>
      <c r="D1371" s="26" t="s">
        <v>50</v>
      </c>
      <c r="E1371" s="26" t="s">
        <v>5532</v>
      </c>
      <c r="F1371" s="26" t="s">
        <v>1309</v>
      </c>
      <c r="G1371" s="26" t="s">
        <v>245</v>
      </c>
      <c r="H1371" s="26" t="s">
        <v>57</v>
      </c>
      <c r="I1371" s="26" t="s">
        <v>328</v>
      </c>
      <c r="J1371" s="26">
        <v>3.0</v>
      </c>
      <c r="K1371" s="26" t="s">
        <v>5533</v>
      </c>
      <c r="L1371" s="26" t="s">
        <v>15</v>
      </c>
      <c r="M1371" s="26" t="s">
        <v>81</v>
      </c>
      <c r="N1371" s="26" t="s">
        <v>307</v>
      </c>
      <c r="O1371" s="26">
        <v>11.0</v>
      </c>
    </row>
    <row r="1372" ht="15.75" customHeight="1">
      <c r="A1372" s="26" t="s">
        <v>5534</v>
      </c>
      <c r="B1372" s="26" t="s">
        <v>5535</v>
      </c>
      <c r="C1372" s="26" t="s">
        <v>312</v>
      </c>
      <c r="D1372" s="26" t="s">
        <v>45</v>
      </c>
      <c r="E1372" s="26" t="s">
        <v>274</v>
      </c>
      <c r="F1372" s="26" t="s">
        <v>1403</v>
      </c>
      <c r="G1372" s="26" t="s">
        <v>143</v>
      </c>
      <c r="H1372" s="26" t="s">
        <v>46</v>
      </c>
      <c r="I1372" s="26" t="s">
        <v>82</v>
      </c>
      <c r="J1372" s="26">
        <v>2.0</v>
      </c>
      <c r="K1372" s="26" t="s">
        <v>275</v>
      </c>
      <c r="L1372" s="26" t="s">
        <v>15</v>
      </c>
      <c r="M1372" s="26" t="s">
        <v>81</v>
      </c>
      <c r="N1372" s="26" t="s">
        <v>307</v>
      </c>
      <c r="O1372" s="26">
        <v>11.0</v>
      </c>
    </row>
    <row r="1373" ht="15.75" customHeight="1">
      <c r="A1373" s="26" t="s">
        <v>5536</v>
      </c>
      <c r="B1373" s="26" t="s">
        <v>5537</v>
      </c>
      <c r="C1373" s="26" t="s">
        <v>300</v>
      </c>
      <c r="D1373" s="26" t="s">
        <v>50</v>
      </c>
      <c r="E1373" s="26" t="s">
        <v>5538</v>
      </c>
      <c r="F1373" s="26" t="s">
        <v>1309</v>
      </c>
      <c r="G1373" s="26" t="s">
        <v>245</v>
      </c>
      <c r="H1373" s="26" t="s">
        <v>57</v>
      </c>
      <c r="I1373" s="26" t="s">
        <v>328</v>
      </c>
      <c r="J1373" s="26">
        <v>3.0</v>
      </c>
      <c r="K1373" s="26" t="s">
        <v>5539</v>
      </c>
      <c r="L1373" s="26" t="s">
        <v>15</v>
      </c>
      <c r="M1373" s="26" t="s">
        <v>81</v>
      </c>
      <c r="N1373" s="26" t="s">
        <v>307</v>
      </c>
      <c r="O1373" s="26">
        <v>5.0</v>
      </c>
    </row>
    <row r="1374" ht="15.75" customHeight="1">
      <c r="A1374" s="26" t="s">
        <v>5540</v>
      </c>
      <c r="B1374" s="26" t="s">
        <v>5541</v>
      </c>
      <c r="C1374" s="26" t="s">
        <v>429</v>
      </c>
      <c r="D1374" s="26" t="s">
        <v>45</v>
      </c>
      <c r="E1374" s="26" t="s">
        <v>5542</v>
      </c>
      <c r="F1374" s="26" t="s">
        <v>2178</v>
      </c>
      <c r="G1374" s="26" t="s">
        <v>161</v>
      </c>
      <c r="H1374" s="26" t="s">
        <v>57</v>
      </c>
      <c r="I1374" s="26"/>
      <c r="J1374" s="26">
        <v>1.0</v>
      </c>
      <c r="K1374" s="26" t="s">
        <v>4936</v>
      </c>
      <c r="L1374" s="26" t="s">
        <v>15</v>
      </c>
      <c r="M1374" s="26" t="s">
        <v>81</v>
      </c>
      <c r="N1374" s="26" t="s">
        <v>307</v>
      </c>
      <c r="O1374" s="26">
        <v>10.0</v>
      </c>
    </row>
    <row r="1375" ht="15.75" customHeight="1">
      <c r="A1375" s="26" t="s">
        <v>5543</v>
      </c>
      <c r="B1375" s="26" t="s">
        <v>5544</v>
      </c>
      <c r="C1375" s="26" t="s">
        <v>300</v>
      </c>
      <c r="D1375" s="26" t="s">
        <v>69</v>
      </c>
      <c r="E1375" s="26" t="s">
        <v>1023</v>
      </c>
      <c r="F1375" s="26" t="s">
        <v>440</v>
      </c>
      <c r="G1375" s="26" t="s">
        <v>83</v>
      </c>
      <c r="H1375" s="26" t="s">
        <v>46</v>
      </c>
      <c r="I1375" s="26"/>
      <c r="J1375" s="26">
        <v>1.0</v>
      </c>
      <c r="K1375" s="26" t="s">
        <v>1024</v>
      </c>
      <c r="L1375" s="26" t="s">
        <v>15</v>
      </c>
      <c r="M1375" s="26" t="s">
        <v>81</v>
      </c>
      <c r="N1375" s="26" t="s">
        <v>307</v>
      </c>
      <c r="O1375" s="26">
        <v>1.0</v>
      </c>
    </row>
    <row r="1376" ht="15.75" customHeight="1">
      <c r="A1376" s="26" t="s">
        <v>5545</v>
      </c>
      <c r="B1376" s="26" t="s">
        <v>5546</v>
      </c>
      <c r="C1376" s="26" t="s">
        <v>300</v>
      </c>
      <c r="D1376" s="26" t="s">
        <v>62</v>
      </c>
      <c r="E1376" s="26" t="s">
        <v>913</v>
      </c>
      <c r="F1376" s="26" t="s">
        <v>383</v>
      </c>
      <c r="G1376" s="26" t="s">
        <v>111</v>
      </c>
      <c r="H1376" s="26" t="s">
        <v>49</v>
      </c>
      <c r="I1376" s="26" t="s">
        <v>261</v>
      </c>
      <c r="J1376" s="26">
        <v>2.0</v>
      </c>
      <c r="K1376" s="26" t="s">
        <v>466</v>
      </c>
      <c r="L1376" s="26" t="s">
        <v>29</v>
      </c>
      <c r="M1376" s="26" t="s">
        <v>95</v>
      </c>
      <c r="N1376" s="26" t="s">
        <v>307</v>
      </c>
      <c r="O1376" s="26">
        <v>1.0</v>
      </c>
    </row>
    <row r="1377" ht="15.75" customHeight="1">
      <c r="A1377" s="26" t="s">
        <v>5547</v>
      </c>
      <c r="B1377" s="26" t="s">
        <v>5548</v>
      </c>
      <c r="C1377" s="26" t="s">
        <v>429</v>
      </c>
      <c r="D1377" s="26" t="s">
        <v>45</v>
      </c>
      <c r="E1377" s="26" t="s">
        <v>5549</v>
      </c>
      <c r="F1377" s="26" t="s">
        <v>799</v>
      </c>
      <c r="G1377" s="26" t="s">
        <v>130</v>
      </c>
      <c r="H1377" s="26" t="s">
        <v>34</v>
      </c>
      <c r="I1377" s="26"/>
      <c r="J1377" s="26">
        <v>1.0</v>
      </c>
      <c r="K1377" s="26" t="s">
        <v>4936</v>
      </c>
      <c r="L1377" s="26" t="s">
        <v>15</v>
      </c>
      <c r="M1377" s="26" t="s">
        <v>81</v>
      </c>
      <c r="N1377" s="26" t="s">
        <v>307</v>
      </c>
      <c r="O1377" s="26">
        <v>10.0</v>
      </c>
    </row>
    <row r="1378" ht="15.75" customHeight="1">
      <c r="A1378" s="26" t="s">
        <v>5550</v>
      </c>
      <c r="B1378" s="26" t="s">
        <v>5551</v>
      </c>
      <c r="C1378" s="26" t="s">
        <v>312</v>
      </c>
      <c r="D1378" s="26" t="s">
        <v>45</v>
      </c>
      <c r="E1378" s="26" t="s">
        <v>5552</v>
      </c>
      <c r="F1378" s="26" t="s">
        <v>799</v>
      </c>
      <c r="G1378" s="26" t="s">
        <v>130</v>
      </c>
      <c r="H1378" s="26" t="s">
        <v>34</v>
      </c>
      <c r="I1378" s="26" t="s">
        <v>82</v>
      </c>
      <c r="J1378" s="26">
        <v>2.0</v>
      </c>
      <c r="K1378" s="26" t="s">
        <v>5263</v>
      </c>
      <c r="L1378" s="26" t="s">
        <v>15</v>
      </c>
      <c r="M1378" s="26" t="s">
        <v>81</v>
      </c>
      <c r="N1378" s="26" t="s">
        <v>307</v>
      </c>
      <c r="O1378" s="26">
        <v>2.0</v>
      </c>
    </row>
    <row r="1379" ht="15.75" customHeight="1">
      <c r="A1379" s="26" t="s">
        <v>5553</v>
      </c>
      <c r="B1379" s="26" t="s">
        <v>5554</v>
      </c>
      <c r="C1379" s="26" t="s">
        <v>429</v>
      </c>
      <c r="D1379" s="26" t="s">
        <v>45</v>
      </c>
      <c r="E1379" s="26" t="s">
        <v>5555</v>
      </c>
      <c r="F1379" s="26" t="s">
        <v>303</v>
      </c>
      <c r="G1379" s="26" t="s">
        <v>140</v>
      </c>
      <c r="H1379" s="26" t="s">
        <v>34</v>
      </c>
      <c r="I1379" s="26" t="s">
        <v>166</v>
      </c>
      <c r="J1379" s="26">
        <v>3.0</v>
      </c>
      <c r="K1379" s="26" t="s">
        <v>5556</v>
      </c>
      <c r="L1379" s="26" t="s">
        <v>15</v>
      </c>
      <c r="M1379" s="26" t="s">
        <v>81</v>
      </c>
      <c r="N1379" s="26" t="s">
        <v>307</v>
      </c>
      <c r="O1379" s="26">
        <v>2.0</v>
      </c>
    </row>
    <row r="1380" ht="15.75" customHeight="1">
      <c r="A1380" s="26" t="s">
        <v>5557</v>
      </c>
      <c r="B1380" s="26" t="s">
        <v>5558</v>
      </c>
      <c r="C1380" s="26" t="s">
        <v>363</v>
      </c>
      <c r="D1380" s="26" t="s">
        <v>48</v>
      </c>
      <c r="E1380" s="26" t="s">
        <v>5559</v>
      </c>
      <c r="F1380" s="26" t="s">
        <v>834</v>
      </c>
      <c r="G1380" s="26" t="s">
        <v>267</v>
      </c>
      <c r="H1380" s="26" t="s">
        <v>34</v>
      </c>
      <c r="I1380" s="26"/>
      <c r="J1380" s="26">
        <v>1.0</v>
      </c>
      <c r="K1380" s="26" t="s">
        <v>5560</v>
      </c>
      <c r="L1380" s="26" t="s">
        <v>15</v>
      </c>
      <c r="M1380" s="26" t="s">
        <v>81</v>
      </c>
      <c r="N1380" s="26" t="s">
        <v>307</v>
      </c>
      <c r="O1380" s="26">
        <v>4.0</v>
      </c>
    </row>
    <row r="1381" ht="15.75" customHeight="1">
      <c r="A1381" s="26" t="s">
        <v>5561</v>
      </c>
      <c r="B1381" s="26" t="s">
        <v>5562</v>
      </c>
      <c r="C1381" s="26" t="s">
        <v>429</v>
      </c>
      <c r="D1381" s="26" t="s">
        <v>93</v>
      </c>
      <c r="E1381" s="26" t="s">
        <v>1413</v>
      </c>
      <c r="F1381" s="26" t="s">
        <v>1826</v>
      </c>
      <c r="G1381" s="26" t="s">
        <v>1404</v>
      </c>
      <c r="H1381" s="26" t="s">
        <v>34</v>
      </c>
      <c r="I1381" s="26"/>
      <c r="J1381" s="26">
        <v>1.0</v>
      </c>
      <c r="K1381" s="26" t="s">
        <v>1414</v>
      </c>
      <c r="L1381" s="26" t="s">
        <v>19</v>
      </c>
      <c r="M1381" s="26" t="s">
        <v>66</v>
      </c>
      <c r="N1381" s="26" t="s">
        <v>307</v>
      </c>
      <c r="O1381" s="26">
        <v>6.0</v>
      </c>
    </row>
    <row r="1382" ht="15.75" customHeight="1">
      <c r="A1382" s="26" t="s">
        <v>5563</v>
      </c>
      <c r="B1382" s="26" t="s">
        <v>5564</v>
      </c>
      <c r="C1382" s="26" t="s">
        <v>312</v>
      </c>
      <c r="D1382" s="26" t="s">
        <v>69</v>
      </c>
      <c r="E1382" s="26" t="s">
        <v>5565</v>
      </c>
      <c r="F1382" s="26" t="s">
        <v>1448</v>
      </c>
      <c r="G1382" s="26" t="s">
        <v>1060</v>
      </c>
      <c r="H1382" s="26" t="s">
        <v>49</v>
      </c>
      <c r="I1382" s="26" t="s">
        <v>1081</v>
      </c>
      <c r="J1382" s="26">
        <v>4.0</v>
      </c>
      <c r="K1382" s="26" t="s">
        <v>5566</v>
      </c>
      <c r="L1382" s="26" t="s">
        <v>19</v>
      </c>
      <c r="M1382" s="26" t="s">
        <v>81</v>
      </c>
      <c r="N1382" s="26" t="s">
        <v>307</v>
      </c>
      <c r="O1382" s="26">
        <v>6.0</v>
      </c>
    </row>
    <row r="1383" ht="15.75" customHeight="1">
      <c r="A1383" s="26" t="s">
        <v>5567</v>
      </c>
      <c r="B1383" s="26" t="s">
        <v>5568</v>
      </c>
      <c r="C1383" s="26" t="s">
        <v>300</v>
      </c>
      <c r="D1383" s="26" t="s">
        <v>69</v>
      </c>
      <c r="E1383" s="26" t="s">
        <v>5569</v>
      </c>
      <c r="F1383" s="26" t="s">
        <v>440</v>
      </c>
      <c r="G1383" s="26" t="s">
        <v>83</v>
      </c>
      <c r="H1383" s="26" t="s">
        <v>46</v>
      </c>
      <c r="I1383" s="26" t="s">
        <v>5227</v>
      </c>
      <c r="J1383" s="26">
        <v>2.0</v>
      </c>
      <c r="K1383" s="26" t="s">
        <v>5570</v>
      </c>
      <c r="L1383" s="26" t="s">
        <v>15</v>
      </c>
      <c r="M1383" s="26" t="s">
        <v>81</v>
      </c>
      <c r="N1383" s="26" t="s">
        <v>307</v>
      </c>
      <c r="O1383" s="26">
        <v>4.0</v>
      </c>
    </row>
    <row r="1384" ht="15.75" customHeight="1">
      <c r="A1384" s="26" t="s">
        <v>5571</v>
      </c>
      <c r="B1384" s="26" t="s">
        <v>5572</v>
      </c>
      <c r="C1384" s="26" t="s">
        <v>300</v>
      </c>
      <c r="D1384" s="26" t="s">
        <v>72</v>
      </c>
      <c r="E1384" s="26" t="s">
        <v>5573</v>
      </c>
      <c r="F1384" s="26" t="s">
        <v>2422</v>
      </c>
      <c r="G1384" s="26" t="s">
        <v>90</v>
      </c>
      <c r="H1384" s="26" t="s">
        <v>34</v>
      </c>
      <c r="I1384" s="26" t="s">
        <v>109</v>
      </c>
      <c r="J1384" s="26">
        <v>4.0</v>
      </c>
      <c r="K1384" s="26" t="s">
        <v>5574</v>
      </c>
      <c r="L1384" s="26" t="s">
        <v>19</v>
      </c>
      <c r="M1384" s="26" t="s">
        <v>81</v>
      </c>
      <c r="N1384" s="26" t="s">
        <v>307</v>
      </c>
      <c r="O1384" s="26">
        <v>7.0</v>
      </c>
    </row>
    <row r="1385" ht="15.75" customHeight="1">
      <c r="A1385" s="26" t="s">
        <v>5575</v>
      </c>
      <c r="B1385" s="26" t="s">
        <v>5576</v>
      </c>
      <c r="C1385" s="26" t="s">
        <v>312</v>
      </c>
      <c r="D1385" s="26" t="s">
        <v>50</v>
      </c>
      <c r="E1385" s="26" t="s">
        <v>5577</v>
      </c>
      <c r="F1385" s="26" t="s">
        <v>847</v>
      </c>
      <c r="G1385" s="26" t="s">
        <v>328</v>
      </c>
      <c r="H1385" s="26" t="s">
        <v>49</v>
      </c>
      <c r="I1385" s="26" t="s">
        <v>566</v>
      </c>
      <c r="J1385" s="26">
        <v>2.0</v>
      </c>
      <c r="K1385" s="26" t="s">
        <v>5578</v>
      </c>
      <c r="L1385" s="26" t="s">
        <v>15</v>
      </c>
      <c r="M1385" s="26" t="s">
        <v>81</v>
      </c>
      <c r="N1385" s="26" t="s">
        <v>307</v>
      </c>
      <c r="O1385" s="26">
        <v>4.0</v>
      </c>
    </row>
    <row r="1386" ht="15.75" customHeight="1">
      <c r="A1386" s="26" t="s">
        <v>5579</v>
      </c>
      <c r="B1386" s="26" t="s">
        <v>5580</v>
      </c>
      <c r="C1386" s="26" t="s">
        <v>312</v>
      </c>
      <c r="D1386" s="26" t="s">
        <v>36</v>
      </c>
      <c r="E1386" s="26" t="s">
        <v>5581</v>
      </c>
      <c r="F1386" s="26" t="s">
        <v>663</v>
      </c>
      <c r="G1386" s="26" t="s">
        <v>44</v>
      </c>
      <c r="H1386" s="26" t="s">
        <v>34</v>
      </c>
      <c r="I1386" s="26"/>
      <c r="J1386" s="26">
        <v>1.0</v>
      </c>
      <c r="K1386" s="26" t="s">
        <v>5582</v>
      </c>
      <c r="L1386" s="26" t="s">
        <v>15</v>
      </c>
      <c r="M1386" s="26" t="s">
        <v>81</v>
      </c>
      <c r="N1386" s="26" t="s">
        <v>307</v>
      </c>
      <c r="O1386" s="26">
        <v>4.0</v>
      </c>
    </row>
    <row r="1387" ht="15.75" customHeight="1">
      <c r="A1387" s="26" t="s">
        <v>5583</v>
      </c>
      <c r="B1387" s="26" t="s">
        <v>5584</v>
      </c>
      <c r="C1387" s="26" t="s">
        <v>300</v>
      </c>
      <c r="D1387" s="26" t="s">
        <v>93</v>
      </c>
      <c r="E1387" s="26" t="s">
        <v>5585</v>
      </c>
      <c r="F1387" s="26" t="s">
        <v>1826</v>
      </c>
      <c r="G1387" s="26" t="s">
        <v>1404</v>
      </c>
      <c r="H1387" s="26" t="s">
        <v>34</v>
      </c>
      <c r="I1387" s="26"/>
      <c r="J1387" s="26">
        <v>1.0</v>
      </c>
      <c r="K1387" s="26" t="s">
        <v>5586</v>
      </c>
      <c r="L1387" s="26" t="s">
        <v>19</v>
      </c>
      <c r="M1387" s="26" t="s">
        <v>66</v>
      </c>
      <c r="N1387" s="26" t="s">
        <v>307</v>
      </c>
      <c r="O1387" s="26">
        <v>12.0</v>
      </c>
    </row>
    <row r="1388" ht="15.75" customHeight="1">
      <c r="A1388" s="26" t="s">
        <v>5587</v>
      </c>
      <c r="B1388" s="26" t="s">
        <v>5588</v>
      </c>
      <c r="C1388" s="26" t="s">
        <v>363</v>
      </c>
      <c r="D1388" s="26" t="s">
        <v>62</v>
      </c>
      <c r="E1388" s="26" t="s">
        <v>5589</v>
      </c>
      <c r="F1388" s="26" t="s">
        <v>1813</v>
      </c>
      <c r="G1388" s="26" t="s">
        <v>107</v>
      </c>
      <c r="H1388" s="26" t="s">
        <v>46</v>
      </c>
      <c r="I1388" s="26" t="s">
        <v>1001</v>
      </c>
      <c r="J1388" s="26">
        <v>2.0</v>
      </c>
      <c r="K1388" s="26" t="s">
        <v>5590</v>
      </c>
      <c r="L1388" s="26" t="s">
        <v>19</v>
      </c>
      <c r="M1388" s="26" t="s">
        <v>66</v>
      </c>
      <c r="N1388" s="26" t="s">
        <v>307</v>
      </c>
      <c r="O1388" s="26">
        <v>2.0</v>
      </c>
    </row>
    <row r="1389" ht="15.75" customHeight="1">
      <c r="A1389" s="26" t="s">
        <v>5591</v>
      </c>
      <c r="B1389" s="26" t="s">
        <v>5592</v>
      </c>
      <c r="C1389" s="26" t="s">
        <v>312</v>
      </c>
      <c r="D1389" s="26" t="s">
        <v>50</v>
      </c>
      <c r="E1389" s="26" t="s">
        <v>5593</v>
      </c>
      <c r="F1389" s="26" t="s">
        <v>1309</v>
      </c>
      <c r="G1389" s="26" t="s">
        <v>245</v>
      </c>
      <c r="H1389" s="26" t="s">
        <v>57</v>
      </c>
      <c r="I1389" s="26" t="s">
        <v>328</v>
      </c>
      <c r="J1389" s="26">
        <v>3.0</v>
      </c>
      <c r="K1389" s="26" t="s">
        <v>5594</v>
      </c>
      <c r="L1389" s="26" t="s">
        <v>15</v>
      </c>
      <c r="M1389" s="26" t="s">
        <v>81</v>
      </c>
      <c r="N1389" s="26" t="s">
        <v>307</v>
      </c>
      <c r="O1389" s="26">
        <v>3.0</v>
      </c>
    </row>
    <row r="1390" ht="15.75" customHeight="1">
      <c r="A1390" s="26" t="s">
        <v>5595</v>
      </c>
      <c r="B1390" s="26" t="s">
        <v>5596</v>
      </c>
      <c r="C1390" s="26" t="s">
        <v>363</v>
      </c>
      <c r="D1390" s="26" t="s">
        <v>59</v>
      </c>
      <c r="E1390" s="26" t="s">
        <v>5597</v>
      </c>
      <c r="F1390" s="26" t="s">
        <v>2097</v>
      </c>
      <c r="G1390" s="26" t="s">
        <v>127</v>
      </c>
      <c r="H1390" s="26" t="s">
        <v>53</v>
      </c>
      <c r="I1390" s="26" t="s">
        <v>373</v>
      </c>
      <c r="J1390" s="26">
        <v>2.0</v>
      </c>
      <c r="K1390" s="26" t="s">
        <v>5598</v>
      </c>
      <c r="L1390" s="26" t="s">
        <v>15</v>
      </c>
      <c r="M1390" s="26" t="s">
        <v>81</v>
      </c>
      <c r="N1390" s="26" t="s">
        <v>307</v>
      </c>
      <c r="O1390" s="26">
        <v>2.0</v>
      </c>
    </row>
    <row r="1391" ht="15.75" customHeight="1">
      <c r="A1391" s="26" t="s">
        <v>5599</v>
      </c>
      <c r="B1391" s="26" t="s">
        <v>5600</v>
      </c>
      <c r="C1391" s="26" t="s">
        <v>363</v>
      </c>
      <c r="D1391" s="26" t="s">
        <v>45</v>
      </c>
      <c r="E1391" s="26" t="s">
        <v>5601</v>
      </c>
      <c r="F1391" s="26" t="s">
        <v>303</v>
      </c>
      <c r="G1391" s="26" t="s">
        <v>140</v>
      </c>
      <c r="H1391" s="26" t="s">
        <v>34</v>
      </c>
      <c r="I1391" s="26" t="s">
        <v>82</v>
      </c>
      <c r="J1391" s="26">
        <v>2.0</v>
      </c>
      <c r="K1391" s="26" t="s">
        <v>5263</v>
      </c>
      <c r="L1391" s="26" t="s">
        <v>15</v>
      </c>
      <c r="M1391" s="26" t="s">
        <v>81</v>
      </c>
      <c r="N1391" s="26" t="s">
        <v>307</v>
      </c>
      <c r="O1391" s="26">
        <v>2.0</v>
      </c>
    </row>
    <row r="1392" ht="15.75" customHeight="1">
      <c r="A1392" s="26" t="s">
        <v>5602</v>
      </c>
      <c r="B1392" s="26" t="s">
        <v>5603</v>
      </c>
      <c r="C1392" s="26" t="s">
        <v>300</v>
      </c>
      <c r="D1392" s="26" t="s">
        <v>54</v>
      </c>
      <c r="E1392" s="26" t="s">
        <v>5604</v>
      </c>
      <c r="F1392" s="26" t="s">
        <v>432</v>
      </c>
      <c r="G1392" s="26" t="s">
        <v>182</v>
      </c>
      <c r="H1392" s="26" t="s">
        <v>34</v>
      </c>
      <c r="I1392" s="26" t="s">
        <v>217</v>
      </c>
      <c r="J1392" s="26">
        <v>2.0</v>
      </c>
      <c r="K1392" s="26" t="s">
        <v>5605</v>
      </c>
      <c r="L1392" s="26" t="s">
        <v>15</v>
      </c>
      <c r="M1392" s="26" t="s">
        <v>81</v>
      </c>
      <c r="N1392" s="26" t="s">
        <v>307</v>
      </c>
      <c r="O1392" s="26">
        <v>1.0</v>
      </c>
    </row>
    <row r="1393" ht="15.75" customHeight="1">
      <c r="A1393" s="26" t="s">
        <v>5606</v>
      </c>
      <c r="B1393" s="26" t="s">
        <v>5607</v>
      </c>
      <c r="C1393" s="26" t="s">
        <v>300</v>
      </c>
      <c r="D1393" s="26" t="s">
        <v>36</v>
      </c>
      <c r="E1393" s="26" t="s">
        <v>203</v>
      </c>
      <c r="F1393" s="26" t="s">
        <v>3847</v>
      </c>
      <c r="G1393" s="26" t="s">
        <v>98</v>
      </c>
      <c r="H1393" s="26" t="s">
        <v>34</v>
      </c>
      <c r="I1393" s="26" t="s">
        <v>82</v>
      </c>
      <c r="J1393" s="26">
        <v>2.0</v>
      </c>
      <c r="K1393" s="26" t="s">
        <v>132</v>
      </c>
      <c r="L1393" s="26" t="s">
        <v>15</v>
      </c>
      <c r="M1393" s="26" t="s">
        <v>87</v>
      </c>
      <c r="N1393" s="26" t="s">
        <v>307</v>
      </c>
      <c r="O1393" s="26">
        <v>3.0</v>
      </c>
    </row>
    <row r="1394" ht="15.75" customHeight="1">
      <c r="A1394" s="26" t="s">
        <v>5608</v>
      </c>
      <c r="B1394" s="26" t="s">
        <v>5609</v>
      </c>
      <c r="C1394" s="26" t="s">
        <v>300</v>
      </c>
      <c r="D1394" s="26" t="s">
        <v>45</v>
      </c>
      <c r="E1394" s="26" t="s">
        <v>5610</v>
      </c>
      <c r="F1394" s="26" t="s">
        <v>744</v>
      </c>
      <c r="G1394" s="26" t="s">
        <v>148</v>
      </c>
      <c r="H1394" s="26" t="s">
        <v>34</v>
      </c>
      <c r="I1394" s="26" t="s">
        <v>130</v>
      </c>
      <c r="J1394" s="26">
        <v>7.0</v>
      </c>
      <c r="K1394" s="26" t="s">
        <v>4936</v>
      </c>
      <c r="L1394" s="26" t="s">
        <v>15</v>
      </c>
      <c r="M1394" s="26" t="s">
        <v>81</v>
      </c>
      <c r="N1394" s="26" t="s">
        <v>307</v>
      </c>
      <c r="O1394" s="26">
        <v>1.0</v>
      </c>
    </row>
    <row r="1395" ht="15.75" customHeight="1">
      <c r="A1395" s="26" t="s">
        <v>5611</v>
      </c>
      <c r="B1395" s="26" t="s">
        <v>5612</v>
      </c>
      <c r="C1395" s="26" t="s">
        <v>300</v>
      </c>
      <c r="D1395" s="26" t="s">
        <v>54</v>
      </c>
      <c r="E1395" s="26" t="s">
        <v>5613</v>
      </c>
      <c r="F1395" s="26" t="s">
        <v>347</v>
      </c>
      <c r="G1395" s="26" t="s">
        <v>99</v>
      </c>
      <c r="H1395" s="26" t="s">
        <v>49</v>
      </c>
      <c r="I1395" s="26" t="s">
        <v>217</v>
      </c>
      <c r="J1395" s="26">
        <v>2.0</v>
      </c>
      <c r="K1395" s="26" t="s">
        <v>5614</v>
      </c>
      <c r="L1395" s="26" t="s">
        <v>19</v>
      </c>
      <c r="M1395" s="26" t="s">
        <v>87</v>
      </c>
      <c r="N1395" s="26" t="s">
        <v>307</v>
      </c>
      <c r="O1395" s="26">
        <v>1.0</v>
      </c>
    </row>
    <row r="1396" ht="15.75" customHeight="1">
      <c r="A1396" s="26" t="s">
        <v>5615</v>
      </c>
      <c r="B1396" s="26" t="s">
        <v>5616</v>
      </c>
      <c r="C1396" s="26" t="s">
        <v>429</v>
      </c>
      <c r="D1396" s="26" t="s">
        <v>48</v>
      </c>
      <c r="E1396" s="26" t="s">
        <v>5617</v>
      </c>
      <c r="F1396" s="26" t="s">
        <v>1727</v>
      </c>
      <c r="G1396" s="26" t="s">
        <v>284</v>
      </c>
      <c r="H1396" s="26" t="s">
        <v>46</v>
      </c>
      <c r="I1396" s="26"/>
      <c r="J1396" s="26">
        <v>0.0</v>
      </c>
      <c r="K1396" s="26" t="s">
        <v>5618</v>
      </c>
      <c r="L1396" s="26" t="s">
        <v>15</v>
      </c>
      <c r="M1396" s="26" t="s">
        <v>81</v>
      </c>
      <c r="N1396" s="26" t="s">
        <v>307</v>
      </c>
      <c r="O1396" s="26">
        <v>3.0</v>
      </c>
    </row>
    <row r="1397" ht="15.75" customHeight="1">
      <c r="A1397" s="26" t="s">
        <v>5619</v>
      </c>
      <c r="B1397" s="26" t="s">
        <v>5620</v>
      </c>
      <c r="C1397" s="26" t="s">
        <v>363</v>
      </c>
      <c r="D1397" s="26" t="s">
        <v>45</v>
      </c>
      <c r="E1397" s="26" t="s">
        <v>5621</v>
      </c>
      <c r="F1397" s="26" t="s">
        <v>303</v>
      </c>
      <c r="G1397" s="26" t="s">
        <v>140</v>
      </c>
      <c r="H1397" s="26" t="s">
        <v>34</v>
      </c>
      <c r="I1397" s="26" t="s">
        <v>143</v>
      </c>
      <c r="J1397" s="26">
        <v>6.0</v>
      </c>
      <c r="K1397" s="26" t="s">
        <v>5622</v>
      </c>
      <c r="L1397" s="26" t="s">
        <v>15</v>
      </c>
      <c r="M1397" s="26" t="s">
        <v>81</v>
      </c>
      <c r="N1397" s="26" t="s">
        <v>307</v>
      </c>
      <c r="O1397" s="26">
        <v>2.0</v>
      </c>
    </row>
    <row r="1398" ht="15.75" customHeight="1">
      <c r="A1398" s="26" t="s">
        <v>5623</v>
      </c>
      <c r="B1398" s="26" t="s">
        <v>5624</v>
      </c>
      <c r="C1398" s="26" t="s">
        <v>363</v>
      </c>
      <c r="D1398" s="26" t="s">
        <v>45</v>
      </c>
      <c r="E1398" s="26" t="s">
        <v>414</v>
      </c>
      <c r="F1398" s="26" t="s">
        <v>3099</v>
      </c>
      <c r="G1398" s="26" t="s">
        <v>226</v>
      </c>
      <c r="H1398" s="26" t="s">
        <v>34</v>
      </c>
      <c r="I1398" s="26"/>
      <c r="J1398" s="26">
        <v>1.0</v>
      </c>
      <c r="K1398" s="26" t="s">
        <v>415</v>
      </c>
      <c r="L1398" s="26" t="s">
        <v>19</v>
      </c>
      <c r="M1398" s="26" t="s">
        <v>66</v>
      </c>
      <c r="N1398" s="26" t="s">
        <v>307</v>
      </c>
      <c r="O1398" s="26">
        <v>3.0</v>
      </c>
    </row>
    <row r="1399" ht="15.75" customHeight="1">
      <c r="A1399" s="26" t="s">
        <v>5625</v>
      </c>
      <c r="B1399" s="26" t="s">
        <v>5626</v>
      </c>
      <c r="C1399" s="26" t="s">
        <v>363</v>
      </c>
      <c r="D1399" s="26" t="s">
        <v>36</v>
      </c>
      <c r="E1399" s="26" t="s">
        <v>5627</v>
      </c>
      <c r="F1399" s="26" t="s">
        <v>3132</v>
      </c>
      <c r="G1399" s="26" t="s">
        <v>77</v>
      </c>
      <c r="H1399" s="26" t="s">
        <v>46</v>
      </c>
      <c r="I1399" s="26"/>
      <c r="J1399" s="26">
        <v>0.0</v>
      </c>
      <c r="K1399" s="26" t="s">
        <v>132</v>
      </c>
      <c r="L1399" s="26" t="s">
        <v>19</v>
      </c>
      <c r="M1399" s="26" t="s">
        <v>87</v>
      </c>
      <c r="N1399" s="26" t="s">
        <v>307</v>
      </c>
      <c r="O1399" s="26">
        <v>3.0</v>
      </c>
    </row>
    <row r="1400" ht="15.75" customHeight="1">
      <c r="A1400" s="26" t="s">
        <v>5628</v>
      </c>
      <c r="B1400" s="26" t="s">
        <v>5629</v>
      </c>
      <c r="C1400" s="26" t="s">
        <v>312</v>
      </c>
      <c r="D1400" s="26" t="s">
        <v>48</v>
      </c>
      <c r="E1400" s="26" t="s">
        <v>5630</v>
      </c>
      <c r="F1400" s="26" t="s">
        <v>1727</v>
      </c>
      <c r="G1400" s="26" t="s">
        <v>284</v>
      </c>
      <c r="H1400" s="26" t="s">
        <v>46</v>
      </c>
      <c r="I1400" s="26"/>
      <c r="J1400" s="26">
        <v>0.0</v>
      </c>
      <c r="K1400" s="26" t="s">
        <v>5631</v>
      </c>
      <c r="L1400" s="26" t="s">
        <v>15</v>
      </c>
      <c r="M1400" s="26" t="s">
        <v>81</v>
      </c>
      <c r="N1400" s="26" t="s">
        <v>307</v>
      </c>
      <c r="O1400" s="26">
        <v>4.0</v>
      </c>
    </row>
    <row r="1401" ht="15.75" customHeight="1">
      <c r="A1401" s="26" t="s">
        <v>5632</v>
      </c>
      <c r="B1401" s="26" t="s">
        <v>5633</v>
      </c>
      <c r="C1401" s="26" t="s">
        <v>363</v>
      </c>
      <c r="D1401" s="26" t="s">
        <v>48</v>
      </c>
      <c r="E1401" s="26" t="s">
        <v>5634</v>
      </c>
      <c r="F1401" s="26" t="s">
        <v>366</v>
      </c>
      <c r="G1401" s="26" t="s">
        <v>258</v>
      </c>
      <c r="H1401" s="26" t="s">
        <v>61</v>
      </c>
      <c r="I1401" s="26" t="s">
        <v>401</v>
      </c>
      <c r="J1401" s="26">
        <v>4.0</v>
      </c>
      <c r="K1401" s="26" t="s">
        <v>5635</v>
      </c>
      <c r="L1401" s="26" t="s">
        <v>15</v>
      </c>
      <c r="M1401" s="26" t="s">
        <v>81</v>
      </c>
      <c r="N1401" s="26" t="s">
        <v>307</v>
      </c>
      <c r="O1401" s="26">
        <v>6.0</v>
      </c>
    </row>
    <row r="1402" ht="15.75" customHeight="1">
      <c r="A1402" s="26" t="s">
        <v>5636</v>
      </c>
      <c r="B1402" s="26" t="s">
        <v>5637</v>
      </c>
      <c r="C1402" s="26" t="s">
        <v>312</v>
      </c>
      <c r="D1402" s="26" t="s">
        <v>48</v>
      </c>
      <c r="E1402" s="26" t="s">
        <v>5638</v>
      </c>
      <c r="F1402" s="26" t="s">
        <v>984</v>
      </c>
      <c r="G1402" s="26" t="s">
        <v>265</v>
      </c>
      <c r="H1402" s="26" t="s">
        <v>34</v>
      </c>
      <c r="I1402" s="26" t="s">
        <v>258</v>
      </c>
      <c r="J1402" s="26">
        <v>4.0</v>
      </c>
      <c r="K1402" s="26" t="s">
        <v>5639</v>
      </c>
      <c r="L1402" s="26" t="s">
        <v>15</v>
      </c>
      <c r="M1402" s="26" t="s">
        <v>81</v>
      </c>
      <c r="N1402" s="26" t="s">
        <v>307</v>
      </c>
      <c r="O1402" s="26">
        <v>5.0</v>
      </c>
    </row>
    <row r="1403" ht="15.75" customHeight="1">
      <c r="A1403" s="26" t="s">
        <v>5640</v>
      </c>
      <c r="B1403" s="26" t="s">
        <v>5641</v>
      </c>
      <c r="C1403" s="26" t="s">
        <v>312</v>
      </c>
      <c r="D1403" s="26" t="s">
        <v>54</v>
      </c>
      <c r="E1403" s="26" t="s">
        <v>5642</v>
      </c>
      <c r="F1403" s="26" t="s">
        <v>790</v>
      </c>
      <c r="G1403" s="26" t="s">
        <v>646</v>
      </c>
      <c r="H1403" s="26" t="s">
        <v>46</v>
      </c>
      <c r="I1403" s="26"/>
      <c r="J1403" s="26">
        <v>0.0</v>
      </c>
      <c r="K1403" s="26" t="s">
        <v>5643</v>
      </c>
      <c r="L1403" s="26" t="s">
        <v>19</v>
      </c>
      <c r="M1403" s="26" t="s">
        <v>87</v>
      </c>
      <c r="N1403" s="26" t="s">
        <v>307</v>
      </c>
      <c r="O1403" s="26">
        <v>3.0</v>
      </c>
    </row>
    <row r="1404" ht="15.75" customHeight="1">
      <c r="A1404" s="26" t="s">
        <v>5644</v>
      </c>
      <c r="B1404" s="26" t="s">
        <v>5645</v>
      </c>
      <c r="C1404" s="26" t="s">
        <v>363</v>
      </c>
      <c r="D1404" s="26" t="s">
        <v>50</v>
      </c>
      <c r="E1404" s="26" t="s">
        <v>5646</v>
      </c>
      <c r="F1404" s="26" t="s">
        <v>1877</v>
      </c>
      <c r="G1404" s="26" t="s">
        <v>311</v>
      </c>
      <c r="H1404" s="26" t="s">
        <v>34</v>
      </c>
      <c r="I1404" s="26" t="s">
        <v>581</v>
      </c>
      <c r="J1404" s="26">
        <v>2.0</v>
      </c>
      <c r="K1404" s="26" t="s">
        <v>132</v>
      </c>
      <c r="L1404" s="26" t="s">
        <v>15</v>
      </c>
      <c r="M1404" s="26" t="s">
        <v>87</v>
      </c>
      <c r="N1404" s="26" t="s">
        <v>307</v>
      </c>
      <c r="O1404" s="26">
        <v>4.0</v>
      </c>
    </row>
    <row r="1405" ht="15.75" customHeight="1">
      <c r="A1405" s="26" t="s">
        <v>5647</v>
      </c>
      <c r="B1405" s="26" t="s">
        <v>5648</v>
      </c>
      <c r="C1405" s="26" t="s">
        <v>363</v>
      </c>
      <c r="D1405" s="26" t="s">
        <v>69</v>
      </c>
      <c r="E1405" s="26" t="s">
        <v>5649</v>
      </c>
      <c r="F1405" s="26" t="s">
        <v>440</v>
      </c>
      <c r="G1405" s="26" t="s">
        <v>83</v>
      </c>
      <c r="H1405" s="26" t="s">
        <v>46</v>
      </c>
      <c r="I1405" s="26" t="s">
        <v>5227</v>
      </c>
      <c r="J1405" s="26">
        <v>2.0</v>
      </c>
      <c r="K1405" s="26" t="s">
        <v>5650</v>
      </c>
      <c r="L1405" s="26" t="s">
        <v>23</v>
      </c>
      <c r="M1405" s="26" t="s">
        <v>94</v>
      </c>
      <c r="N1405" s="26" t="s">
        <v>307</v>
      </c>
      <c r="O1405" s="26">
        <v>19.0</v>
      </c>
    </row>
    <row r="1406" ht="15.75" customHeight="1">
      <c r="A1406" s="26" t="s">
        <v>5651</v>
      </c>
      <c r="B1406" s="26" t="s">
        <v>5652</v>
      </c>
      <c r="C1406" s="26" t="s">
        <v>429</v>
      </c>
      <c r="D1406" s="26" t="s">
        <v>45</v>
      </c>
      <c r="E1406" s="26" t="s">
        <v>5653</v>
      </c>
      <c r="F1406" s="26" t="s">
        <v>799</v>
      </c>
      <c r="G1406" s="26" t="s">
        <v>130</v>
      </c>
      <c r="H1406" s="26" t="s">
        <v>34</v>
      </c>
      <c r="I1406" s="26" t="s">
        <v>140</v>
      </c>
      <c r="J1406" s="26">
        <v>4.0</v>
      </c>
      <c r="K1406" s="26" t="s">
        <v>5654</v>
      </c>
      <c r="L1406" s="26" t="s">
        <v>15</v>
      </c>
      <c r="M1406" s="26" t="s">
        <v>81</v>
      </c>
      <c r="N1406" s="26" t="s">
        <v>307</v>
      </c>
      <c r="O1406" s="26">
        <v>3.0</v>
      </c>
    </row>
    <row r="1407" ht="15.75" customHeight="1">
      <c r="A1407" s="26" t="s">
        <v>5655</v>
      </c>
      <c r="B1407" s="26" t="s">
        <v>5656</v>
      </c>
      <c r="C1407" s="26" t="s">
        <v>363</v>
      </c>
      <c r="D1407" s="26" t="s">
        <v>62</v>
      </c>
      <c r="E1407" s="26" t="s">
        <v>5657</v>
      </c>
      <c r="F1407" s="26" t="s">
        <v>1245</v>
      </c>
      <c r="G1407" s="26" t="s">
        <v>119</v>
      </c>
      <c r="H1407" s="26" t="s">
        <v>57</v>
      </c>
      <c r="I1407" s="26"/>
      <c r="J1407" s="26">
        <v>1.0</v>
      </c>
      <c r="K1407" s="26" t="s">
        <v>5658</v>
      </c>
      <c r="L1407" s="26" t="s">
        <v>15</v>
      </c>
      <c r="M1407" s="26" t="s">
        <v>81</v>
      </c>
      <c r="N1407" s="26" t="s">
        <v>307</v>
      </c>
      <c r="O1407" s="26">
        <v>1.0</v>
      </c>
    </row>
    <row r="1408" ht="15.75" customHeight="1">
      <c r="A1408" s="26" t="s">
        <v>5659</v>
      </c>
      <c r="B1408" s="26" t="s">
        <v>5660</v>
      </c>
      <c r="C1408" s="26" t="s">
        <v>363</v>
      </c>
      <c r="D1408" s="26" t="s">
        <v>59</v>
      </c>
      <c r="E1408" s="26" t="s">
        <v>5661</v>
      </c>
      <c r="F1408" s="26" t="s">
        <v>1125</v>
      </c>
      <c r="G1408" s="26" t="s">
        <v>113</v>
      </c>
      <c r="H1408" s="26" t="s">
        <v>49</v>
      </c>
      <c r="I1408" s="26" t="s">
        <v>373</v>
      </c>
      <c r="J1408" s="26">
        <v>3.0</v>
      </c>
      <c r="K1408" s="26" t="s">
        <v>5662</v>
      </c>
      <c r="L1408" s="26" t="s">
        <v>15</v>
      </c>
      <c r="M1408" s="26" t="s">
        <v>81</v>
      </c>
      <c r="N1408" s="26" t="s">
        <v>307</v>
      </c>
      <c r="O1408" s="26">
        <v>1.0</v>
      </c>
    </row>
    <row r="1409" ht="15.75" customHeight="1">
      <c r="A1409" s="26" t="s">
        <v>5663</v>
      </c>
      <c r="B1409" s="26" t="s">
        <v>5664</v>
      </c>
      <c r="C1409" s="26" t="s">
        <v>363</v>
      </c>
      <c r="D1409" s="26" t="s">
        <v>59</v>
      </c>
      <c r="E1409" s="26" t="s">
        <v>5665</v>
      </c>
      <c r="F1409" s="26" t="s">
        <v>372</v>
      </c>
      <c r="G1409" s="26" t="s">
        <v>373</v>
      </c>
      <c r="H1409" s="26" t="s">
        <v>34</v>
      </c>
      <c r="I1409" s="26" t="s">
        <v>656</v>
      </c>
      <c r="J1409" s="26">
        <v>2.0</v>
      </c>
      <c r="K1409" s="26" t="s">
        <v>491</v>
      </c>
      <c r="L1409" s="26" t="s">
        <v>29</v>
      </c>
      <c r="M1409" s="26" t="s">
        <v>95</v>
      </c>
      <c r="N1409" s="26" t="s">
        <v>307</v>
      </c>
      <c r="O1409" s="26">
        <v>1.0</v>
      </c>
    </row>
    <row r="1410" ht="15.75" customHeight="1">
      <c r="A1410" s="26" t="s">
        <v>5666</v>
      </c>
      <c r="B1410" s="26" t="s">
        <v>5667</v>
      </c>
      <c r="C1410" s="26" t="s">
        <v>363</v>
      </c>
      <c r="D1410" s="26" t="s">
        <v>59</v>
      </c>
      <c r="E1410" s="26" t="s">
        <v>5668</v>
      </c>
      <c r="F1410" s="26" t="s">
        <v>372</v>
      </c>
      <c r="G1410" s="26" t="s">
        <v>373</v>
      </c>
      <c r="H1410" s="26" t="s">
        <v>34</v>
      </c>
      <c r="I1410" s="26" t="s">
        <v>656</v>
      </c>
      <c r="J1410" s="26">
        <v>2.0</v>
      </c>
      <c r="K1410" s="26" t="s">
        <v>491</v>
      </c>
      <c r="L1410" s="26" t="s">
        <v>29</v>
      </c>
      <c r="M1410" s="26" t="s">
        <v>95</v>
      </c>
      <c r="N1410" s="26" t="s">
        <v>307</v>
      </c>
      <c r="O1410" s="26">
        <v>1.0</v>
      </c>
    </row>
    <row r="1411" ht="15.75" customHeight="1">
      <c r="A1411" s="26" t="s">
        <v>5669</v>
      </c>
      <c r="B1411" s="26" t="s">
        <v>5670</v>
      </c>
      <c r="C1411" s="26" t="s">
        <v>3588</v>
      </c>
      <c r="D1411" s="26" t="s">
        <v>36</v>
      </c>
      <c r="E1411" s="26" t="s">
        <v>231</v>
      </c>
      <c r="F1411" s="26" t="s">
        <v>5671</v>
      </c>
      <c r="G1411" s="26" t="s">
        <v>110</v>
      </c>
      <c r="H1411" s="26" t="s">
        <v>71</v>
      </c>
      <c r="I1411" s="26"/>
      <c r="J1411" s="26">
        <v>1.0</v>
      </c>
      <c r="K1411" s="26" t="s">
        <v>232</v>
      </c>
      <c r="L1411" s="26" t="s">
        <v>29</v>
      </c>
      <c r="M1411" s="26" t="s">
        <v>95</v>
      </c>
      <c r="N1411" s="26" t="s">
        <v>307</v>
      </c>
      <c r="O1411" s="26">
        <v>0.0</v>
      </c>
    </row>
    <row r="1412" ht="15.75" customHeight="1">
      <c r="A1412" s="26" t="s">
        <v>5669</v>
      </c>
      <c r="B1412" s="26" t="s">
        <v>5670</v>
      </c>
      <c r="C1412" s="26" t="s">
        <v>3588</v>
      </c>
      <c r="D1412" s="26" t="s">
        <v>36</v>
      </c>
      <c r="E1412" s="26" t="s">
        <v>231</v>
      </c>
      <c r="F1412" s="26" t="s">
        <v>5671</v>
      </c>
      <c r="G1412" s="26" t="s">
        <v>110</v>
      </c>
      <c r="H1412" s="26" t="s">
        <v>71</v>
      </c>
      <c r="I1412" s="26"/>
      <c r="J1412" s="26">
        <v>1.0</v>
      </c>
      <c r="K1412" s="26" t="s">
        <v>233</v>
      </c>
      <c r="L1412" s="26" t="s">
        <v>29</v>
      </c>
      <c r="M1412" s="26" t="s">
        <v>95</v>
      </c>
      <c r="N1412" s="26" t="s">
        <v>307</v>
      </c>
      <c r="O1412" s="26">
        <v>0.0</v>
      </c>
    </row>
    <row r="1413" ht="15.75" customHeight="1">
      <c r="A1413" s="26" t="s">
        <v>5672</v>
      </c>
      <c r="B1413" s="26" t="s">
        <v>5673</v>
      </c>
      <c r="C1413" s="26" t="s">
        <v>312</v>
      </c>
      <c r="D1413" s="26" t="s">
        <v>36</v>
      </c>
      <c r="E1413" s="26" t="s">
        <v>5674</v>
      </c>
      <c r="F1413" s="26" t="s">
        <v>315</v>
      </c>
      <c r="G1413" s="26" t="s">
        <v>47</v>
      </c>
      <c r="H1413" s="26" t="s">
        <v>34</v>
      </c>
      <c r="I1413" s="26" t="s">
        <v>104</v>
      </c>
      <c r="J1413" s="26">
        <v>3.0</v>
      </c>
      <c r="K1413" s="26" t="s">
        <v>132</v>
      </c>
      <c r="L1413" s="26" t="s">
        <v>19</v>
      </c>
      <c r="M1413" s="26" t="s">
        <v>87</v>
      </c>
      <c r="N1413" s="26" t="s">
        <v>307</v>
      </c>
      <c r="O1413" s="26">
        <v>4.0</v>
      </c>
    </row>
    <row r="1414" ht="15.75" customHeight="1">
      <c r="A1414" s="26" t="s">
        <v>5675</v>
      </c>
      <c r="B1414" s="26" t="s">
        <v>5676</v>
      </c>
      <c r="C1414" s="26" t="s">
        <v>3588</v>
      </c>
      <c r="D1414" s="26" t="s">
        <v>36</v>
      </c>
      <c r="E1414" s="26" t="s">
        <v>231</v>
      </c>
      <c r="F1414" s="26" t="s">
        <v>5671</v>
      </c>
      <c r="G1414" s="26" t="s">
        <v>110</v>
      </c>
      <c r="H1414" s="26" t="s">
        <v>71</v>
      </c>
      <c r="I1414" s="26"/>
      <c r="J1414" s="26">
        <v>1.0</v>
      </c>
      <c r="K1414" s="26" t="s">
        <v>234</v>
      </c>
      <c r="L1414" s="26" t="s">
        <v>29</v>
      </c>
      <c r="M1414" s="26" t="s">
        <v>95</v>
      </c>
      <c r="N1414" s="26" t="s">
        <v>307</v>
      </c>
      <c r="O1414" s="26">
        <v>0.0</v>
      </c>
    </row>
    <row r="1415" ht="15.75" customHeight="1">
      <c r="A1415" s="26" t="s">
        <v>5677</v>
      </c>
      <c r="B1415" s="26" t="s">
        <v>5678</v>
      </c>
      <c r="C1415" s="26" t="s">
        <v>3588</v>
      </c>
      <c r="D1415" s="26" t="s">
        <v>36</v>
      </c>
      <c r="E1415" s="26" t="s">
        <v>5679</v>
      </c>
      <c r="F1415" s="26" t="s">
        <v>391</v>
      </c>
      <c r="G1415" s="26" t="s">
        <v>114</v>
      </c>
      <c r="H1415" s="26" t="s">
        <v>74</v>
      </c>
      <c r="I1415" s="26"/>
      <c r="J1415" s="26">
        <v>0.0</v>
      </c>
      <c r="K1415" s="26" t="s">
        <v>5680</v>
      </c>
      <c r="L1415" s="26" t="s">
        <v>29</v>
      </c>
      <c r="M1415" s="26" t="s">
        <v>95</v>
      </c>
      <c r="N1415" s="26" t="s">
        <v>307</v>
      </c>
      <c r="O1415" s="26">
        <v>0.0</v>
      </c>
    </row>
    <row r="1416" ht="15.75" customHeight="1">
      <c r="A1416" s="26" t="s">
        <v>5681</v>
      </c>
      <c r="B1416" s="26" t="s">
        <v>5682</v>
      </c>
      <c r="C1416" s="26" t="s">
        <v>429</v>
      </c>
      <c r="D1416" s="26" t="s">
        <v>45</v>
      </c>
      <c r="E1416" s="26" t="s">
        <v>5683</v>
      </c>
      <c r="F1416" s="26" t="s">
        <v>744</v>
      </c>
      <c r="G1416" s="26" t="s">
        <v>148</v>
      </c>
      <c r="H1416" s="26" t="s">
        <v>34</v>
      </c>
      <c r="I1416" s="26" t="s">
        <v>130</v>
      </c>
      <c r="J1416" s="26">
        <v>5.0</v>
      </c>
      <c r="K1416" s="26" t="s">
        <v>5684</v>
      </c>
      <c r="L1416" s="26" t="s">
        <v>15</v>
      </c>
      <c r="M1416" s="26" t="s">
        <v>81</v>
      </c>
      <c r="N1416" s="26" t="s">
        <v>307</v>
      </c>
      <c r="O1416" s="26">
        <v>2.0</v>
      </c>
    </row>
    <row r="1417" ht="15.75" customHeight="1">
      <c r="A1417" s="26" t="s">
        <v>5685</v>
      </c>
      <c r="B1417" s="26" t="s">
        <v>5686</v>
      </c>
      <c r="C1417" s="26" t="s">
        <v>363</v>
      </c>
      <c r="D1417" s="26" t="s">
        <v>59</v>
      </c>
      <c r="E1417" s="26" t="s">
        <v>868</v>
      </c>
      <c r="F1417" s="26" t="s">
        <v>2097</v>
      </c>
      <c r="G1417" s="26" t="s">
        <v>127</v>
      </c>
      <c r="H1417" s="26" t="s">
        <v>53</v>
      </c>
      <c r="I1417" s="26"/>
      <c r="J1417" s="26">
        <v>1.0</v>
      </c>
      <c r="K1417" s="26" t="s">
        <v>491</v>
      </c>
      <c r="L1417" s="26" t="s">
        <v>29</v>
      </c>
      <c r="M1417" s="26" t="s">
        <v>95</v>
      </c>
      <c r="N1417" s="26" t="s">
        <v>307</v>
      </c>
      <c r="O1417" s="26">
        <v>0.0</v>
      </c>
    </row>
    <row r="1418" ht="15.75" customHeight="1">
      <c r="A1418" s="26" t="s">
        <v>5687</v>
      </c>
      <c r="B1418" s="26" t="s">
        <v>5688</v>
      </c>
      <c r="C1418" s="26" t="s">
        <v>363</v>
      </c>
      <c r="D1418" s="26" t="s">
        <v>48</v>
      </c>
      <c r="E1418" s="26" t="s">
        <v>5689</v>
      </c>
      <c r="F1418" s="26" t="s">
        <v>1014</v>
      </c>
      <c r="G1418" s="26" t="s">
        <v>248</v>
      </c>
      <c r="H1418" s="26" t="s">
        <v>46</v>
      </c>
      <c r="I1418" s="26"/>
      <c r="J1418" s="26">
        <v>1.0</v>
      </c>
      <c r="K1418" s="26" t="s">
        <v>5690</v>
      </c>
      <c r="L1418" s="26" t="s">
        <v>15</v>
      </c>
      <c r="M1418" s="26" t="s">
        <v>81</v>
      </c>
      <c r="N1418" s="26" t="s">
        <v>307</v>
      </c>
      <c r="O1418" s="26">
        <v>3.0</v>
      </c>
    </row>
    <row r="1419" ht="15.75" customHeight="1">
      <c r="A1419" s="26" t="s">
        <v>5691</v>
      </c>
      <c r="B1419" s="26" t="s">
        <v>5692</v>
      </c>
      <c r="C1419" s="26" t="s">
        <v>363</v>
      </c>
      <c r="D1419" s="26" t="s">
        <v>45</v>
      </c>
      <c r="E1419" s="26" t="s">
        <v>5693</v>
      </c>
      <c r="F1419" s="26" t="s">
        <v>799</v>
      </c>
      <c r="G1419" s="26" t="s">
        <v>130</v>
      </c>
      <c r="H1419" s="26" t="s">
        <v>34</v>
      </c>
      <c r="I1419" s="26" t="s">
        <v>140</v>
      </c>
      <c r="J1419" s="26">
        <v>5.0</v>
      </c>
      <c r="K1419" s="26" t="s">
        <v>5684</v>
      </c>
      <c r="L1419" s="26" t="s">
        <v>15</v>
      </c>
      <c r="M1419" s="26" t="s">
        <v>81</v>
      </c>
      <c r="N1419" s="26" t="s">
        <v>307</v>
      </c>
      <c r="O1419" s="26">
        <v>2.0</v>
      </c>
    </row>
    <row r="1420" ht="15.75" customHeight="1">
      <c r="A1420" s="26" t="s">
        <v>5694</v>
      </c>
      <c r="B1420" s="26" t="s">
        <v>5695</v>
      </c>
      <c r="C1420" s="26" t="s">
        <v>429</v>
      </c>
      <c r="D1420" s="26" t="s">
        <v>54</v>
      </c>
      <c r="E1420" s="26" t="s">
        <v>808</v>
      </c>
      <c r="F1420" s="26" t="s">
        <v>5696</v>
      </c>
      <c r="G1420" s="26" t="s">
        <v>196</v>
      </c>
      <c r="H1420" s="26" t="s">
        <v>52</v>
      </c>
      <c r="I1420" s="26"/>
      <c r="J1420" s="26">
        <v>1.0</v>
      </c>
      <c r="K1420" s="26" t="s">
        <v>809</v>
      </c>
      <c r="L1420" s="26" t="s">
        <v>15</v>
      </c>
      <c r="M1420" s="26" t="s">
        <v>81</v>
      </c>
      <c r="N1420" s="26" t="s">
        <v>307</v>
      </c>
      <c r="O1420" s="26">
        <v>2.0</v>
      </c>
    </row>
    <row r="1421" ht="15.75" customHeight="1">
      <c r="A1421" s="26" t="s">
        <v>5697</v>
      </c>
      <c r="B1421" s="26" t="s">
        <v>5698</v>
      </c>
      <c r="C1421" s="26" t="s">
        <v>312</v>
      </c>
      <c r="D1421" s="26" t="s">
        <v>72</v>
      </c>
      <c r="E1421" s="26" t="s">
        <v>5699</v>
      </c>
      <c r="F1421" s="26" t="s">
        <v>2422</v>
      </c>
      <c r="G1421" s="26" t="s">
        <v>90</v>
      </c>
      <c r="H1421" s="26" t="s">
        <v>34</v>
      </c>
      <c r="I1421" s="26"/>
      <c r="J1421" s="26">
        <v>1.0</v>
      </c>
      <c r="K1421" s="26" t="s">
        <v>244</v>
      </c>
      <c r="L1421" s="26" t="s">
        <v>29</v>
      </c>
      <c r="M1421" s="26" t="s">
        <v>95</v>
      </c>
      <c r="N1421" s="26" t="s">
        <v>307</v>
      </c>
      <c r="O1421" s="26">
        <v>4.0</v>
      </c>
    </row>
    <row r="1422" ht="15.75" customHeight="1">
      <c r="A1422" s="26" t="s">
        <v>5700</v>
      </c>
      <c r="B1422" s="26" t="s">
        <v>5701</v>
      </c>
      <c r="C1422" s="26" t="s">
        <v>300</v>
      </c>
      <c r="D1422" s="26" t="s">
        <v>48</v>
      </c>
      <c r="E1422" s="26" t="s">
        <v>5702</v>
      </c>
      <c r="F1422" s="26" t="s">
        <v>984</v>
      </c>
      <c r="G1422" s="26" t="s">
        <v>265</v>
      </c>
      <c r="H1422" s="26" t="s">
        <v>34</v>
      </c>
      <c r="I1422" s="26" t="s">
        <v>299</v>
      </c>
      <c r="J1422" s="26">
        <v>3.0</v>
      </c>
      <c r="K1422" s="26" t="s">
        <v>136</v>
      </c>
      <c r="L1422" s="26" t="s">
        <v>29</v>
      </c>
      <c r="M1422" s="26" t="s">
        <v>95</v>
      </c>
      <c r="N1422" s="26" t="s">
        <v>307</v>
      </c>
      <c r="O1422" s="26">
        <v>3.0</v>
      </c>
    </row>
    <row r="1423" ht="15.75" customHeight="1">
      <c r="A1423" s="26" t="s">
        <v>5703</v>
      </c>
      <c r="B1423" s="26" t="s">
        <v>5704</v>
      </c>
      <c r="C1423" s="26" t="s">
        <v>300</v>
      </c>
      <c r="D1423" s="26" t="s">
        <v>50</v>
      </c>
      <c r="E1423" s="26" t="s">
        <v>5705</v>
      </c>
      <c r="F1423" s="26" t="s">
        <v>902</v>
      </c>
      <c r="G1423" s="26" t="s">
        <v>189</v>
      </c>
      <c r="H1423" s="26" t="s">
        <v>34</v>
      </c>
      <c r="I1423" s="26" t="s">
        <v>245</v>
      </c>
      <c r="J1423" s="26">
        <v>4.0</v>
      </c>
      <c r="K1423" s="26" t="s">
        <v>5706</v>
      </c>
      <c r="L1423" s="26" t="s">
        <v>19</v>
      </c>
      <c r="M1423" s="26" t="s">
        <v>81</v>
      </c>
      <c r="N1423" s="26" t="s">
        <v>307</v>
      </c>
      <c r="O1423" s="26">
        <v>5.0</v>
      </c>
    </row>
    <row r="1424" ht="15.75" customHeight="1">
      <c r="A1424" s="26" t="s">
        <v>5707</v>
      </c>
      <c r="B1424" s="26" t="s">
        <v>5708</v>
      </c>
      <c r="C1424" s="26" t="s">
        <v>363</v>
      </c>
      <c r="D1424" s="26" t="s">
        <v>36</v>
      </c>
      <c r="E1424" s="26" t="s">
        <v>5709</v>
      </c>
      <c r="F1424" s="26" t="s">
        <v>663</v>
      </c>
      <c r="G1424" s="26" t="s">
        <v>44</v>
      </c>
      <c r="H1424" s="26" t="s">
        <v>34</v>
      </c>
      <c r="I1424" s="26" t="s">
        <v>65</v>
      </c>
      <c r="J1424" s="26">
        <v>4.0</v>
      </c>
      <c r="K1424" s="26" t="s">
        <v>5710</v>
      </c>
      <c r="L1424" s="26" t="s">
        <v>15</v>
      </c>
      <c r="M1424" s="26" t="s">
        <v>81</v>
      </c>
      <c r="N1424" s="26" t="s">
        <v>307</v>
      </c>
      <c r="O1424" s="26">
        <v>2.0</v>
      </c>
    </row>
    <row r="1425" ht="15.75" customHeight="1">
      <c r="A1425" s="26" t="s">
        <v>5711</v>
      </c>
      <c r="B1425" s="26" t="s">
        <v>5712</v>
      </c>
      <c r="C1425" s="26" t="s">
        <v>363</v>
      </c>
      <c r="D1425" s="26" t="s">
        <v>45</v>
      </c>
      <c r="E1425" s="26" t="s">
        <v>5713</v>
      </c>
      <c r="F1425" s="26" t="s">
        <v>2178</v>
      </c>
      <c r="G1425" s="26" t="s">
        <v>161</v>
      </c>
      <c r="H1425" s="26" t="s">
        <v>57</v>
      </c>
      <c r="I1425" s="26" t="s">
        <v>220</v>
      </c>
      <c r="J1425" s="26">
        <v>2.0</v>
      </c>
      <c r="K1425" s="26" t="s">
        <v>5714</v>
      </c>
      <c r="L1425" s="26" t="s">
        <v>25</v>
      </c>
      <c r="M1425" s="26" t="s">
        <v>97</v>
      </c>
      <c r="N1425" s="26" t="s">
        <v>307</v>
      </c>
      <c r="O1425" s="26">
        <v>2.0</v>
      </c>
    </row>
    <row r="1426" ht="15.75" customHeight="1">
      <c r="A1426" s="26" t="s">
        <v>5715</v>
      </c>
      <c r="B1426" s="26" t="s">
        <v>5716</v>
      </c>
      <c r="C1426" s="26" t="s">
        <v>892</v>
      </c>
      <c r="D1426" s="26" t="s">
        <v>50</v>
      </c>
      <c r="E1426" s="26" t="s">
        <v>5717</v>
      </c>
      <c r="F1426" s="26" t="s">
        <v>1309</v>
      </c>
      <c r="G1426" s="26" t="s">
        <v>245</v>
      </c>
      <c r="H1426" s="26" t="s">
        <v>57</v>
      </c>
      <c r="I1426" s="26" t="s">
        <v>328</v>
      </c>
      <c r="J1426" s="26">
        <v>2.0</v>
      </c>
      <c r="K1426" s="26" t="s">
        <v>5718</v>
      </c>
      <c r="L1426" s="26" t="s">
        <v>15</v>
      </c>
      <c r="M1426" s="26" t="s">
        <v>81</v>
      </c>
      <c r="N1426" s="26" t="s">
        <v>307</v>
      </c>
      <c r="O1426" s="26">
        <v>1.0</v>
      </c>
    </row>
    <row r="1427" ht="15.75" customHeight="1">
      <c r="A1427" s="26" t="s">
        <v>5719</v>
      </c>
      <c r="B1427" s="26" t="s">
        <v>5720</v>
      </c>
      <c r="C1427" s="26" t="s">
        <v>300</v>
      </c>
      <c r="D1427" s="26" t="s">
        <v>72</v>
      </c>
      <c r="E1427" s="26" t="s">
        <v>5721</v>
      </c>
      <c r="F1427" s="26" t="s">
        <v>2261</v>
      </c>
      <c r="G1427" s="26" t="s">
        <v>1133</v>
      </c>
      <c r="H1427" s="26" t="s">
        <v>46</v>
      </c>
      <c r="I1427" s="26" t="s">
        <v>3308</v>
      </c>
      <c r="J1427" s="26">
        <v>3.0</v>
      </c>
      <c r="K1427" s="26" t="s">
        <v>5722</v>
      </c>
      <c r="L1427" s="26" t="s">
        <v>19</v>
      </c>
      <c r="M1427" s="26" t="s">
        <v>66</v>
      </c>
      <c r="N1427" s="26" t="s">
        <v>307</v>
      </c>
      <c r="O1427" s="26">
        <v>2.0</v>
      </c>
    </row>
    <row r="1428" ht="15.75" customHeight="1">
      <c r="A1428" s="26" t="s">
        <v>5723</v>
      </c>
      <c r="B1428" s="26" t="s">
        <v>5724</v>
      </c>
      <c r="C1428" s="26" t="s">
        <v>363</v>
      </c>
      <c r="D1428" s="26" t="s">
        <v>45</v>
      </c>
      <c r="E1428" s="26" t="s">
        <v>5725</v>
      </c>
      <c r="F1428" s="26" t="s">
        <v>799</v>
      </c>
      <c r="G1428" s="26" t="s">
        <v>130</v>
      </c>
      <c r="H1428" s="26" t="s">
        <v>34</v>
      </c>
      <c r="I1428" s="26" t="s">
        <v>82</v>
      </c>
      <c r="J1428" s="26">
        <v>2.0</v>
      </c>
      <c r="K1428" s="26" t="s">
        <v>5726</v>
      </c>
      <c r="L1428" s="26" t="s">
        <v>15</v>
      </c>
      <c r="M1428" s="26" t="s">
        <v>81</v>
      </c>
      <c r="N1428" s="26" t="s">
        <v>307</v>
      </c>
      <c r="O1428" s="26">
        <v>3.0</v>
      </c>
    </row>
    <row r="1429" ht="15.75" customHeight="1">
      <c r="A1429" s="26" t="s">
        <v>5727</v>
      </c>
      <c r="B1429" s="26" t="s">
        <v>5728</v>
      </c>
      <c r="C1429" s="26" t="s">
        <v>4397</v>
      </c>
      <c r="D1429" s="26" t="s">
        <v>72</v>
      </c>
      <c r="E1429" s="26" t="s">
        <v>1134</v>
      </c>
      <c r="F1429" s="26" t="s">
        <v>2261</v>
      </c>
      <c r="G1429" s="26" t="s">
        <v>1133</v>
      </c>
      <c r="H1429" s="26" t="s">
        <v>46</v>
      </c>
      <c r="I1429" s="26" t="s">
        <v>1184</v>
      </c>
      <c r="J1429" s="26">
        <v>2.0</v>
      </c>
      <c r="K1429" s="26" t="s">
        <v>1135</v>
      </c>
      <c r="L1429" s="26" t="s">
        <v>19</v>
      </c>
      <c r="M1429" s="26" t="s">
        <v>66</v>
      </c>
      <c r="N1429" s="26" t="s">
        <v>307</v>
      </c>
      <c r="O1429" s="26">
        <v>2.0</v>
      </c>
    </row>
    <row r="1430" ht="15.75" customHeight="1">
      <c r="A1430" s="26" t="s">
        <v>5729</v>
      </c>
      <c r="B1430" s="26" t="s">
        <v>5730</v>
      </c>
      <c r="C1430" s="26" t="s">
        <v>429</v>
      </c>
      <c r="D1430" s="26" t="s">
        <v>45</v>
      </c>
      <c r="E1430" s="26" t="s">
        <v>5731</v>
      </c>
      <c r="F1430" s="26" t="s">
        <v>303</v>
      </c>
      <c r="G1430" s="26" t="s">
        <v>140</v>
      </c>
      <c r="H1430" s="26" t="s">
        <v>34</v>
      </c>
      <c r="I1430" s="26" t="s">
        <v>169</v>
      </c>
      <c r="J1430" s="26">
        <v>2.0</v>
      </c>
      <c r="K1430" s="26" t="s">
        <v>5726</v>
      </c>
      <c r="L1430" s="26" t="s">
        <v>15</v>
      </c>
      <c r="M1430" s="26" t="s">
        <v>81</v>
      </c>
      <c r="N1430" s="26" t="s">
        <v>307</v>
      </c>
      <c r="O1430" s="26">
        <v>3.0</v>
      </c>
    </row>
    <row r="1431" ht="15.75" customHeight="1">
      <c r="A1431" s="26" t="s">
        <v>5732</v>
      </c>
      <c r="B1431" s="26" t="s">
        <v>5733</v>
      </c>
      <c r="C1431" s="26" t="s">
        <v>363</v>
      </c>
      <c r="D1431" s="26" t="s">
        <v>59</v>
      </c>
      <c r="E1431" s="26" t="s">
        <v>5734</v>
      </c>
      <c r="F1431" s="26" t="s">
        <v>423</v>
      </c>
      <c r="G1431" s="26" t="s">
        <v>117</v>
      </c>
      <c r="H1431" s="26" t="s">
        <v>34</v>
      </c>
      <c r="I1431" s="26" t="s">
        <v>3375</v>
      </c>
      <c r="J1431" s="26">
        <v>2.0</v>
      </c>
      <c r="K1431" s="26" t="s">
        <v>5735</v>
      </c>
      <c r="L1431" s="26" t="s">
        <v>15</v>
      </c>
      <c r="M1431" s="26" t="s">
        <v>81</v>
      </c>
      <c r="N1431" s="26" t="s">
        <v>307</v>
      </c>
      <c r="O1431" s="26">
        <v>6.0</v>
      </c>
    </row>
    <row r="1432" ht="15.75" customHeight="1">
      <c r="A1432" s="26" t="s">
        <v>5736</v>
      </c>
      <c r="B1432" s="26" t="s">
        <v>5737</v>
      </c>
      <c r="C1432" s="26" t="s">
        <v>429</v>
      </c>
      <c r="D1432" s="26" t="s">
        <v>45</v>
      </c>
      <c r="E1432" s="26" t="s">
        <v>5738</v>
      </c>
      <c r="F1432" s="26" t="s">
        <v>799</v>
      </c>
      <c r="G1432" s="26" t="s">
        <v>130</v>
      </c>
      <c r="H1432" s="26" t="s">
        <v>34</v>
      </c>
      <c r="I1432" s="26" t="s">
        <v>169</v>
      </c>
      <c r="J1432" s="26">
        <v>2.0</v>
      </c>
      <c r="K1432" s="26" t="s">
        <v>5739</v>
      </c>
      <c r="L1432" s="26" t="s">
        <v>15</v>
      </c>
      <c r="M1432" s="26" t="s">
        <v>81</v>
      </c>
      <c r="N1432" s="26" t="s">
        <v>307</v>
      </c>
      <c r="O1432" s="26">
        <v>2.0</v>
      </c>
    </row>
    <row r="1433" ht="15.75" customHeight="1">
      <c r="A1433" s="26" t="s">
        <v>5740</v>
      </c>
      <c r="B1433" s="26" t="s">
        <v>5741</v>
      </c>
      <c r="C1433" s="26" t="s">
        <v>363</v>
      </c>
      <c r="D1433" s="26" t="s">
        <v>45</v>
      </c>
      <c r="E1433" s="26" t="s">
        <v>5742</v>
      </c>
      <c r="F1433" s="26" t="s">
        <v>768</v>
      </c>
      <c r="G1433" s="26" t="s">
        <v>183</v>
      </c>
      <c r="H1433" s="26" t="s">
        <v>46</v>
      </c>
      <c r="I1433" s="26"/>
      <c r="J1433" s="26">
        <v>0.0</v>
      </c>
      <c r="K1433" s="26" t="s">
        <v>5743</v>
      </c>
      <c r="L1433" s="26" t="s">
        <v>15</v>
      </c>
      <c r="M1433" s="26" t="s">
        <v>81</v>
      </c>
      <c r="N1433" s="26" t="s">
        <v>307</v>
      </c>
      <c r="O1433" s="26">
        <v>1.0</v>
      </c>
    </row>
    <row r="1434" ht="15.75" customHeight="1">
      <c r="A1434" s="26" t="s">
        <v>5744</v>
      </c>
      <c r="B1434" s="26" t="s">
        <v>5745</v>
      </c>
      <c r="C1434" s="26" t="s">
        <v>363</v>
      </c>
      <c r="D1434" s="26" t="s">
        <v>45</v>
      </c>
      <c r="E1434" s="26" t="s">
        <v>5746</v>
      </c>
      <c r="F1434" s="26" t="s">
        <v>799</v>
      </c>
      <c r="G1434" s="26" t="s">
        <v>130</v>
      </c>
      <c r="H1434" s="26" t="s">
        <v>34</v>
      </c>
      <c r="I1434" s="26"/>
      <c r="J1434" s="26">
        <v>1.0</v>
      </c>
      <c r="K1434" s="26" t="s">
        <v>5743</v>
      </c>
      <c r="L1434" s="26" t="s">
        <v>15</v>
      </c>
      <c r="M1434" s="26" t="s">
        <v>81</v>
      </c>
      <c r="N1434" s="26" t="s">
        <v>307</v>
      </c>
      <c r="O1434" s="26">
        <v>1.0</v>
      </c>
    </row>
    <row r="1435" ht="15.75" customHeight="1">
      <c r="A1435" s="26" t="s">
        <v>5747</v>
      </c>
      <c r="B1435" s="26" t="s">
        <v>5748</v>
      </c>
      <c r="C1435" s="26" t="s">
        <v>363</v>
      </c>
      <c r="D1435" s="26" t="s">
        <v>36</v>
      </c>
      <c r="E1435" s="26" t="s">
        <v>243</v>
      </c>
      <c r="F1435" s="26" t="s">
        <v>5749</v>
      </c>
      <c r="G1435" s="26" t="s">
        <v>116</v>
      </c>
      <c r="H1435" s="26" t="s">
        <v>52</v>
      </c>
      <c r="I1435" s="26"/>
      <c r="J1435" s="26">
        <v>1.0</v>
      </c>
      <c r="K1435" s="26" t="s">
        <v>244</v>
      </c>
      <c r="L1435" s="26" t="s">
        <v>29</v>
      </c>
      <c r="M1435" s="26" t="s">
        <v>95</v>
      </c>
      <c r="N1435" s="26" t="s">
        <v>307</v>
      </c>
      <c r="O1435" s="26">
        <v>3.0</v>
      </c>
    </row>
    <row r="1436" ht="15.75" customHeight="1">
      <c r="A1436" s="26" t="s">
        <v>5750</v>
      </c>
      <c r="B1436" s="26" t="s">
        <v>5751</v>
      </c>
      <c r="C1436" s="26" t="s">
        <v>363</v>
      </c>
      <c r="D1436" s="26" t="s">
        <v>72</v>
      </c>
      <c r="E1436" s="26" t="s">
        <v>5752</v>
      </c>
      <c r="F1436" s="26" t="s">
        <v>1394</v>
      </c>
      <c r="G1436" s="26" t="s">
        <v>109</v>
      </c>
      <c r="H1436" s="26" t="s">
        <v>61</v>
      </c>
      <c r="I1436" s="26" t="s">
        <v>1133</v>
      </c>
      <c r="J1436" s="26">
        <v>4.0</v>
      </c>
      <c r="K1436" s="26" t="s">
        <v>5753</v>
      </c>
      <c r="L1436" s="26" t="s">
        <v>15</v>
      </c>
      <c r="M1436" s="26" t="s">
        <v>81</v>
      </c>
      <c r="N1436" s="26" t="s">
        <v>307</v>
      </c>
      <c r="O1436" s="26">
        <v>1.0</v>
      </c>
    </row>
    <row r="1437" ht="15.75" customHeight="1">
      <c r="A1437" s="26" t="s">
        <v>5754</v>
      </c>
      <c r="B1437" s="26" t="s">
        <v>5755</v>
      </c>
      <c r="C1437" s="26" t="s">
        <v>363</v>
      </c>
      <c r="D1437" s="26" t="s">
        <v>72</v>
      </c>
      <c r="E1437" s="26" t="s">
        <v>1145</v>
      </c>
      <c r="F1437" s="26" t="s">
        <v>1973</v>
      </c>
      <c r="G1437" s="26" t="s">
        <v>1143</v>
      </c>
      <c r="H1437" s="26" t="s">
        <v>61</v>
      </c>
      <c r="I1437" s="26"/>
      <c r="J1437" s="26">
        <v>1.0</v>
      </c>
      <c r="K1437" s="26" t="s">
        <v>244</v>
      </c>
      <c r="L1437" s="26" t="s">
        <v>29</v>
      </c>
      <c r="M1437" s="26" t="s">
        <v>95</v>
      </c>
      <c r="N1437" s="26" t="s">
        <v>307</v>
      </c>
      <c r="O1437" s="26">
        <v>1.0</v>
      </c>
    </row>
    <row r="1438" ht="15.75" customHeight="1">
      <c r="A1438" s="26" t="s">
        <v>5756</v>
      </c>
      <c r="B1438" s="26" t="s">
        <v>5757</v>
      </c>
      <c r="C1438" s="26" t="s">
        <v>312</v>
      </c>
      <c r="D1438" s="26" t="s">
        <v>72</v>
      </c>
      <c r="E1438" s="26" t="s">
        <v>1169</v>
      </c>
      <c r="F1438" s="26" t="s">
        <v>1277</v>
      </c>
      <c r="G1438" s="26" t="s">
        <v>1162</v>
      </c>
      <c r="H1438" s="26" t="s">
        <v>46</v>
      </c>
      <c r="I1438" s="26" t="s">
        <v>1184</v>
      </c>
      <c r="J1438" s="26">
        <v>2.0</v>
      </c>
      <c r="K1438" s="26" t="s">
        <v>1171</v>
      </c>
      <c r="L1438" s="26" t="s">
        <v>15</v>
      </c>
      <c r="M1438" s="26" t="s">
        <v>81</v>
      </c>
      <c r="N1438" s="26" t="s">
        <v>307</v>
      </c>
      <c r="O1438" s="26">
        <v>1.0</v>
      </c>
    </row>
    <row r="1439" ht="15.75" customHeight="1">
      <c r="A1439" s="26" t="s">
        <v>5758</v>
      </c>
      <c r="B1439" s="26" t="s">
        <v>5759</v>
      </c>
      <c r="C1439" s="26" t="s">
        <v>363</v>
      </c>
      <c r="D1439" s="26" t="s">
        <v>36</v>
      </c>
      <c r="E1439" s="26" t="s">
        <v>139</v>
      </c>
      <c r="F1439" s="26" t="s">
        <v>315</v>
      </c>
      <c r="G1439" s="26" t="s">
        <v>47</v>
      </c>
      <c r="H1439" s="26" t="s">
        <v>34</v>
      </c>
      <c r="I1439" s="26"/>
      <c r="J1439" s="26">
        <v>1.0</v>
      </c>
      <c r="K1439" s="26" t="s">
        <v>132</v>
      </c>
      <c r="L1439" s="26" t="s">
        <v>15</v>
      </c>
      <c r="M1439" s="26" t="s">
        <v>87</v>
      </c>
      <c r="N1439" s="26" t="s">
        <v>307</v>
      </c>
      <c r="O1439" s="26">
        <v>3.0</v>
      </c>
    </row>
    <row r="1440" ht="15.75" customHeight="1">
      <c r="A1440" s="26" t="s">
        <v>5760</v>
      </c>
      <c r="B1440" s="26" t="s">
        <v>5761</v>
      </c>
      <c r="C1440" s="26" t="s">
        <v>300</v>
      </c>
      <c r="D1440" s="26" t="s">
        <v>72</v>
      </c>
      <c r="E1440" s="26" t="s">
        <v>5762</v>
      </c>
      <c r="F1440" s="26" t="s">
        <v>1394</v>
      </c>
      <c r="G1440" s="26" t="s">
        <v>109</v>
      </c>
      <c r="H1440" s="26" t="s">
        <v>61</v>
      </c>
      <c r="I1440" s="26" t="s">
        <v>3308</v>
      </c>
      <c r="J1440" s="26">
        <v>3.0</v>
      </c>
      <c r="K1440" s="26" t="s">
        <v>5763</v>
      </c>
      <c r="L1440" s="26" t="s">
        <v>15</v>
      </c>
      <c r="M1440" s="26" t="s">
        <v>81</v>
      </c>
      <c r="N1440" s="26" t="s">
        <v>307</v>
      </c>
      <c r="O1440" s="26">
        <v>1.0</v>
      </c>
    </row>
    <row r="1441" ht="15.75" customHeight="1">
      <c r="A1441" s="26" t="s">
        <v>5764</v>
      </c>
      <c r="B1441" s="26" t="s">
        <v>5765</v>
      </c>
      <c r="C1441" s="26" t="s">
        <v>300</v>
      </c>
      <c r="D1441" s="26" t="s">
        <v>48</v>
      </c>
      <c r="E1441" s="26" t="s">
        <v>5766</v>
      </c>
      <c r="F1441" s="26" t="s">
        <v>973</v>
      </c>
      <c r="G1441" s="26" t="s">
        <v>299</v>
      </c>
      <c r="H1441" s="26" t="s">
        <v>34</v>
      </c>
      <c r="I1441" s="26" t="s">
        <v>248</v>
      </c>
      <c r="J1441" s="26">
        <v>2.0</v>
      </c>
      <c r="K1441" s="26" t="s">
        <v>5767</v>
      </c>
      <c r="L1441" s="26" t="s">
        <v>15</v>
      </c>
      <c r="M1441" s="26" t="s">
        <v>81</v>
      </c>
      <c r="N1441" s="26" t="s">
        <v>307</v>
      </c>
      <c r="O1441" s="26">
        <v>4.0</v>
      </c>
    </row>
    <row r="1442" ht="15.75" customHeight="1">
      <c r="A1442" s="26" t="s">
        <v>5768</v>
      </c>
      <c r="B1442" s="26" t="s">
        <v>5769</v>
      </c>
      <c r="C1442" s="26" t="s">
        <v>363</v>
      </c>
      <c r="D1442" s="26" t="s">
        <v>62</v>
      </c>
      <c r="E1442" s="26" t="s">
        <v>5770</v>
      </c>
      <c r="F1442" s="26" t="s">
        <v>2273</v>
      </c>
      <c r="G1442" s="26" t="s">
        <v>261</v>
      </c>
      <c r="H1442" s="26" t="s">
        <v>46</v>
      </c>
      <c r="I1442" s="26"/>
      <c r="J1442" s="26">
        <v>1.0</v>
      </c>
      <c r="K1442" s="26" t="s">
        <v>5771</v>
      </c>
      <c r="L1442" s="26" t="s">
        <v>15</v>
      </c>
      <c r="M1442" s="26" t="s">
        <v>81</v>
      </c>
      <c r="N1442" s="26" t="s">
        <v>307</v>
      </c>
      <c r="O1442" s="26">
        <v>10.0</v>
      </c>
    </row>
    <row r="1443" ht="15.75" customHeight="1">
      <c r="A1443" s="26" t="s">
        <v>5772</v>
      </c>
      <c r="B1443" s="26" t="s">
        <v>5773</v>
      </c>
      <c r="C1443" s="26" t="s">
        <v>4397</v>
      </c>
      <c r="D1443" s="26" t="s">
        <v>62</v>
      </c>
      <c r="E1443" s="26" t="s">
        <v>5774</v>
      </c>
      <c r="F1443" s="26" t="s">
        <v>2273</v>
      </c>
      <c r="G1443" s="26" t="s">
        <v>261</v>
      </c>
      <c r="H1443" s="26" t="s">
        <v>46</v>
      </c>
      <c r="I1443" s="26" t="s">
        <v>970</v>
      </c>
      <c r="J1443" s="26">
        <v>2.0</v>
      </c>
      <c r="K1443" s="26" t="s">
        <v>5775</v>
      </c>
      <c r="L1443" s="26" t="s">
        <v>15</v>
      </c>
      <c r="M1443" s="26" t="s">
        <v>81</v>
      </c>
      <c r="N1443" s="26" t="s">
        <v>307</v>
      </c>
      <c r="O1443" s="26">
        <v>6.0</v>
      </c>
    </row>
    <row r="1444" ht="15.75" customHeight="1">
      <c r="A1444" s="26" t="s">
        <v>5776</v>
      </c>
      <c r="B1444" s="26" t="s">
        <v>5777</v>
      </c>
      <c r="C1444" s="26" t="s">
        <v>429</v>
      </c>
      <c r="D1444" s="26" t="s">
        <v>72</v>
      </c>
      <c r="E1444" s="26" t="s">
        <v>5778</v>
      </c>
      <c r="F1444" s="26" t="s">
        <v>1483</v>
      </c>
      <c r="G1444" s="26" t="s">
        <v>1152</v>
      </c>
      <c r="H1444" s="26" t="s">
        <v>46</v>
      </c>
      <c r="I1444" s="26"/>
      <c r="J1444" s="26">
        <v>0.0</v>
      </c>
      <c r="K1444" s="26" t="s">
        <v>5779</v>
      </c>
      <c r="L1444" s="26" t="s">
        <v>15</v>
      </c>
      <c r="M1444" s="26" t="s">
        <v>81</v>
      </c>
      <c r="N1444" s="26" t="s">
        <v>307</v>
      </c>
      <c r="O1444" s="26">
        <v>0.0</v>
      </c>
    </row>
    <row r="1445" ht="15.75" customHeight="1">
      <c r="A1445" s="26" t="s">
        <v>5780</v>
      </c>
      <c r="B1445" s="26" t="s">
        <v>5781</v>
      </c>
      <c r="C1445" s="26" t="s">
        <v>363</v>
      </c>
      <c r="D1445" s="26" t="s">
        <v>59</v>
      </c>
      <c r="E1445" s="26" t="s">
        <v>5782</v>
      </c>
      <c r="F1445" s="26" t="s">
        <v>372</v>
      </c>
      <c r="G1445" s="26" t="s">
        <v>373</v>
      </c>
      <c r="H1445" s="26" t="s">
        <v>34</v>
      </c>
      <c r="I1445" s="26"/>
      <c r="J1445" s="26">
        <v>1.0</v>
      </c>
      <c r="K1445" s="26" t="s">
        <v>5783</v>
      </c>
      <c r="L1445" s="26" t="s">
        <v>15</v>
      </c>
      <c r="M1445" s="26" t="s">
        <v>81</v>
      </c>
      <c r="N1445" s="26" t="s">
        <v>307</v>
      </c>
      <c r="O1445" s="26">
        <v>5.0</v>
      </c>
    </row>
    <row r="1446" ht="15.75" customHeight="1">
      <c r="A1446" s="26" t="s">
        <v>5784</v>
      </c>
      <c r="B1446" s="26" t="s">
        <v>5785</v>
      </c>
      <c r="C1446" s="26" t="s">
        <v>4397</v>
      </c>
      <c r="D1446" s="26" t="s">
        <v>62</v>
      </c>
      <c r="E1446" s="26" t="s">
        <v>5786</v>
      </c>
      <c r="F1446" s="26" t="s">
        <v>2273</v>
      </c>
      <c r="G1446" s="26" t="s">
        <v>261</v>
      </c>
      <c r="H1446" s="26" t="s">
        <v>46</v>
      </c>
      <c r="I1446" s="26"/>
      <c r="J1446" s="26">
        <v>1.0</v>
      </c>
      <c r="K1446" s="26" t="s">
        <v>5787</v>
      </c>
      <c r="L1446" s="26" t="s">
        <v>15</v>
      </c>
      <c r="M1446" s="26" t="s">
        <v>81</v>
      </c>
      <c r="N1446" s="26" t="s">
        <v>307</v>
      </c>
      <c r="O1446" s="26">
        <v>6.0</v>
      </c>
    </row>
    <row r="1447" ht="15.75" customHeight="1">
      <c r="A1447" s="26" t="s">
        <v>5788</v>
      </c>
      <c r="B1447" s="26" t="s">
        <v>5789</v>
      </c>
      <c r="C1447" s="26" t="s">
        <v>312</v>
      </c>
      <c r="D1447" s="26" t="s">
        <v>36</v>
      </c>
      <c r="E1447" s="26" t="s">
        <v>5790</v>
      </c>
      <c r="F1447" s="26" t="s">
        <v>663</v>
      </c>
      <c r="G1447" s="26" t="s">
        <v>44</v>
      </c>
      <c r="H1447" s="26" t="s">
        <v>34</v>
      </c>
      <c r="I1447" s="26" t="s">
        <v>47</v>
      </c>
      <c r="J1447" s="26">
        <v>3.0</v>
      </c>
      <c r="K1447" s="26" t="s">
        <v>5791</v>
      </c>
      <c r="L1447" s="26" t="s">
        <v>19</v>
      </c>
      <c r="M1447" s="26" t="s">
        <v>87</v>
      </c>
      <c r="N1447" s="26" t="s">
        <v>307</v>
      </c>
      <c r="O1447" s="26">
        <v>2.0</v>
      </c>
    </row>
    <row r="1448" ht="15.75" customHeight="1">
      <c r="A1448" s="26" t="s">
        <v>5792</v>
      </c>
      <c r="B1448" s="26" t="s">
        <v>5793</v>
      </c>
      <c r="C1448" s="26" t="s">
        <v>312</v>
      </c>
      <c r="D1448" s="26" t="s">
        <v>72</v>
      </c>
      <c r="E1448" s="26" t="s">
        <v>5794</v>
      </c>
      <c r="F1448" s="26" t="s">
        <v>2422</v>
      </c>
      <c r="G1448" s="26" t="s">
        <v>90</v>
      </c>
      <c r="H1448" s="26" t="s">
        <v>34</v>
      </c>
      <c r="I1448" s="26" t="s">
        <v>109</v>
      </c>
      <c r="J1448" s="26">
        <v>4.0</v>
      </c>
      <c r="K1448" s="26" t="s">
        <v>5795</v>
      </c>
      <c r="L1448" s="26" t="s">
        <v>15</v>
      </c>
      <c r="M1448" s="26" t="s">
        <v>81</v>
      </c>
      <c r="N1448" s="26" t="s">
        <v>307</v>
      </c>
      <c r="O1448" s="26">
        <v>0.0</v>
      </c>
    </row>
    <row r="1449" ht="15.75" customHeight="1">
      <c r="A1449" s="26" t="s">
        <v>5796</v>
      </c>
      <c r="B1449" s="26" t="s">
        <v>5797</v>
      </c>
      <c r="C1449" s="26" t="s">
        <v>363</v>
      </c>
      <c r="D1449" s="26" t="s">
        <v>76</v>
      </c>
      <c r="E1449" s="26" t="s">
        <v>5798</v>
      </c>
      <c r="F1449" s="26" t="s">
        <v>2666</v>
      </c>
      <c r="G1449" s="26" t="s">
        <v>1205</v>
      </c>
      <c r="H1449" s="26" t="s">
        <v>49</v>
      </c>
      <c r="I1449" s="26"/>
      <c r="J1449" s="26">
        <v>1.0</v>
      </c>
      <c r="K1449" s="26" t="s">
        <v>136</v>
      </c>
      <c r="L1449" s="26" t="s">
        <v>29</v>
      </c>
      <c r="M1449" s="26" t="s">
        <v>95</v>
      </c>
      <c r="N1449" s="26" t="s">
        <v>307</v>
      </c>
      <c r="O1449" s="26">
        <v>4.0</v>
      </c>
    </row>
    <row r="1450" ht="15.75" customHeight="1">
      <c r="A1450" s="26" t="s">
        <v>5799</v>
      </c>
      <c r="B1450" s="26" t="s">
        <v>5800</v>
      </c>
      <c r="C1450" s="26" t="s">
        <v>363</v>
      </c>
      <c r="D1450" s="26" t="s">
        <v>36</v>
      </c>
      <c r="E1450" s="26" t="s">
        <v>5801</v>
      </c>
      <c r="F1450" s="26" t="s">
        <v>1292</v>
      </c>
      <c r="G1450" s="26" t="s">
        <v>65</v>
      </c>
      <c r="H1450" s="26" t="s">
        <v>34</v>
      </c>
      <c r="I1450" s="26"/>
      <c r="J1450" s="26">
        <v>1.0</v>
      </c>
      <c r="K1450" s="26" t="s">
        <v>5802</v>
      </c>
      <c r="L1450" s="26" t="s">
        <v>15</v>
      </c>
      <c r="M1450" s="26" t="s">
        <v>81</v>
      </c>
      <c r="N1450" s="26" t="s">
        <v>307</v>
      </c>
      <c r="O1450" s="26">
        <v>2.0</v>
      </c>
    </row>
    <row r="1451" ht="15.75" customHeight="1">
      <c r="A1451" s="26" t="s">
        <v>5803</v>
      </c>
      <c r="B1451" s="26" t="s">
        <v>5804</v>
      </c>
      <c r="C1451" s="26" t="s">
        <v>363</v>
      </c>
      <c r="D1451" s="26" t="s">
        <v>62</v>
      </c>
      <c r="E1451" s="26" t="s">
        <v>5805</v>
      </c>
      <c r="F1451" s="26" t="s">
        <v>1539</v>
      </c>
      <c r="G1451" s="26" t="s">
        <v>212</v>
      </c>
      <c r="H1451" s="26" t="s">
        <v>34</v>
      </c>
      <c r="I1451" s="26"/>
      <c r="J1451" s="26">
        <v>1.0</v>
      </c>
      <c r="K1451" s="26" t="s">
        <v>5806</v>
      </c>
      <c r="L1451" s="26" t="s">
        <v>15</v>
      </c>
      <c r="M1451" s="26" t="s">
        <v>81</v>
      </c>
      <c r="N1451" s="26" t="s">
        <v>307</v>
      </c>
      <c r="O1451" s="26">
        <v>5.0</v>
      </c>
    </row>
    <row r="1452" ht="15.75" customHeight="1">
      <c r="A1452" s="26" t="s">
        <v>5807</v>
      </c>
      <c r="B1452" s="26" t="s">
        <v>5808</v>
      </c>
      <c r="C1452" s="26" t="s">
        <v>4397</v>
      </c>
      <c r="D1452" s="26" t="s">
        <v>62</v>
      </c>
      <c r="E1452" s="26" t="s">
        <v>5809</v>
      </c>
      <c r="F1452" s="26" t="s">
        <v>1813</v>
      </c>
      <c r="G1452" s="26" t="s">
        <v>107</v>
      </c>
      <c r="H1452" s="26" t="s">
        <v>46</v>
      </c>
      <c r="I1452" s="26" t="s">
        <v>119</v>
      </c>
      <c r="J1452" s="26">
        <v>2.0</v>
      </c>
      <c r="K1452" s="26"/>
      <c r="L1452" s="26" t="s">
        <v>25</v>
      </c>
      <c r="M1452" s="26" t="s">
        <v>97</v>
      </c>
      <c r="N1452" s="26" t="s">
        <v>307</v>
      </c>
      <c r="O1452" s="26">
        <v>5.0</v>
      </c>
    </row>
    <row r="1453" ht="15.75" customHeight="1">
      <c r="A1453" s="26" t="s">
        <v>5810</v>
      </c>
      <c r="B1453" s="26" t="s">
        <v>5811</v>
      </c>
      <c r="C1453" s="26" t="s">
        <v>429</v>
      </c>
      <c r="D1453" s="26" t="s">
        <v>72</v>
      </c>
      <c r="E1453" s="26" t="s">
        <v>5812</v>
      </c>
      <c r="F1453" s="26" t="s">
        <v>1394</v>
      </c>
      <c r="G1453" s="26" t="s">
        <v>109</v>
      </c>
      <c r="H1453" s="26" t="s">
        <v>61</v>
      </c>
      <c r="I1453" s="26" t="s">
        <v>1133</v>
      </c>
      <c r="J1453" s="26">
        <v>2.0</v>
      </c>
      <c r="K1453" s="26" t="s">
        <v>5813</v>
      </c>
      <c r="L1453" s="26" t="s">
        <v>15</v>
      </c>
      <c r="M1453" s="26" t="s">
        <v>81</v>
      </c>
      <c r="N1453" s="26" t="s">
        <v>307</v>
      </c>
      <c r="O1453" s="26">
        <v>7.0</v>
      </c>
    </row>
    <row r="1454" ht="15.75" customHeight="1">
      <c r="A1454" s="26" t="s">
        <v>5814</v>
      </c>
      <c r="B1454" s="26" t="s">
        <v>5815</v>
      </c>
      <c r="C1454" s="26" t="s">
        <v>363</v>
      </c>
      <c r="D1454" s="26" t="s">
        <v>36</v>
      </c>
      <c r="E1454" s="26" t="s">
        <v>131</v>
      </c>
      <c r="F1454" s="26" t="s">
        <v>663</v>
      </c>
      <c r="G1454" s="26" t="s">
        <v>44</v>
      </c>
      <c r="H1454" s="26" t="s">
        <v>34</v>
      </c>
      <c r="I1454" s="26"/>
      <c r="J1454" s="26">
        <v>1.0</v>
      </c>
      <c r="K1454" s="26" t="s">
        <v>132</v>
      </c>
      <c r="L1454" s="26" t="s">
        <v>15</v>
      </c>
      <c r="M1454" s="26" t="s">
        <v>87</v>
      </c>
      <c r="N1454" s="26" t="s">
        <v>307</v>
      </c>
      <c r="O1454" s="26">
        <v>1.0</v>
      </c>
    </row>
    <row r="1455" ht="15.75" customHeight="1">
      <c r="A1455" s="26" t="s">
        <v>5816</v>
      </c>
      <c r="B1455" s="26" t="s">
        <v>5817</v>
      </c>
      <c r="C1455" s="26" t="s">
        <v>322</v>
      </c>
      <c r="D1455" s="26" t="s">
        <v>36</v>
      </c>
      <c r="E1455" s="26" t="s">
        <v>5818</v>
      </c>
      <c r="F1455" s="26" t="s">
        <v>760</v>
      </c>
      <c r="G1455" s="26" t="s">
        <v>51</v>
      </c>
      <c r="H1455" s="26" t="s">
        <v>52</v>
      </c>
      <c r="I1455" s="26" t="s">
        <v>101</v>
      </c>
      <c r="J1455" s="26">
        <v>2.0</v>
      </c>
      <c r="K1455" s="26" t="s">
        <v>5819</v>
      </c>
      <c r="L1455" s="26" t="s">
        <v>15</v>
      </c>
      <c r="M1455" s="26" t="s">
        <v>81</v>
      </c>
      <c r="N1455" s="26" t="s">
        <v>307</v>
      </c>
      <c r="O1455" s="26">
        <v>1.0</v>
      </c>
    </row>
    <row r="1456" ht="15.75" customHeight="1">
      <c r="A1456" s="26" t="s">
        <v>5820</v>
      </c>
      <c r="B1456" s="26" t="s">
        <v>5821</v>
      </c>
      <c r="C1456" s="26" t="s">
        <v>363</v>
      </c>
      <c r="D1456" s="26" t="s">
        <v>54</v>
      </c>
      <c r="E1456" s="26" t="s">
        <v>5822</v>
      </c>
      <c r="F1456" s="26" t="s">
        <v>644</v>
      </c>
      <c r="G1456" s="26" t="s">
        <v>217</v>
      </c>
      <c r="H1456" s="26" t="s">
        <v>52</v>
      </c>
      <c r="I1456" s="26"/>
      <c r="J1456" s="26">
        <v>1.0</v>
      </c>
      <c r="K1456" s="26" t="s">
        <v>692</v>
      </c>
      <c r="L1456" s="26" t="s">
        <v>15</v>
      </c>
      <c r="M1456" s="26" t="s">
        <v>81</v>
      </c>
      <c r="N1456" s="26" t="s">
        <v>307</v>
      </c>
      <c r="O1456" s="26">
        <v>3.0</v>
      </c>
    </row>
    <row r="1457" ht="15.75" customHeight="1">
      <c r="A1457" s="26" t="s">
        <v>5823</v>
      </c>
      <c r="B1457" s="26" t="s">
        <v>5824</v>
      </c>
      <c r="C1457" s="26" t="s">
        <v>312</v>
      </c>
      <c r="D1457" s="26" t="s">
        <v>36</v>
      </c>
      <c r="E1457" s="26" t="s">
        <v>5825</v>
      </c>
      <c r="F1457" s="26" t="s">
        <v>663</v>
      </c>
      <c r="G1457" s="26" t="s">
        <v>44</v>
      </c>
      <c r="H1457" s="26" t="s">
        <v>34</v>
      </c>
      <c r="I1457" s="26" t="s">
        <v>82</v>
      </c>
      <c r="J1457" s="26">
        <v>2.0</v>
      </c>
      <c r="K1457" s="26" t="s">
        <v>5826</v>
      </c>
      <c r="L1457" s="26" t="s">
        <v>15</v>
      </c>
      <c r="M1457" s="26" t="s">
        <v>87</v>
      </c>
      <c r="N1457" s="26" t="s">
        <v>307</v>
      </c>
      <c r="O1457" s="26">
        <v>1.0</v>
      </c>
    </row>
    <row r="1458" ht="15.75" customHeight="1">
      <c r="A1458" s="26" t="s">
        <v>5827</v>
      </c>
      <c r="B1458" s="26" t="s">
        <v>5828</v>
      </c>
      <c r="C1458" s="26" t="s">
        <v>363</v>
      </c>
      <c r="D1458" s="26" t="s">
        <v>76</v>
      </c>
      <c r="E1458" s="26" t="s">
        <v>5829</v>
      </c>
      <c r="F1458" s="26" t="s">
        <v>1201</v>
      </c>
      <c r="G1458" s="26" t="s">
        <v>222</v>
      </c>
      <c r="H1458" s="26" t="s">
        <v>34</v>
      </c>
      <c r="I1458" s="26" t="s">
        <v>1205</v>
      </c>
      <c r="J1458" s="26">
        <v>2.0</v>
      </c>
      <c r="K1458" s="26" t="s">
        <v>136</v>
      </c>
      <c r="L1458" s="26" t="s">
        <v>29</v>
      </c>
      <c r="M1458" s="26" t="s">
        <v>95</v>
      </c>
      <c r="N1458" s="26" t="s">
        <v>307</v>
      </c>
      <c r="O1458" s="26">
        <v>3.0</v>
      </c>
    </row>
    <row r="1459" ht="15.75" customHeight="1">
      <c r="A1459" s="26" t="s">
        <v>5830</v>
      </c>
      <c r="B1459" s="26" t="s">
        <v>5831</v>
      </c>
      <c r="C1459" s="26" t="s">
        <v>363</v>
      </c>
      <c r="D1459" s="26" t="s">
        <v>48</v>
      </c>
      <c r="E1459" s="26" t="s">
        <v>5832</v>
      </c>
      <c r="F1459" s="26" t="s">
        <v>590</v>
      </c>
      <c r="G1459" s="26" t="s">
        <v>329</v>
      </c>
      <c r="H1459" s="26" t="s">
        <v>46</v>
      </c>
      <c r="I1459" s="26"/>
      <c r="J1459" s="26">
        <v>1.0</v>
      </c>
      <c r="K1459" s="26" t="s">
        <v>5833</v>
      </c>
      <c r="L1459" s="26" t="s">
        <v>15</v>
      </c>
      <c r="M1459" s="26" t="s">
        <v>81</v>
      </c>
      <c r="N1459" s="26" t="s">
        <v>307</v>
      </c>
      <c r="O1459" s="26">
        <v>3.0</v>
      </c>
    </row>
    <row r="1460" ht="15.75" customHeight="1">
      <c r="A1460" s="26" t="s">
        <v>5834</v>
      </c>
      <c r="B1460" s="26" t="s">
        <v>5835</v>
      </c>
      <c r="C1460" s="26" t="s">
        <v>312</v>
      </c>
      <c r="D1460" s="26" t="s">
        <v>48</v>
      </c>
      <c r="E1460" s="26" t="s">
        <v>5836</v>
      </c>
      <c r="F1460" s="26" t="s">
        <v>366</v>
      </c>
      <c r="G1460" s="26" t="s">
        <v>258</v>
      </c>
      <c r="H1460" s="26" t="s">
        <v>61</v>
      </c>
      <c r="I1460" s="26" t="s">
        <v>378</v>
      </c>
      <c r="J1460" s="26">
        <v>2.0</v>
      </c>
      <c r="K1460" s="26" t="s">
        <v>5837</v>
      </c>
      <c r="L1460" s="26" t="s">
        <v>15</v>
      </c>
      <c r="M1460" s="26" t="s">
        <v>81</v>
      </c>
      <c r="N1460" s="26" t="s">
        <v>307</v>
      </c>
      <c r="O1460" s="26">
        <v>3.0</v>
      </c>
    </row>
    <row r="1461" ht="15.75" customHeight="1">
      <c r="A1461" s="26" t="s">
        <v>5838</v>
      </c>
      <c r="B1461" s="26" t="s">
        <v>5839</v>
      </c>
      <c r="C1461" s="26" t="s">
        <v>300</v>
      </c>
      <c r="D1461" s="26" t="s">
        <v>36</v>
      </c>
      <c r="E1461" s="26" t="s">
        <v>5840</v>
      </c>
      <c r="F1461" s="26" t="s">
        <v>3847</v>
      </c>
      <c r="G1461" s="26" t="s">
        <v>98</v>
      </c>
      <c r="H1461" s="26" t="s">
        <v>34</v>
      </c>
      <c r="I1461" s="26"/>
      <c r="J1461" s="26">
        <v>1.0</v>
      </c>
      <c r="K1461" s="26" t="s">
        <v>5841</v>
      </c>
      <c r="L1461" s="26" t="s">
        <v>15</v>
      </c>
      <c r="M1461" s="26" t="s">
        <v>87</v>
      </c>
      <c r="N1461" s="26" t="s">
        <v>307</v>
      </c>
      <c r="O1461" s="26">
        <v>1.0</v>
      </c>
    </row>
    <row r="1462" ht="15.75" customHeight="1">
      <c r="A1462" s="26" t="s">
        <v>5842</v>
      </c>
      <c r="B1462" s="26" t="s">
        <v>5843</v>
      </c>
      <c r="C1462" s="26" t="s">
        <v>300</v>
      </c>
      <c r="D1462" s="26" t="s">
        <v>36</v>
      </c>
      <c r="E1462" s="26" t="s">
        <v>5844</v>
      </c>
      <c r="F1462" s="26" t="s">
        <v>3847</v>
      </c>
      <c r="G1462" s="26" t="s">
        <v>98</v>
      </c>
      <c r="H1462" s="26" t="s">
        <v>34</v>
      </c>
      <c r="I1462" s="26"/>
      <c r="J1462" s="26">
        <v>1.0</v>
      </c>
      <c r="K1462" s="26" t="s">
        <v>132</v>
      </c>
      <c r="L1462" s="26" t="s">
        <v>15</v>
      </c>
      <c r="M1462" s="26" t="s">
        <v>87</v>
      </c>
      <c r="N1462" s="26" t="s">
        <v>307</v>
      </c>
      <c r="O1462" s="26">
        <v>3.0</v>
      </c>
    </row>
    <row r="1463" ht="15.75" customHeight="1">
      <c r="A1463" s="26" t="s">
        <v>5845</v>
      </c>
      <c r="B1463" s="26" t="s">
        <v>5846</v>
      </c>
      <c r="C1463" s="26" t="s">
        <v>363</v>
      </c>
      <c r="D1463" s="26" t="s">
        <v>45</v>
      </c>
      <c r="E1463" s="26" t="s">
        <v>268</v>
      </c>
      <c r="F1463" s="26" t="s">
        <v>744</v>
      </c>
      <c r="G1463" s="26" t="s">
        <v>148</v>
      </c>
      <c r="H1463" s="26" t="s">
        <v>34</v>
      </c>
      <c r="I1463" s="26" t="s">
        <v>82</v>
      </c>
      <c r="J1463" s="26">
        <v>2.0</v>
      </c>
      <c r="K1463" s="26" t="s">
        <v>5847</v>
      </c>
      <c r="L1463" s="26" t="s">
        <v>15</v>
      </c>
      <c r="M1463" s="26" t="s">
        <v>81</v>
      </c>
      <c r="N1463" s="26" t="s">
        <v>307</v>
      </c>
      <c r="O1463" s="26">
        <v>3.0</v>
      </c>
    </row>
    <row r="1464" ht="15.75" customHeight="1">
      <c r="A1464" s="26" t="s">
        <v>5848</v>
      </c>
      <c r="B1464" s="26" t="s">
        <v>5849</v>
      </c>
      <c r="C1464" s="26" t="s">
        <v>300</v>
      </c>
      <c r="D1464" s="26" t="s">
        <v>36</v>
      </c>
      <c r="E1464" s="26" t="s">
        <v>5850</v>
      </c>
      <c r="F1464" s="26" t="s">
        <v>2116</v>
      </c>
      <c r="G1464" s="26" t="s">
        <v>84</v>
      </c>
      <c r="H1464" s="26" t="s">
        <v>34</v>
      </c>
      <c r="I1464" s="26" t="s">
        <v>88</v>
      </c>
      <c r="J1464" s="26">
        <v>3.0</v>
      </c>
      <c r="K1464" s="26" t="s">
        <v>136</v>
      </c>
      <c r="L1464" s="26" t="s">
        <v>29</v>
      </c>
      <c r="M1464" s="26" t="s">
        <v>95</v>
      </c>
      <c r="N1464" s="26" t="s">
        <v>307</v>
      </c>
      <c r="O1464" s="26">
        <v>3.0</v>
      </c>
    </row>
    <row r="1465" ht="15.75" customHeight="1">
      <c r="A1465" s="26" t="s">
        <v>5851</v>
      </c>
      <c r="B1465" s="26" t="s">
        <v>5852</v>
      </c>
      <c r="C1465" s="26" t="s">
        <v>363</v>
      </c>
      <c r="D1465" s="26" t="s">
        <v>45</v>
      </c>
      <c r="E1465" s="26" t="s">
        <v>5853</v>
      </c>
      <c r="F1465" s="26" t="s">
        <v>2178</v>
      </c>
      <c r="G1465" s="26" t="s">
        <v>161</v>
      </c>
      <c r="H1465" s="26" t="s">
        <v>57</v>
      </c>
      <c r="I1465" s="26" t="s">
        <v>143</v>
      </c>
      <c r="J1465" s="26">
        <v>2.0</v>
      </c>
      <c r="K1465" s="26" t="s">
        <v>5854</v>
      </c>
      <c r="L1465" s="26" t="s">
        <v>15</v>
      </c>
      <c r="M1465" s="26" t="s">
        <v>81</v>
      </c>
      <c r="N1465" s="26" t="s">
        <v>307</v>
      </c>
      <c r="O1465" s="26">
        <v>2.0</v>
      </c>
    </row>
    <row r="1466" ht="15.75" customHeight="1">
      <c r="A1466" s="26" t="s">
        <v>5855</v>
      </c>
      <c r="B1466" s="26" t="s">
        <v>5856</v>
      </c>
      <c r="C1466" s="26" t="s">
        <v>312</v>
      </c>
      <c r="D1466" s="26" t="s">
        <v>59</v>
      </c>
      <c r="E1466" s="26" t="s">
        <v>5857</v>
      </c>
      <c r="F1466" s="26" t="s">
        <v>372</v>
      </c>
      <c r="G1466" s="26" t="s">
        <v>373</v>
      </c>
      <c r="H1466" s="26" t="s">
        <v>34</v>
      </c>
      <c r="I1466" s="26"/>
      <c r="J1466" s="26">
        <v>1.0</v>
      </c>
      <c r="K1466" s="26" t="s">
        <v>5858</v>
      </c>
      <c r="L1466" s="26" t="s">
        <v>15</v>
      </c>
      <c r="M1466" s="26" t="s">
        <v>81</v>
      </c>
      <c r="N1466" s="26" t="s">
        <v>307</v>
      </c>
      <c r="O1466" s="26">
        <v>2.0</v>
      </c>
    </row>
    <row r="1467" ht="15.75" customHeight="1">
      <c r="A1467" s="26" t="s">
        <v>5859</v>
      </c>
      <c r="B1467" s="26" t="s">
        <v>5860</v>
      </c>
      <c r="C1467" s="26" t="s">
        <v>312</v>
      </c>
      <c r="D1467" s="26" t="s">
        <v>45</v>
      </c>
      <c r="E1467" s="26" t="s">
        <v>5861</v>
      </c>
      <c r="F1467" s="26" t="s">
        <v>799</v>
      </c>
      <c r="G1467" s="26" t="s">
        <v>130</v>
      </c>
      <c r="H1467" s="26" t="s">
        <v>34</v>
      </c>
      <c r="I1467" s="26"/>
      <c r="J1467" s="26">
        <v>1.0</v>
      </c>
      <c r="K1467" s="26" t="s">
        <v>5684</v>
      </c>
      <c r="L1467" s="26" t="s">
        <v>15</v>
      </c>
      <c r="M1467" s="26" t="s">
        <v>81</v>
      </c>
      <c r="N1467" s="26" t="s">
        <v>307</v>
      </c>
      <c r="O1467" s="26">
        <v>2.0</v>
      </c>
    </row>
    <row r="1468" ht="15.75" customHeight="1">
      <c r="A1468" s="26" t="s">
        <v>5862</v>
      </c>
      <c r="B1468" s="26" t="s">
        <v>5863</v>
      </c>
      <c r="C1468" s="26" t="s">
        <v>363</v>
      </c>
      <c r="D1468" s="26" t="s">
        <v>59</v>
      </c>
      <c r="E1468" s="26" t="s">
        <v>5864</v>
      </c>
      <c r="F1468" s="26" t="s">
        <v>1125</v>
      </c>
      <c r="G1468" s="26" t="s">
        <v>113</v>
      </c>
      <c r="H1468" s="26" t="s">
        <v>49</v>
      </c>
      <c r="I1468" s="26" t="s">
        <v>373</v>
      </c>
      <c r="J1468" s="26">
        <v>2.0</v>
      </c>
      <c r="K1468" s="26" t="s">
        <v>5598</v>
      </c>
      <c r="L1468" s="26" t="s">
        <v>15</v>
      </c>
      <c r="M1468" s="26" t="s">
        <v>81</v>
      </c>
      <c r="N1468" s="26" t="s">
        <v>307</v>
      </c>
      <c r="O1468" s="26">
        <v>2.0</v>
      </c>
    </row>
    <row r="1469" ht="15.75" customHeight="1">
      <c r="A1469" s="26" t="s">
        <v>5865</v>
      </c>
      <c r="B1469" s="26" t="s">
        <v>5866</v>
      </c>
      <c r="C1469" s="26" t="s">
        <v>363</v>
      </c>
      <c r="D1469" s="26" t="s">
        <v>45</v>
      </c>
      <c r="E1469" s="26" t="s">
        <v>5867</v>
      </c>
      <c r="F1469" s="26" t="s">
        <v>799</v>
      </c>
      <c r="G1469" s="26" t="s">
        <v>130</v>
      </c>
      <c r="H1469" s="26" t="s">
        <v>34</v>
      </c>
      <c r="I1469" s="26" t="s">
        <v>143</v>
      </c>
      <c r="J1469" s="26">
        <v>2.0</v>
      </c>
      <c r="K1469" s="26" t="s">
        <v>5868</v>
      </c>
      <c r="L1469" s="26" t="s">
        <v>15</v>
      </c>
      <c r="M1469" s="26" t="s">
        <v>81</v>
      </c>
      <c r="N1469" s="26" t="s">
        <v>307</v>
      </c>
      <c r="O1469" s="26">
        <v>1.0</v>
      </c>
    </row>
    <row r="1470" ht="15.75" customHeight="1">
      <c r="A1470" s="26" t="s">
        <v>5869</v>
      </c>
      <c r="B1470" s="26" t="s">
        <v>5866</v>
      </c>
      <c r="C1470" s="26" t="s">
        <v>363</v>
      </c>
      <c r="D1470" s="26" t="s">
        <v>45</v>
      </c>
      <c r="E1470" s="26" t="s">
        <v>5870</v>
      </c>
      <c r="F1470" s="26" t="s">
        <v>799</v>
      </c>
      <c r="G1470" s="26" t="s">
        <v>130</v>
      </c>
      <c r="H1470" s="26" t="s">
        <v>34</v>
      </c>
      <c r="I1470" s="26" t="s">
        <v>140</v>
      </c>
      <c r="J1470" s="26">
        <v>3.0</v>
      </c>
      <c r="K1470" s="26" t="s">
        <v>5868</v>
      </c>
      <c r="L1470" s="26" t="s">
        <v>15</v>
      </c>
      <c r="M1470" s="26" t="s">
        <v>81</v>
      </c>
      <c r="N1470" s="26" t="s">
        <v>307</v>
      </c>
      <c r="O1470" s="26">
        <v>1.0</v>
      </c>
    </row>
    <row r="1471" ht="15.75" customHeight="1">
      <c r="A1471" s="26" t="s">
        <v>5871</v>
      </c>
      <c r="B1471" s="26" t="s">
        <v>5872</v>
      </c>
      <c r="C1471" s="26" t="s">
        <v>363</v>
      </c>
      <c r="D1471" s="26" t="s">
        <v>50</v>
      </c>
      <c r="E1471" s="26" t="s">
        <v>5873</v>
      </c>
      <c r="F1471" s="26" t="s">
        <v>1309</v>
      </c>
      <c r="G1471" s="26" t="s">
        <v>245</v>
      </c>
      <c r="H1471" s="26" t="s">
        <v>57</v>
      </c>
      <c r="I1471" s="26" t="s">
        <v>328</v>
      </c>
      <c r="J1471" s="26">
        <v>2.0</v>
      </c>
      <c r="K1471" s="26" t="s">
        <v>5874</v>
      </c>
      <c r="L1471" s="26" t="s">
        <v>15</v>
      </c>
      <c r="M1471" s="26" t="s">
        <v>81</v>
      </c>
      <c r="N1471" s="26" t="s">
        <v>307</v>
      </c>
      <c r="O1471" s="26">
        <v>2.0</v>
      </c>
    </row>
    <row r="1472" ht="15.75" customHeight="1">
      <c r="A1472" s="26" t="s">
        <v>5875</v>
      </c>
      <c r="B1472" s="26" t="s">
        <v>5876</v>
      </c>
      <c r="C1472" s="26" t="s">
        <v>363</v>
      </c>
      <c r="D1472" s="26" t="s">
        <v>50</v>
      </c>
      <c r="E1472" s="26" t="s">
        <v>5877</v>
      </c>
      <c r="F1472" s="26" t="s">
        <v>847</v>
      </c>
      <c r="G1472" s="26" t="s">
        <v>328</v>
      </c>
      <c r="H1472" s="26" t="s">
        <v>49</v>
      </c>
      <c r="I1472" s="26"/>
      <c r="J1472" s="26">
        <v>1.0</v>
      </c>
      <c r="K1472" s="26" t="s">
        <v>5878</v>
      </c>
      <c r="L1472" s="26" t="s">
        <v>15</v>
      </c>
      <c r="M1472" s="26" t="s">
        <v>81</v>
      </c>
      <c r="N1472" s="26" t="s">
        <v>307</v>
      </c>
      <c r="O1472" s="26">
        <v>2.0</v>
      </c>
    </row>
    <row r="1473" ht="15.75" customHeight="1">
      <c r="A1473" s="26" t="s">
        <v>5879</v>
      </c>
      <c r="B1473" s="26" t="s">
        <v>5880</v>
      </c>
      <c r="C1473" s="26" t="s">
        <v>300</v>
      </c>
      <c r="D1473" s="26" t="s">
        <v>48</v>
      </c>
      <c r="E1473" s="26" t="s">
        <v>425</v>
      </c>
      <c r="F1473" s="26" t="s">
        <v>1014</v>
      </c>
      <c r="G1473" s="26" t="s">
        <v>248</v>
      </c>
      <c r="H1473" s="26" t="s">
        <v>46</v>
      </c>
      <c r="I1473" s="26" t="s">
        <v>329</v>
      </c>
      <c r="J1473" s="26">
        <v>2.0</v>
      </c>
      <c r="K1473" s="26" t="s">
        <v>426</v>
      </c>
      <c r="L1473" s="26" t="s">
        <v>15</v>
      </c>
      <c r="M1473" s="26" t="s">
        <v>81</v>
      </c>
      <c r="N1473" s="26" t="s">
        <v>307</v>
      </c>
      <c r="O1473" s="26">
        <v>2.0</v>
      </c>
    </row>
    <row r="1474" ht="15.75" customHeight="1">
      <c r="A1474" s="26" t="s">
        <v>5881</v>
      </c>
      <c r="B1474" s="26" t="s">
        <v>5880</v>
      </c>
      <c r="C1474" s="26" t="s">
        <v>300</v>
      </c>
      <c r="D1474" s="26" t="s">
        <v>76</v>
      </c>
      <c r="E1474" s="26" t="s">
        <v>5882</v>
      </c>
      <c r="F1474" s="26" t="s">
        <v>493</v>
      </c>
      <c r="G1474" s="26" t="s">
        <v>494</v>
      </c>
      <c r="H1474" s="26" t="s">
        <v>34</v>
      </c>
      <c r="I1474" s="26"/>
      <c r="J1474" s="26">
        <v>1.0</v>
      </c>
      <c r="K1474" s="26" t="s">
        <v>5883</v>
      </c>
      <c r="L1474" s="26" t="s">
        <v>23</v>
      </c>
      <c r="M1474" s="26" t="s">
        <v>91</v>
      </c>
      <c r="N1474" s="26" t="s">
        <v>307</v>
      </c>
      <c r="O1474" s="26">
        <v>2.0</v>
      </c>
    </row>
    <row r="1475" ht="15.75" customHeight="1">
      <c r="A1475" s="26" t="s">
        <v>5884</v>
      </c>
      <c r="B1475" s="26" t="s">
        <v>5885</v>
      </c>
      <c r="C1475" s="26" t="s">
        <v>363</v>
      </c>
      <c r="D1475" s="26" t="s">
        <v>45</v>
      </c>
      <c r="E1475" s="26" t="s">
        <v>5886</v>
      </c>
      <c r="F1475" s="26" t="s">
        <v>799</v>
      </c>
      <c r="G1475" s="26" t="s">
        <v>130</v>
      </c>
      <c r="H1475" s="26" t="s">
        <v>34</v>
      </c>
      <c r="I1475" s="26" t="s">
        <v>143</v>
      </c>
      <c r="J1475" s="26">
        <v>2.0</v>
      </c>
      <c r="K1475" s="26" t="s">
        <v>5868</v>
      </c>
      <c r="L1475" s="26" t="s">
        <v>15</v>
      </c>
      <c r="M1475" s="26" t="s">
        <v>81</v>
      </c>
      <c r="N1475" s="26" t="s">
        <v>307</v>
      </c>
      <c r="O1475" s="26">
        <v>1.0</v>
      </c>
    </row>
    <row r="1476" ht="15.75" customHeight="1">
      <c r="A1476" s="26" t="s">
        <v>5887</v>
      </c>
      <c r="B1476" s="26" t="s">
        <v>5888</v>
      </c>
      <c r="C1476" s="26" t="s">
        <v>429</v>
      </c>
      <c r="D1476" s="26" t="s">
        <v>54</v>
      </c>
      <c r="E1476" s="26" t="s">
        <v>802</v>
      </c>
      <c r="F1476" s="26" t="s">
        <v>519</v>
      </c>
      <c r="G1476" s="26" t="s">
        <v>520</v>
      </c>
      <c r="H1476" s="26" t="s">
        <v>53</v>
      </c>
      <c r="I1476" s="26"/>
      <c r="J1476" s="26">
        <v>1.0</v>
      </c>
      <c r="K1476" s="26" t="s">
        <v>804</v>
      </c>
      <c r="L1476" s="26" t="s">
        <v>15</v>
      </c>
      <c r="M1476" s="26" t="s">
        <v>81</v>
      </c>
      <c r="N1476" s="26" t="s">
        <v>307</v>
      </c>
      <c r="O1476" s="26">
        <v>2.0</v>
      </c>
    </row>
    <row r="1477" ht="15.75" customHeight="1">
      <c r="A1477" s="26" t="s">
        <v>5889</v>
      </c>
      <c r="B1477" s="26" t="s">
        <v>5890</v>
      </c>
      <c r="C1477" s="26" t="s">
        <v>429</v>
      </c>
      <c r="D1477" s="26" t="s">
        <v>50</v>
      </c>
      <c r="E1477" s="26" t="s">
        <v>5891</v>
      </c>
      <c r="F1477" s="26" t="s">
        <v>1309</v>
      </c>
      <c r="G1477" s="26" t="s">
        <v>245</v>
      </c>
      <c r="H1477" s="26" t="s">
        <v>57</v>
      </c>
      <c r="I1477" s="26" t="s">
        <v>328</v>
      </c>
      <c r="J1477" s="26">
        <v>3.0</v>
      </c>
      <c r="K1477" s="26" t="s">
        <v>5892</v>
      </c>
      <c r="L1477" s="26" t="s">
        <v>15</v>
      </c>
      <c r="M1477" s="26" t="s">
        <v>81</v>
      </c>
      <c r="N1477" s="26" t="s">
        <v>307</v>
      </c>
      <c r="O1477" s="26">
        <v>1.0</v>
      </c>
    </row>
    <row r="1478" ht="15.75" customHeight="1">
      <c r="A1478" s="26" t="s">
        <v>5893</v>
      </c>
      <c r="B1478" s="26" t="s">
        <v>5894</v>
      </c>
      <c r="C1478" s="26" t="s">
        <v>363</v>
      </c>
      <c r="D1478" s="26" t="s">
        <v>79</v>
      </c>
      <c r="E1478" s="26" t="s">
        <v>5895</v>
      </c>
      <c r="F1478" s="26" t="s">
        <v>2863</v>
      </c>
      <c r="G1478" s="26" t="s">
        <v>1260</v>
      </c>
      <c r="H1478" s="26" t="s">
        <v>34</v>
      </c>
      <c r="I1478" s="26"/>
      <c r="J1478" s="26">
        <v>1.0</v>
      </c>
      <c r="K1478" s="26" t="s">
        <v>1270</v>
      </c>
      <c r="L1478" s="26" t="s">
        <v>15</v>
      </c>
      <c r="M1478" s="26" t="s">
        <v>81</v>
      </c>
      <c r="N1478" s="26" t="s">
        <v>307</v>
      </c>
      <c r="O1478" s="26">
        <v>2.0</v>
      </c>
    </row>
    <row r="1479" ht="15.75" customHeight="1">
      <c r="A1479" s="26" t="s">
        <v>5896</v>
      </c>
      <c r="B1479" s="26" t="s">
        <v>5897</v>
      </c>
      <c r="C1479" s="26" t="s">
        <v>312</v>
      </c>
      <c r="D1479" s="26" t="s">
        <v>48</v>
      </c>
      <c r="E1479" s="26" t="s">
        <v>5898</v>
      </c>
      <c r="F1479" s="26" t="s">
        <v>625</v>
      </c>
      <c r="G1479" s="26" t="s">
        <v>313</v>
      </c>
      <c r="H1479" s="26" t="s">
        <v>34</v>
      </c>
      <c r="I1479" s="26" t="s">
        <v>413</v>
      </c>
      <c r="J1479" s="26">
        <v>2.0</v>
      </c>
      <c r="K1479" s="26" t="s">
        <v>5899</v>
      </c>
      <c r="L1479" s="26" t="s">
        <v>15</v>
      </c>
      <c r="M1479" s="26" t="s">
        <v>81</v>
      </c>
      <c r="N1479" s="26" t="s">
        <v>307</v>
      </c>
      <c r="O1479" s="26">
        <v>1.0</v>
      </c>
    </row>
    <row r="1480" ht="15.75" customHeight="1">
      <c r="A1480" s="26" t="s">
        <v>5900</v>
      </c>
      <c r="B1480" s="26" t="s">
        <v>5901</v>
      </c>
      <c r="C1480" s="26" t="s">
        <v>312</v>
      </c>
      <c r="D1480" s="26" t="s">
        <v>62</v>
      </c>
      <c r="E1480" s="26" t="s">
        <v>5902</v>
      </c>
      <c r="F1480" s="26" t="s">
        <v>1245</v>
      </c>
      <c r="G1480" s="26" t="s">
        <v>119</v>
      </c>
      <c r="H1480" s="26" t="s">
        <v>57</v>
      </c>
      <c r="I1480" s="26"/>
      <c r="J1480" s="26">
        <v>1.0</v>
      </c>
      <c r="K1480" s="26" t="s">
        <v>5903</v>
      </c>
      <c r="L1480" s="26" t="s">
        <v>15</v>
      </c>
      <c r="M1480" s="26" t="s">
        <v>81</v>
      </c>
      <c r="N1480" s="26" t="s">
        <v>307</v>
      </c>
      <c r="O1480" s="26">
        <v>1.0</v>
      </c>
    </row>
    <row r="1481" ht="15.75" customHeight="1">
      <c r="A1481" s="26" t="s">
        <v>5904</v>
      </c>
      <c r="B1481" s="26" t="s">
        <v>5905</v>
      </c>
      <c r="C1481" s="26" t="s">
        <v>363</v>
      </c>
      <c r="D1481" s="26" t="s">
        <v>48</v>
      </c>
      <c r="E1481" s="26" t="s">
        <v>5906</v>
      </c>
      <c r="F1481" s="26" t="s">
        <v>1014</v>
      </c>
      <c r="G1481" s="26" t="s">
        <v>248</v>
      </c>
      <c r="H1481" s="26" t="s">
        <v>46</v>
      </c>
      <c r="I1481" s="26" t="s">
        <v>267</v>
      </c>
      <c r="J1481" s="26">
        <v>2.0</v>
      </c>
      <c r="K1481" s="26" t="s">
        <v>136</v>
      </c>
      <c r="L1481" s="26" t="s">
        <v>29</v>
      </c>
      <c r="M1481" s="26" t="s">
        <v>95</v>
      </c>
      <c r="N1481" s="26" t="s">
        <v>307</v>
      </c>
      <c r="O1481" s="26">
        <v>3.0</v>
      </c>
    </row>
    <row r="1482" ht="15.75" customHeight="1">
      <c r="A1482" s="26" t="s">
        <v>5907</v>
      </c>
      <c r="B1482" s="26" t="s">
        <v>5908</v>
      </c>
      <c r="C1482" s="26" t="s">
        <v>363</v>
      </c>
      <c r="D1482" s="26" t="s">
        <v>48</v>
      </c>
      <c r="E1482" s="26" t="s">
        <v>5909</v>
      </c>
      <c r="F1482" s="26" t="s">
        <v>1014</v>
      </c>
      <c r="G1482" s="26" t="s">
        <v>248</v>
      </c>
      <c r="H1482" s="26" t="s">
        <v>46</v>
      </c>
      <c r="I1482" s="26" t="s">
        <v>267</v>
      </c>
      <c r="J1482" s="26">
        <v>3.0</v>
      </c>
      <c r="K1482" s="26" t="s">
        <v>5910</v>
      </c>
      <c r="L1482" s="26" t="s">
        <v>15</v>
      </c>
      <c r="M1482" s="26" t="s">
        <v>81</v>
      </c>
      <c r="N1482" s="26" t="s">
        <v>307</v>
      </c>
      <c r="O1482" s="26">
        <v>3.0</v>
      </c>
    </row>
    <row r="1483" ht="15.75" customHeight="1">
      <c r="A1483" s="26" t="s">
        <v>5911</v>
      </c>
      <c r="B1483" s="26" t="s">
        <v>5912</v>
      </c>
      <c r="C1483" s="26" t="s">
        <v>312</v>
      </c>
      <c r="D1483" s="26" t="s">
        <v>36</v>
      </c>
      <c r="E1483" s="26" t="s">
        <v>5913</v>
      </c>
      <c r="F1483" s="26" t="s">
        <v>663</v>
      </c>
      <c r="G1483" s="26" t="s">
        <v>44</v>
      </c>
      <c r="H1483" s="26" t="s">
        <v>34</v>
      </c>
      <c r="I1483" s="26" t="s">
        <v>82</v>
      </c>
      <c r="J1483" s="26">
        <v>2.0</v>
      </c>
      <c r="K1483" s="26" t="s">
        <v>3073</v>
      </c>
      <c r="L1483" s="26" t="s">
        <v>15</v>
      </c>
      <c r="M1483" s="26" t="s">
        <v>87</v>
      </c>
      <c r="N1483" s="26" t="s">
        <v>307</v>
      </c>
      <c r="O1483" s="26">
        <v>1.0</v>
      </c>
    </row>
    <row r="1484" ht="15.75" customHeight="1">
      <c r="A1484" s="26" t="s">
        <v>5914</v>
      </c>
      <c r="B1484" s="26" t="s">
        <v>5915</v>
      </c>
      <c r="C1484" s="26" t="s">
        <v>363</v>
      </c>
      <c r="D1484" s="26" t="s">
        <v>79</v>
      </c>
      <c r="E1484" s="26" t="s">
        <v>1267</v>
      </c>
      <c r="F1484" s="26" t="s">
        <v>2863</v>
      </c>
      <c r="G1484" s="26" t="s">
        <v>1260</v>
      </c>
      <c r="H1484" s="26" t="s">
        <v>34</v>
      </c>
      <c r="I1484" s="26" t="s">
        <v>1299</v>
      </c>
      <c r="J1484" s="26">
        <v>2.0</v>
      </c>
      <c r="K1484" s="26" t="s">
        <v>1270</v>
      </c>
      <c r="L1484" s="26" t="s">
        <v>15</v>
      </c>
      <c r="M1484" s="26" t="s">
        <v>81</v>
      </c>
      <c r="N1484" s="26" t="s">
        <v>307</v>
      </c>
      <c r="O1484" s="26">
        <v>1.0</v>
      </c>
    </row>
    <row r="1485" ht="15.75" customHeight="1">
      <c r="A1485" s="26" t="s">
        <v>5916</v>
      </c>
      <c r="B1485" s="26" t="s">
        <v>5917</v>
      </c>
      <c r="C1485" s="26" t="s">
        <v>363</v>
      </c>
      <c r="D1485" s="26" t="s">
        <v>48</v>
      </c>
      <c r="E1485" s="26" t="s">
        <v>5918</v>
      </c>
      <c r="F1485" s="26" t="s">
        <v>834</v>
      </c>
      <c r="G1485" s="26" t="s">
        <v>267</v>
      </c>
      <c r="H1485" s="26" t="s">
        <v>34</v>
      </c>
      <c r="I1485" s="26"/>
      <c r="J1485" s="26">
        <v>1.0</v>
      </c>
      <c r="K1485" s="26" t="s">
        <v>5919</v>
      </c>
      <c r="L1485" s="26" t="s">
        <v>15</v>
      </c>
      <c r="M1485" s="26" t="s">
        <v>81</v>
      </c>
      <c r="N1485" s="26" t="s">
        <v>307</v>
      </c>
      <c r="O1485" s="26">
        <v>3.0</v>
      </c>
    </row>
    <row r="1486" ht="15.75" customHeight="1">
      <c r="A1486" s="26" t="s">
        <v>5920</v>
      </c>
      <c r="B1486" s="26" t="s">
        <v>5921</v>
      </c>
      <c r="C1486" s="26" t="s">
        <v>312</v>
      </c>
      <c r="D1486" s="26" t="s">
        <v>36</v>
      </c>
      <c r="E1486" s="26" t="s">
        <v>5922</v>
      </c>
      <c r="F1486" s="26" t="s">
        <v>1292</v>
      </c>
      <c r="G1486" s="26" t="s">
        <v>65</v>
      </c>
      <c r="H1486" s="26" t="s">
        <v>34</v>
      </c>
      <c r="I1486" s="26"/>
      <c r="J1486" s="26">
        <v>1.0</v>
      </c>
      <c r="K1486" s="26" t="s">
        <v>5923</v>
      </c>
      <c r="L1486" s="26" t="s">
        <v>15</v>
      </c>
      <c r="M1486" s="26" t="s">
        <v>81</v>
      </c>
      <c r="N1486" s="26" t="s">
        <v>307</v>
      </c>
      <c r="O1486" s="26">
        <v>1.0</v>
      </c>
    </row>
    <row r="1487" ht="15.75" customHeight="1">
      <c r="A1487" s="26" t="s">
        <v>5924</v>
      </c>
      <c r="B1487" s="26" t="s">
        <v>5925</v>
      </c>
      <c r="C1487" s="26" t="s">
        <v>363</v>
      </c>
      <c r="D1487" s="26" t="s">
        <v>59</v>
      </c>
      <c r="E1487" s="26" t="s">
        <v>5926</v>
      </c>
      <c r="F1487" s="26" t="s">
        <v>1125</v>
      </c>
      <c r="G1487" s="26" t="s">
        <v>113</v>
      </c>
      <c r="H1487" s="26" t="s">
        <v>49</v>
      </c>
      <c r="I1487" s="26" t="s">
        <v>373</v>
      </c>
      <c r="J1487" s="26">
        <v>2.0</v>
      </c>
      <c r="K1487" s="26" t="s">
        <v>5330</v>
      </c>
      <c r="L1487" s="26" t="s">
        <v>15</v>
      </c>
      <c r="M1487" s="26" t="s">
        <v>81</v>
      </c>
      <c r="N1487" s="26" t="s">
        <v>307</v>
      </c>
      <c r="O1487" s="26">
        <v>1.0</v>
      </c>
    </row>
    <row r="1488" ht="15.75" customHeight="1">
      <c r="A1488" s="26" t="s">
        <v>5927</v>
      </c>
      <c r="B1488" s="26" t="s">
        <v>5928</v>
      </c>
      <c r="C1488" s="26" t="s">
        <v>363</v>
      </c>
      <c r="D1488" s="26" t="s">
        <v>48</v>
      </c>
      <c r="E1488" s="26" t="s">
        <v>5929</v>
      </c>
      <c r="F1488" s="26" t="s">
        <v>984</v>
      </c>
      <c r="G1488" s="26" t="s">
        <v>265</v>
      </c>
      <c r="H1488" s="26" t="s">
        <v>34</v>
      </c>
      <c r="I1488" s="26" t="s">
        <v>313</v>
      </c>
      <c r="J1488" s="26">
        <v>3.0</v>
      </c>
      <c r="K1488" s="26" t="s">
        <v>5930</v>
      </c>
      <c r="L1488" s="26" t="s">
        <v>15</v>
      </c>
      <c r="M1488" s="26" t="s">
        <v>81</v>
      </c>
      <c r="N1488" s="26" t="s">
        <v>307</v>
      </c>
      <c r="O1488" s="26">
        <v>4.0</v>
      </c>
    </row>
    <row r="1489" ht="15.75" customHeight="1">
      <c r="A1489" s="26" t="s">
        <v>5931</v>
      </c>
      <c r="B1489" s="26" t="s">
        <v>5932</v>
      </c>
      <c r="C1489" s="26" t="s">
        <v>300</v>
      </c>
      <c r="D1489" s="26" t="s">
        <v>69</v>
      </c>
      <c r="E1489" s="26" t="s">
        <v>5933</v>
      </c>
      <c r="F1489" s="26" t="s">
        <v>1448</v>
      </c>
      <c r="G1489" s="26" t="s">
        <v>1060</v>
      </c>
      <c r="H1489" s="26" t="s">
        <v>49</v>
      </c>
      <c r="I1489" s="26" t="s">
        <v>1081</v>
      </c>
      <c r="J1489" s="26">
        <v>5.0</v>
      </c>
      <c r="K1489" s="26" t="s">
        <v>199</v>
      </c>
      <c r="L1489" s="26" t="s">
        <v>29</v>
      </c>
      <c r="M1489" s="26" t="s">
        <v>95</v>
      </c>
      <c r="N1489" s="26" t="s">
        <v>307</v>
      </c>
      <c r="O1489" s="26">
        <v>11.0</v>
      </c>
    </row>
    <row r="1490" ht="15.75" customHeight="1">
      <c r="A1490" s="26" t="s">
        <v>5934</v>
      </c>
      <c r="B1490" s="26" t="s">
        <v>5935</v>
      </c>
      <c r="C1490" s="26" t="s">
        <v>429</v>
      </c>
      <c r="D1490" s="26" t="s">
        <v>89</v>
      </c>
      <c r="E1490" s="26" t="s">
        <v>5936</v>
      </c>
      <c r="F1490" s="26" t="s">
        <v>2896</v>
      </c>
      <c r="G1490" s="26" t="s">
        <v>1379</v>
      </c>
      <c r="H1490" s="26" t="s">
        <v>49</v>
      </c>
      <c r="I1490" s="26" t="s">
        <v>5937</v>
      </c>
      <c r="J1490" s="26">
        <v>2.0</v>
      </c>
      <c r="K1490" s="26" t="s">
        <v>5938</v>
      </c>
      <c r="L1490" s="26" t="s">
        <v>15</v>
      </c>
      <c r="M1490" s="26" t="s">
        <v>81</v>
      </c>
      <c r="N1490" s="26" t="s">
        <v>307</v>
      </c>
      <c r="O1490" s="26">
        <v>3.0</v>
      </c>
    </row>
    <row r="1491" ht="15.75" customHeight="1">
      <c r="A1491" s="26" t="s">
        <v>5939</v>
      </c>
      <c r="B1491" s="26" t="s">
        <v>5940</v>
      </c>
      <c r="C1491" s="26" t="s">
        <v>363</v>
      </c>
      <c r="D1491" s="26" t="s">
        <v>36</v>
      </c>
      <c r="E1491" s="26" t="s">
        <v>5941</v>
      </c>
      <c r="F1491" s="26" t="s">
        <v>485</v>
      </c>
      <c r="G1491" s="26" t="s">
        <v>92</v>
      </c>
      <c r="H1491" s="26" t="s">
        <v>52</v>
      </c>
      <c r="I1491" s="26"/>
      <c r="J1491" s="26">
        <v>1.0</v>
      </c>
      <c r="K1491" s="26" t="s">
        <v>5244</v>
      </c>
      <c r="L1491" s="26" t="s">
        <v>15</v>
      </c>
      <c r="M1491" s="26" t="s">
        <v>87</v>
      </c>
      <c r="N1491" s="26" t="s">
        <v>307</v>
      </c>
      <c r="O1491" s="26">
        <v>1.0</v>
      </c>
    </row>
    <row r="1492" ht="15.75" customHeight="1">
      <c r="A1492" s="26" t="s">
        <v>5942</v>
      </c>
      <c r="B1492" s="26" t="s">
        <v>5943</v>
      </c>
      <c r="C1492" s="26" t="s">
        <v>363</v>
      </c>
      <c r="D1492" s="26" t="s">
        <v>50</v>
      </c>
      <c r="E1492" s="26" t="s">
        <v>5944</v>
      </c>
      <c r="F1492" s="26" t="s">
        <v>1309</v>
      </c>
      <c r="G1492" s="26" t="s">
        <v>245</v>
      </c>
      <c r="H1492" s="26" t="s">
        <v>57</v>
      </c>
      <c r="I1492" s="26" t="s">
        <v>328</v>
      </c>
      <c r="J1492" s="26">
        <v>2.0</v>
      </c>
      <c r="K1492" s="26" t="s">
        <v>5945</v>
      </c>
      <c r="L1492" s="26" t="s">
        <v>15</v>
      </c>
      <c r="M1492" s="26" t="s">
        <v>81</v>
      </c>
      <c r="N1492" s="26" t="s">
        <v>307</v>
      </c>
      <c r="O1492" s="26">
        <v>1.0</v>
      </c>
    </row>
    <row r="1493" ht="15.75" customHeight="1">
      <c r="A1493" s="26" t="s">
        <v>5946</v>
      </c>
      <c r="B1493" s="26" t="s">
        <v>5947</v>
      </c>
      <c r="C1493" s="26" t="s">
        <v>363</v>
      </c>
      <c r="D1493" s="26" t="s">
        <v>36</v>
      </c>
      <c r="E1493" s="26" t="s">
        <v>5948</v>
      </c>
      <c r="F1493" s="26" t="s">
        <v>760</v>
      </c>
      <c r="G1493" s="26" t="s">
        <v>51</v>
      </c>
      <c r="H1493" s="26" t="s">
        <v>52</v>
      </c>
      <c r="I1493" s="26"/>
      <c r="J1493" s="26">
        <v>1.0</v>
      </c>
      <c r="K1493" s="26" t="s">
        <v>5949</v>
      </c>
      <c r="L1493" s="26" t="s">
        <v>15</v>
      </c>
      <c r="M1493" s="26" t="s">
        <v>81</v>
      </c>
      <c r="N1493" s="26" t="s">
        <v>307</v>
      </c>
      <c r="O1493" s="26">
        <v>1.0</v>
      </c>
    </row>
    <row r="1494" ht="15.75" customHeight="1">
      <c r="A1494" s="26" t="s">
        <v>5950</v>
      </c>
      <c r="B1494" s="26" t="s">
        <v>5951</v>
      </c>
      <c r="C1494" s="26" t="s">
        <v>363</v>
      </c>
      <c r="D1494" s="26" t="s">
        <v>50</v>
      </c>
      <c r="E1494" s="26" t="s">
        <v>687</v>
      </c>
      <c r="F1494" s="26" t="s">
        <v>1174</v>
      </c>
      <c r="G1494" s="26" t="s">
        <v>539</v>
      </c>
      <c r="H1494" s="26" t="s">
        <v>46</v>
      </c>
      <c r="I1494" s="26"/>
      <c r="J1494" s="26">
        <v>0.0</v>
      </c>
      <c r="K1494" s="26" t="s">
        <v>688</v>
      </c>
      <c r="L1494" s="26" t="s">
        <v>15</v>
      </c>
      <c r="M1494" s="26" t="s">
        <v>81</v>
      </c>
      <c r="N1494" s="26" t="s">
        <v>307</v>
      </c>
      <c r="O1494" s="26">
        <v>1.0</v>
      </c>
    </row>
    <row r="1495" ht="15.75" customHeight="1">
      <c r="A1495" s="26" t="s">
        <v>5952</v>
      </c>
      <c r="B1495" s="26" t="s">
        <v>5951</v>
      </c>
      <c r="C1495" s="26" t="s">
        <v>300</v>
      </c>
      <c r="D1495" s="26" t="s">
        <v>36</v>
      </c>
      <c r="E1495" s="26" t="s">
        <v>5953</v>
      </c>
      <c r="F1495" s="26" t="s">
        <v>2116</v>
      </c>
      <c r="G1495" s="26" t="s">
        <v>84</v>
      </c>
      <c r="H1495" s="26" t="s">
        <v>34</v>
      </c>
      <c r="I1495" s="26" t="s">
        <v>82</v>
      </c>
      <c r="J1495" s="26">
        <v>2.0</v>
      </c>
      <c r="K1495" s="26" t="s">
        <v>5954</v>
      </c>
      <c r="L1495" s="26" t="s">
        <v>15</v>
      </c>
      <c r="M1495" s="26" t="s">
        <v>81</v>
      </c>
      <c r="N1495" s="26" t="s">
        <v>307</v>
      </c>
      <c r="O1495" s="26">
        <v>1.0</v>
      </c>
    </row>
    <row r="1496" ht="15.75" customHeight="1">
      <c r="A1496" s="26" t="s">
        <v>5955</v>
      </c>
      <c r="B1496" s="26" t="s">
        <v>5956</v>
      </c>
      <c r="C1496" s="26" t="s">
        <v>363</v>
      </c>
      <c r="D1496" s="26" t="s">
        <v>50</v>
      </c>
      <c r="E1496" s="26" t="s">
        <v>5957</v>
      </c>
      <c r="F1496" s="26" t="s">
        <v>1309</v>
      </c>
      <c r="G1496" s="26" t="s">
        <v>245</v>
      </c>
      <c r="H1496" s="26" t="s">
        <v>57</v>
      </c>
      <c r="I1496" s="26" t="s">
        <v>328</v>
      </c>
      <c r="J1496" s="26">
        <v>2.0</v>
      </c>
      <c r="K1496" s="26" t="s">
        <v>688</v>
      </c>
      <c r="L1496" s="26" t="s">
        <v>15</v>
      </c>
      <c r="M1496" s="26" t="s">
        <v>81</v>
      </c>
      <c r="N1496" s="26" t="s">
        <v>307</v>
      </c>
      <c r="O1496" s="26">
        <v>1.0</v>
      </c>
    </row>
    <row r="1497" ht="15.75" customHeight="1">
      <c r="A1497" s="26" t="s">
        <v>5958</v>
      </c>
      <c r="B1497" s="26" t="s">
        <v>5959</v>
      </c>
      <c r="C1497" s="26" t="s">
        <v>363</v>
      </c>
      <c r="D1497" s="26" t="s">
        <v>36</v>
      </c>
      <c r="E1497" s="26" t="s">
        <v>5960</v>
      </c>
      <c r="F1497" s="26" t="s">
        <v>2025</v>
      </c>
      <c r="G1497" s="26" t="s">
        <v>82</v>
      </c>
      <c r="H1497" s="26" t="s">
        <v>34</v>
      </c>
      <c r="I1497" s="26"/>
      <c r="J1497" s="26">
        <v>1.0</v>
      </c>
      <c r="K1497" s="26" t="s">
        <v>132</v>
      </c>
      <c r="L1497" s="26" t="s">
        <v>15</v>
      </c>
      <c r="M1497" s="26" t="s">
        <v>87</v>
      </c>
      <c r="N1497" s="26" t="s">
        <v>307</v>
      </c>
      <c r="O1497" s="26">
        <v>1.0</v>
      </c>
    </row>
    <row r="1498" ht="15.75" customHeight="1">
      <c r="A1498" s="26" t="s">
        <v>5961</v>
      </c>
      <c r="B1498" s="26" t="s">
        <v>5962</v>
      </c>
      <c r="C1498" s="26" t="s">
        <v>363</v>
      </c>
      <c r="D1498" s="26" t="s">
        <v>36</v>
      </c>
      <c r="E1498" s="26" t="s">
        <v>5963</v>
      </c>
      <c r="F1498" s="26" t="s">
        <v>315</v>
      </c>
      <c r="G1498" s="26" t="s">
        <v>47</v>
      </c>
      <c r="H1498" s="26" t="s">
        <v>34</v>
      </c>
      <c r="I1498" s="26" t="s">
        <v>101</v>
      </c>
      <c r="J1498" s="26">
        <v>3.0</v>
      </c>
      <c r="K1498" s="26" t="s">
        <v>132</v>
      </c>
      <c r="L1498" s="26" t="s">
        <v>19</v>
      </c>
      <c r="M1498" s="26" t="s">
        <v>87</v>
      </c>
      <c r="N1498" s="26" t="s">
        <v>307</v>
      </c>
      <c r="O1498" s="26">
        <v>1.0</v>
      </c>
    </row>
    <row r="1499" ht="15.75" customHeight="1">
      <c r="A1499" s="26" t="s">
        <v>5964</v>
      </c>
      <c r="B1499" s="26" t="s">
        <v>5965</v>
      </c>
      <c r="C1499" s="26" t="s">
        <v>312</v>
      </c>
      <c r="D1499" s="26" t="s">
        <v>36</v>
      </c>
      <c r="E1499" s="26" t="s">
        <v>5966</v>
      </c>
      <c r="F1499" s="26" t="s">
        <v>315</v>
      </c>
      <c r="G1499" s="26" t="s">
        <v>47</v>
      </c>
      <c r="H1499" s="26" t="s">
        <v>34</v>
      </c>
      <c r="I1499" s="26" t="s">
        <v>51</v>
      </c>
      <c r="J1499" s="26">
        <v>3.0</v>
      </c>
      <c r="K1499" s="26" t="s">
        <v>132</v>
      </c>
      <c r="L1499" s="26" t="s">
        <v>19</v>
      </c>
      <c r="M1499" s="26" t="s">
        <v>87</v>
      </c>
      <c r="N1499" s="26" t="s">
        <v>307</v>
      </c>
      <c r="O1499" s="26">
        <v>1.0</v>
      </c>
    </row>
    <row r="1500" ht="15.75" customHeight="1">
      <c r="A1500" s="26" t="s">
        <v>5967</v>
      </c>
      <c r="B1500" s="26" t="s">
        <v>5968</v>
      </c>
      <c r="C1500" s="26" t="s">
        <v>429</v>
      </c>
      <c r="D1500" s="26" t="s">
        <v>36</v>
      </c>
      <c r="E1500" s="26" t="s">
        <v>5969</v>
      </c>
      <c r="F1500" s="26" t="s">
        <v>681</v>
      </c>
      <c r="G1500" s="26" t="s">
        <v>58</v>
      </c>
      <c r="H1500" s="26" t="s">
        <v>49</v>
      </c>
      <c r="I1500" s="26"/>
      <c r="J1500" s="26">
        <v>1.0</v>
      </c>
      <c r="K1500" s="26" t="s">
        <v>5970</v>
      </c>
      <c r="L1500" s="26" t="s">
        <v>15</v>
      </c>
      <c r="M1500" s="26" t="s">
        <v>81</v>
      </c>
      <c r="N1500" s="26" t="s">
        <v>307</v>
      </c>
      <c r="O1500" s="26">
        <v>1.0</v>
      </c>
    </row>
    <row r="1501" ht="15.75" customHeight="1">
      <c r="A1501" s="26" t="s">
        <v>5971</v>
      </c>
      <c r="B1501" s="26" t="s">
        <v>5972</v>
      </c>
      <c r="C1501" s="26" t="s">
        <v>363</v>
      </c>
      <c r="D1501" s="26" t="s">
        <v>36</v>
      </c>
      <c r="E1501" s="26" t="s">
        <v>5973</v>
      </c>
      <c r="F1501" s="26" t="s">
        <v>315</v>
      </c>
      <c r="G1501" s="26" t="s">
        <v>47</v>
      </c>
      <c r="H1501" s="26" t="s">
        <v>34</v>
      </c>
      <c r="I1501" s="26" t="s">
        <v>82</v>
      </c>
      <c r="J1501" s="26">
        <v>2.0</v>
      </c>
      <c r="K1501" s="26" t="s">
        <v>132</v>
      </c>
      <c r="L1501" s="26" t="s">
        <v>15</v>
      </c>
      <c r="M1501" s="26" t="s">
        <v>87</v>
      </c>
      <c r="N1501" s="26" t="s">
        <v>307</v>
      </c>
      <c r="O1501" s="26">
        <v>1.0</v>
      </c>
    </row>
    <row r="1502" ht="15.75" customHeight="1">
      <c r="A1502" s="26" t="s">
        <v>5974</v>
      </c>
      <c r="B1502" s="26" t="s">
        <v>5975</v>
      </c>
      <c r="C1502" s="26" t="s">
        <v>363</v>
      </c>
      <c r="D1502" s="26" t="s">
        <v>36</v>
      </c>
      <c r="E1502" s="26" t="s">
        <v>5976</v>
      </c>
      <c r="F1502" s="26" t="s">
        <v>760</v>
      </c>
      <c r="G1502" s="26" t="s">
        <v>51</v>
      </c>
      <c r="H1502" s="26" t="s">
        <v>52</v>
      </c>
      <c r="I1502" s="26"/>
      <c r="J1502" s="26">
        <v>1.0</v>
      </c>
      <c r="K1502" s="26" t="s">
        <v>688</v>
      </c>
      <c r="L1502" s="26" t="s">
        <v>15</v>
      </c>
      <c r="M1502" s="26" t="s">
        <v>81</v>
      </c>
      <c r="N1502" s="26" t="s">
        <v>307</v>
      </c>
      <c r="O1502" s="26">
        <v>0.0</v>
      </c>
    </row>
    <row r="1503" ht="15.75" customHeight="1">
      <c r="A1503" s="26" t="s">
        <v>5977</v>
      </c>
      <c r="B1503" s="26" t="s">
        <v>5978</v>
      </c>
      <c r="C1503" s="26" t="s">
        <v>312</v>
      </c>
      <c r="D1503" s="26" t="s">
        <v>36</v>
      </c>
      <c r="E1503" s="26" t="s">
        <v>5979</v>
      </c>
      <c r="F1503" s="26" t="s">
        <v>315</v>
      </c>
      <c r="G1503" s="26" t="s">
        <v>47</v>
      </c>
      <c r="H1503" s="26" t="s">
        <v>34</v>
      </c>
      <c r="I1503" s="26" t="s">
        <v>82</v>
      </c>
      <c r="J1503" s="26">
        <v>2.0</v>
      </c>
      <c r="K1503" s="26" t="s">
        <v>3073</v>
      </c>
      <c r="L1503" s="26" t="s">
        <v>15</v>
      </c>
      <c r="M1503" s="26" t="s">
        <v>87</v>
      </c>
      <c r="N1503" s="26" t="s">
        <v>307</v>
      </c>
      <c r="O1503" s="26">
        <v>3.0</v>
      </c>
    </row>
    <row r="1504" ht="15.75" customHeight="1">
      <c r="A1504" s="26" t="s">
        <v>5980</v>
      </c>
      <c r="B1504" s="26" t="s">
        <v>5981</v>
      </c>
      <c r="C1504" s="26" t="s">
        <v>363</v>
      </c>
      <c r="D1504" s="26" t="s">
        <v>36</v>
      </c>
      <c r="E1504" s="26" t="s">
        <v>5982</v>
      </c>
      <c r="F1504" s="26" t="s">
        <v>663</v>
      </c>
      <c r="G1504" s="26" t="s">
        <v>44</v>
      </c>
      <c r="H1504" s="26" t="s">
        <v>34</v>
      </c>
      <c r="I1504" s="26" t="s">
        <v>101</v>
      </c>
      <c r="J1504" s="26">
        <v>3.0</v>
      </c>
      <c r="K1504" s="26" t="s">
        <v>3073</v>
      </c>
      <c r="L1504" s="26" t="s">
        <v>19</v>
      </c>
      <c r="M1504" s="26" t="s">
        <v>87</v>
      </c>
      <c r="N1504" s="26" t="s">
        <v>307</v>
      </c>
      <c r="O1504" s="26">
        <v>3.0</v>
      </c>
    </row>
    <row r="1505" ht="15.75" customHeight="1">
      <c r="A1505" s="26" t="s">
        <v>5983</v>
      </c>
      <c r="B1505" s="26" t="s">
        <v>5984</v>
      </c>
      <c r="C1505" s="26" t="s">
        <v>312</v>
      </c>
      <c r="D1505" s="26" t="s">
        <v>45</v>
      </c>
      <c r="E1505" s="26" t="s">
        <v>5985</v>
      </c>
      <c r="F1505" s="26" t="s">
        <v>1237</v>
      </c>
      <c r="G1505" s="26" t="s">
        <v>166</v>
      </c>
      <c r="H1505" s="26" t="s">
        <v>46</v>
      </c>
      <c r="I1505" s="26" t="s">
        <v>226</v>
      </c>
      <c r="J1505" s="26">
        <v>3.0</v>
      </c>
      <c r="K1505" s="26" t="s">
        <v>5986</v>
      </c>
      <c r="L1505" s="26" t="s">
        <v>15</v>
      </c>
      <c r="M1505" s="26" t="s">
        <v>81</v>
      </c>
      <c r="N1505" s="26" t="s">
        <v>307</v>
      </c>
      <c r="O1505" s="26">
        <v>2.0</v>
      </c>
    </row>
    <row r="1506" ht="15.75" customHeight="1">
      <c r="A1506" s="26" t="s">
        <v>5987</v>
      </c>
      <c r="B1506" s="26" t="s">
        <v>5988</v>
      </c>
      <c r="C1506" s="26" t="s">
        <v>312</v>
      </c>
      <c r="D1506" s="26" t="s">
        <v>45</v>
      </c>
      <c r="E1506" s="26" t="s">
        <v>5989</v>
      </c>
      <c r="F1506" s="26" t="s">
        <v>1647</v>
      </c>
      <c r="G1506" s="26" t="s">
        <v>82</v>
      </c>
      <c r="H1506" s="26" t="s">
        <v>34</v>
      </c>
      <c r="I1506" s="26"/>
      <c r="J1506" s="26">
        <v>1.0</v>
      </c>
      <c r="K1506" s="26" t="s">
        <v>317</v>
      </c>
      <c r="L1506" s="26" t="s">
        <v>29</v>
      </c>
      <c r="M1506" s="26" t="s">
        <v>95</v>
      </c>
      <c r="N1506" s="26" t="s">
        <v>307</v>
      </c>
      <c r="O1506" s="26">
        <v>1.0</v>
      </c>
    </row>
    <row r="1507" ht="15.75" customHeight="1">
      <c r="A1507" s="26" t="s">
        <v>5990</v>
      </c>
      <c r="B1507" s="26" t="s">
        <v>5988</v>
      </c>
      <c r="C1507" s="26" t="s">
        <v>312</v>
      </c>
      <c r="D1507" s="26" t="s">
        <v>45</v>
      </c>
      <c r="E1507" s="26" t="s">
        <v>5991</v>
      </c>
      <c r="F1507" s="26" t="s">
        <v>303</v>
      </c>
      <c r="G1507" s="26" t="s">
        <v>140</v>
      </c>
      <c r="H1507" s="26" t="s">
        <v>34</v>
      </c>
      <c r="I1507" s="26" t="s">
        <v>169</v>
      </c>
      <c r="J1507" s="26">
        <v>3.0</v>
      </c>
      <c r="K1507" s="26" t="s">
        <v>5868</v>
      </c>
      <c r="L1507" s="26" t="s">
        <v>15</v>
      </c>
      <c r="M1507" s="26" t="s">
        <v>81</v>
      </c>
      <c r="N1507" s="26" t="s">
        <v>307</v>
      </c>
      <c r="O1507" s="26">
        <v>2.0</v>
      </c>
    </row>
    <row r="1508" ht="15.75" customHeight="1">
      <c r="A1508" s="26" t="s">
        <v>5992</v>
      </c>
      <c r="B1508" s="26" t="s">
        <v>5993</v>
      </c>
      <c r="C1508" s="26" t="s">
        <v>363</v>
      </c>
      <c r="D1508" s="26" t="s">
        <v>45</v>
      </c>
      <c r="E1508" s="26" t="s">
        <v>5994</v>
      </c>
      <c r="F1508" s="26" t="s">
        <v>1647</v>
      </c>
      <c r="G1508" s="26" t="s">
        <v>82</v>
      </c>
      <c r="H1508" s="26" t="s">
        <v>34</v>
      </c>
      <c r="I1508" s="26"/>
      <c r="J1508" s="26">
        <v>1.0</v>
      </c>
      <c r="K1508" s="26" t="s">
        <v>5847</v>
      </c>
      <c r="L1508" s="26" t="s">
        <v>15</v>
      </c>
      <c r="M1508" s="26" t="s">
        <v>81</v>
      </c>
      <c r="N1508" s="26" t="s">
        <v>307</v>
      </c>
      <c r="O1508" s="26">
        <v>1.0</v>
      </c>
    </row>
    <row r="1509" ht="15.75" customHeight="1">
      <c r="A1509" s="26" t="s">
        <v>5995</v>
      </c>
      <c r="B1509" s="26" t="s">
        <v>5996</v>
      </c>
      <c r="C1509" s="26" t="s">
        <v>363</v>
      </c>
      <c r="D1509" s="26" t="s">
        <v>50</v>
      </c>
      <c r="E1509" s="26" t="s">
        <v>5997</v>
      </c>
      <c r="F1509" s="26" t="s">
        <v>336</v>
      </c>
      <c r="G1509" s="26" t="s">
        <v>75</v>
      </c>
      <c r="H1509" s="26" t="s">
        <v>53</v>
      </c>
      <c r="I1509" s="26"/>
      <c r="J1509" s="26">
        <v>1.0</v>
      </c>
      <c r="K1509" s="26" t="s">
        <v>338</v>
      </c>
      <c r="L1509" s="26" t="s">
        <v>19</v>
      </c>
      <c r="M1509" s="26" t="s">
        <v>66</v>
      </c>
      <c r="N1509" s="26" t="s">
        <v>307</v>
      </c>
      <c r="O1509" s="26">
        <v>3.0</v>
      </c>
    </row>
    <row r="1510" ht="15.75" customHeight="1">
      <c r="A1510" s="26" t="s">
        <v>5998</v>
      </c>
      <c r="B1510" s="26" t="s">
        <v>5999</v>
      </c>
      <c r="C1510" s="26" t="s">
        <v>429</v>
      </c>
      <c r="D1510" s="26" t="s">
        <v>45</v>
      </c>
      <c r="E1510" s="26" t="s">
        <v>6000</v>
      </c>
      <c r="F1510" s="26" t="s">
        <v>744</v>
      </c>
      <c r="G1510" s="26" t="s">
        <v>148</v>
      </c>
      <c r="H1510" s="26" t="s">
        <v>34</v>
      </c>
      <c r="I1510" s="26" t="s">
        <v>130</v>
      </c>
      <c r="J1510" s="26">
        <v>7.0</v>
      </c>
      <c r="K1510" s="26" t="s">
        <v>6001</v>
      </c>
      <c r="L1510" s="26" t="s">
        <v>15</v>
      </c>
      <c r="M1510" s="26" t="s">
        <v>81</v>
      </c>
      <c r="N1510" s="26" t="s">
        <v>307</v>
      </c>
      <c r="O1510" s="26">
        <v>0.0</v>
      </c>
    </row>
    <row r="1511" ht="15.75" customHeight="1">
      <c r="A1511" s="26" t="s">
        <v>6002</v>
      </c>
      <c r="B1511" s="26" t="s">
        <v>6003</v>
      </c>
      <c r="C1511" s="26" t="s">
        <v>429</v>
      </c>
      <c r="D1511" s="26" t="s">
        <v>89</v>
      </c>
      <c r="E1511" s="26" t="s">
        <v>6004</v>
      </c>
      <c r="F1511" s="26" t="s">
        <v>2896</v>
      </c>
      <c r="G1511" s="26" t="s">
        <v>1379</v>
      </c>
      <c r="H1511" s="26" t="s">
        <v>49</v>
      </c>
      <c r="I1511" s="26" t="s">
        <v>5937</v>
      </c>
      <c r="J1511" s="26">
        <v>2.0</v>
      </c>
      <c r="K1511" s="26" t="s">
        <v>6005</v>
      </c>
      <c r="L1511" s="26" t="s">
        <v>15</v>
      </c>
      <c r="M1511" s="26" t="s">
        <v>81</v>
      </c>
      <c r="N1511" s="26" t="s">
        <v>307</v>
      </c>
      <c r="O1511" s="26">
        <v>2.0</v>
      </c>
    </row>
    <row r="1512" ht="15.75" customHeight="1">
      <c r="A1512" s="26" t="s">
        <v>6006</v>
      </c>
      <c r="B1512" s="26" t="s">
        <v>6007</v>
      </c>
      <c r="C1512" s="26" t="s">
        <v>363</v>
      </c>
      <c r="D1512" s="26" t="s">
        <v>36</v>
      </c>
      <c r="E1512" s="26" t="s">
        <v>6008</v>
      </c>
      <c r="F1512" s="26" t="s">
        <v>760</v>
      </c>
      <c r="G1512" s="26" t="s">
        <v>51</v>
      </c>
      <c r="H1512" s="26" t="s">
        <v>52</v>
      </c>
      <c r="I1512" s="26" t="s">
        <v>82</v>
      </c>
      <c r="J1512" s="26">
        <v>2.0</v>
      </c>
      <c r="K1512" s="26" t="s">
        <v>688</v>
      </c>
      <c r="L1512" s="26" t="s">
        <v>15</v>
      </c>
      <c r="M1512" s="26" t="s">
        <v>81</v>
      </c>
      <c r="N1512" s="26" t="s">
        <v>307</v>
      </c>
      <c r="O1512" s="26">
        <v>3.0</v>
      </c>
    </row>
    <row r="1513" ht="15.75" customHeight="1">
      <c r="A1513" s="26" t="s">
        <v>6009</v>
      </c>
      <c r="B1513" s="26" t="s">
        <v>6010</v>
      </c>
      <c r="C1513" s="26" t="s">
        <v>300</v>
      </c>
      <c r="D1513" s="26" t="s">
        <v>50</v>
      </c>
      <c r="E1513" s="26" t="s">
        <v>6011</v>
      </c>
      <c r="F1513" s="26" t="s">
        <v>1174</v>
      </c>
      <c r="G1513" s="26" t="s">
        <v>539</v>
      </c>
      <c r="H1513" s="26" t="s">
        <v>46</v>
      </c>
      <c r="I1513" s="26"/>
      <c r="J1513" s="26">
        <v>0.0</v>
      </c>
      <c r="K1513" s="26"/>
      <c r="L1513" s="26" t="s">
        <v>25</v>
      </c>
      <c r="M1513" s="26" t="s">
        <v>97</v>
      </c>
      <c r="N1513" s="26" t="s">
        <v>307</v>
      </c>
      <c r="O1513" s="26">
        <v>3.0</v>
      </c>
    </row>
    <row r="1514" ht="15.75" customHeight="1">
      <c r="A1514" s="26" t="s">
        <v>6012</v>
      </c>
      <c r="B1514" s="26" t="s">
        <v>6013</v>
      </c>
      <c r="C1514" s="26" t="s">
        <v>300</v>
      </c>
      <c r="D1514" s="26" t="s">
        <v>50</v>
      </c>
      <c r="E1514" s="26" t="s">
        <v>6014</v>
      </c>
      <c r="F1514" s="26" t="s">
        <v>336</v>
      </c>
      <c r="G1514" s="26" t="s">
        <v>75</v>
      </c>
      <c r="H1514" s="26" t="s">
        <v>53</v>
      </c>
      <c r="I1514" s="26" t="s">
        <v>245</v>
      </c>
      <c r="J1514" s="26">
        <v>2.0</v>
      </c>
      <c r="K1514" s="26" t="s">
        <v>6015</v>
      </c>
      <c r="L1514" s="26" t="s">
        <v>15</v>
      </c>
      <c r="M1514" s="26" t="s">
        <v>81</v>
      </c>
      <c r="N1514" s="26" t="s">
        <v>307</v>
      </c>
      <c r="O1514" s="26">
        <v>3.0</v>
      </c>
    </row>
    <row r="1515" ht="15.75" customHeight="1">
      <c r="A1515" s="26" t="s">
        <v>6016</v>
      </c>
      <c r="B1515" s="26" t="s">
        <v>6017</v>
      </c>
      <c r="C1515" s="26" t="s">
        <v>312</v>
      </c>
      <c r="D1515" s="26" t="s">
        <v>76</v>
      </c>
      <c r="E1515" s="26" t="s">
        <v>1211</v>
      </c>
      <c r="F1515" s="26" t="s">
        <v>2666</v>
      </c>
      <c r="G1515" s="26" t="s">
        <v>1205</v>
      </c>
      <c r="H1515" s="26" t="s">
        <v>49</v>
      </c>
      <c r="I1515" s="26"/>
      <c r="J1515" s="26">
        <v>1.0</v>
      </c>
      <c r="K1515" s="26" t="s">
        <v>1213</v>
      </c>
      <c r="L1515" s="26" t="s">
        <v>15</v>
      </c>
      <c r="M1515" s="26" t="s">
        <v>81</v>
      </c>
      <c r="N1515" s="26" t="s">
        <v>307</v>
      </c>
      <c r="O1515" s="26">
        <v>3.0</v>
      </c>
    </row>
    <row r="1516" ht="15.75" customHeight="1">
      <c r="A1516" s="26" t="s">
        <v>6018</v>
      </c>
      <c r="B1516" s="26" t="s">
        <v>6019</v>
      </c>
      <c r="C1516" s="26" t="s">
        <v>363</v>
      </c>
      <c r="D1516" s="26" t="s">
        <v>36</v>
      </c>
      <c r="E1516" s="26" t="s">
        <v>6020</v>
      </c>
      <c r="F1516" s="26" t="s">
        <v>3847</v>
      </c>
      <c r="G1516" s="26" t="s">
        <v>98</v>
      </c>
      <c r="H1516" s="26" t="s">
        <v>34</v>
      </c>
      <c r="I1516" s="26"/>
      <c r="J1516" s="26">
        <v>1.0</v>
      </c>
      <c r="K1516" s="26" t="s">
        <v>6021</v>
      </c>
      <c r="L1516" s="26" t="s">
        <v>15</v>
      </c>
      <c r="M1516" s="26" t="s">
        <v>81</v>
      </c>
      <c r="N1516" s="26" t="s">
        <v>307</v>
      </c>
      <c r="O1516" s="26">
        <v>3.0</v>
      </c>
    </row>
    <row r="1517" ht="15.75" customHeight="1">
      <c r="A1517" s="26" t="s">
        <v>6022</v>
      </c>
      <c r="B1517" s="26" t="s">
        <v>6023</v>
      </c>
      <c r="C1517" s="26" t="s">
        <v>4397</v>
      </c>
      <c r="D1517" s="26" t="s">
        <v>48</v>
      </c>
      <c r="E1517" s="26" t="s">
        <v>6024</v>
      </c>
      <c r="F1517" s="26" t="s">
        <v>984</v>
      </c>
      <c r="G1517" s="26" t="s">
        <v>265</v>
      </c>
      <c r="H1517" s="26" t="s">
        <v>34</v>
      </c>
      <c r="I1517" s="26" t="s">
        <v>313</v>
      </c>
      <c r="J1517" s="26">
        <v>2.0</v>
      </c>
      <c r="K1517" s="26" t="s">
        <v>136</v>
      </c>
      <c r="L1517" s="26" t="s">
        <v>29</v>
      </c>
      <c r="M1517" s="26" t="s">
        <v>95</v>
      </c>
      <c r="N1517" s="26" t="s">
        <v>307</v>
      </c>
      <c r="O1517" s="26">
        <v>3.0</v>
      </c>
    </row>
    <row r="1518" ht="15.75" customHeight="1">
      <c r="A1518" s="26" t="s">
        <v>6025</v>
      </c>
      <c r="B1518" s="26" t="s">
        <v>6026</v>
      </c>
      <c r="C1518" s="26" t="s">
        <v>892</v>
      </c>
      <c r="D1518" s="26" t="s">
        <v>50</v>
      </c>
      <c r="E1518" s="26" t="s">
        <v>6027</v>
      </c>
      <c r="F1518" s="26" t="s">
        <v>1174</v>
      </c>
      <c r="G1518" s="26" t="s">
        <v>539</v>
      </c>
      <c r="H1518" s="26" t="s">
        <v>46</v>
      </c>
      <c r="I1518" s="26"/>
      <c r="J1518" s="26">
        <v>0.0</v>
      </c>
      <c r="K1518" s="26" t="s">
        <v>358</v>
      </c>
      <c r="L1518" s="26" t="s">
        <v>19</v>
      </c>
      <c r="M1518" s="26" t="s">
        <v>66</v>
      </c>
      <c r="N1518" s="26" t="s">
        <v>307</v>
      </c>
      <c r="O1518" s="26">
        <v>2.0</v>
      </c>
    </row>
    <row r="1519" ht="15.75" customHeight="1">
      <c r="A1519" s="26" t="s">
        <v>6028</v>
      </c>
      <c r="B1519" s="26" t="s">
        <v>6029</v>
      </c>
      <c r="C1519" s="26" t="s">
        <v>300</v>
      </c>
      <c r="D1519" s="26" t="s">
        <v>93</v>
      </c>
      <c r="E1519" s="26" t="s">
        <v>6030</v>
      </c>
      <c r="F1519" s="26" t="s">
        <v>1826</v>
      </c>
      <c r="G1519" s="26" t="s">
        <v>1404</v>
      </c>
      <c r="H1519" s="26" t="s">
        <v>34</v>
      </c>
      <c r="I1519" s="26" t="s">
        <v>1416</v>
      </c>
      <c r="J1519" s="26">
        <v>2.0</v>
      </c>
      <c r="K1519" s="26" t="s">
        <v>6031</v>
      </c>
      <c r="L1519" s="26" t="s">
        <v>19</v>
      </c>
      <c r="M1519" s="26" t="s">
        <v>66</v>
      </c>
      <c r="N1519" s="26" t="s">
        <v>307</v>
      </c>
      <c r="O1519" s="26">
        <v>7.0</v>
      </c>
    </row>
    <row r="1520" ht="15.75" customHeight="1">
      <c r="A1520" s="26" t="s">
        <v>6032</v>
      </c>
      <c r="B1520" s="26" t="s">
        <v>6033</v>
      </c>
      <c r="C1520" s="26" t="s">
        <v>312</v>
      </c>
      <c r="D1520" s="26" t="s">
        <v>45</v>
      </c>
      <c r="E1520" s="26" t="s">
        <v>6034</v>
      </c>
      <c r="F1520" s="26" t="s">
        <v>744</v>
      </c>
      <c r="G1520" s="26" t="s">
        <v>148</v>
      </c>
      <c r="H1520" s="26" t="s">
        <v>34</v>
      </c>
      <c r="I1520" s="26" t="s">
        <v>140</v>
      </c>
      <c r="J1520" s="26">
        <v>5.0</v>
      </c>
      <c r="K1520" s="26" t="s">
        <v>5263</v>
      </c>
      <c r="L1520" s="26" t="s">
        <v>15</v>
      </c>
      <c r="M1520" s="26" t="s">
        <v>81</v>
      </c>
      <c r="N1520" s="26" t="s">
        <v>307</v>
      </c>
      <c r="O1520" s="26">
        <v>2.0</v>
      </c>
    </row>
    <row r="1521" ht="15.75" customHeight="1">
      <c r="A1521" s="26" t="s">
        <v>6035</v>
      </c>
      <c r="B1521" s="26" t="s">
        <v>6036</v>
      </c>
      <c r="C1521" s="26" t="s">
        <v>429</v>
      </c>
      <c r="D1521" s="26" t="s">
        <v>54</v>
      </c>
      <c r="E1521" s="26" t="s">
        <v>6037</v>
      </c>
      <c r="F1521" s="26" t="s">
        <v>644</v>
      </c>
      <c r="G1521" s="26" t="s">
        <v>217</v>
      </c>
      <c r="H1521" s="26" t="s">
        <v>52</v>
      </c>
      <c r="I1521" s="26" t="s">
        <v>717</v>
      </c>
      <c r="J1521" s="26">
        <v>2.0</v>
      </c>
      <c r="K1521" s="26" t="s">
        <v>6038</v>
      </c>
      <c r="L1521" s="26" t="s">
        <v>15</v>
      </c>
      <c r="M1521" s="26" t="s">
        <v>81</v>
      </c>
      <c r="N1521" s="26" t="s">
        <v>307</v>
      </c>
      <c r="O1521" s="26">
        <v>1.0</v>
      </c>
    </row>
    <row r="1522" ht="15.75" customHeight="1">
      <c r="A1522" s="26" t="s">
        <v>6039</v>
      </c>
      <c r="B1522" s="26" t="s">
        <v>6040</v>
      </c>
      <c r="C1522" s="26" t="s">
        <v>363</v>
      </c>
      <c r="D1522" s="26" t="s">
        <v>48</v>
      </c>
      <c r="E1522" s="26" t="s">
        <v>6041</v>
      </c>
      <c r="F1522" s="26" t="s">
        <v>672</v>
      </c>
      <c r="G1522" s="26" t="s">
        <v>339</v>
      </c>
      <c r="H1522" s="26" t="s">
        <v>49</v>
      </c>
      <c r="I1522" s="26"/>
      <c r="J1522" s="26">
        <v>1.0</v>
      </c>
      <c r="K1522" s="26" t="s">
        <v>6042</v>
      </c>
      <c r="L1522" s="26" t="s">
        <v>15</v>
      </c>
      <c r="M1522" s="26" t="s">
        <v>81</v>
      </c>
      <c r="N1522" s="26" t="s">
        <v>307</v>
      </c>
      <c r="O1522" s="26">
        <v>5.0</v>
      </c>
    </row>
    <row r="1523" ht="15.75" customHeight="1">
      <c r="A1523" s="26" t="s">
        <v>6043</v>
      </c>
      <c r="B1523" s="26" t="s">
        <v>6044</v>
      </c>
      <c r="C1523" s="26" t="s">
        <v>300</v>
      </c>
      <c r="D1523" s="26" t="s">
        <v>69</v>
      </c>
      <c r="E1523" s="26" t="s">
        <v>6045</v>
      </c>
      <c r="F1523" s="26" t="s">
        <v>440</v>
      </c>
      <c r="G1523" s="26" t="s">
        <v>83</v>
      </c>
      <c r="H1523" s="26" t="s">
        <v>46</v>
      </c>
      <c r="I1523" s="26" t="s">
        <v>5227</v>
      </c>
      <c r="J1523" s="26">
        <v>2.0</v>
      </c>
      <c r="K1523" s="26" t="s">
        <v>6046</v>
      </c>
      <c r="L1523" s="26" t="s">
        <v>19</v>
      </c>
      <c r="M1523" s="26" t="s">
        <v>66</v>
      </c>
      <c r="N1523" s="26" t="s">
        <v>307</v>
      </c>
      <c r="O1523" s="26">
        <v>6.0</v>
      </c>
    </row>
    <row r="1524" ht="15.75" customHeight="1">
      <c r="A1524" s="26" t="s">
        <v>6047</v>
      </c>
      <c r="B1524" s="26" t="s">
        <v>6048</v>
      </c>
      <c r="C1524" s="26" t="s">
        <v>363</v>
      </c>
      <c r="D1524" s="26" t="s">
        <v>50</v>
      </c>
      <c r="E1524" s="26" t="s">
        <v>6049</v>
      </c>
      <c r="F1524" s="26" t="s">
        <v>1309</v>
      </c>
      <c r="G1524" s="26" t="s">
        <v>245</v>
      </c>
      <c r="H1524" s="26" t="s">
        <v>57</v>
      </c>
      <c r="I1524" s="26" t="s">
        <v>328</v>
      </c>
      <c r="J1524" s="26">
        <v>3.0</v>
      </c>
      <c r="K1524" s="26" t="s">
        <v>6050</v>
      </c>
      <c r="L1524" s="26" t="s">
        <v>15</v>
      </c>
      <c r="M1524" s="26" t="s">
        <v>81</v>
      </c>
      <c r="N1524" s="26" t="s">
        <v>307</v>
      </c>
      <c r="O1524" s="26">
        <v>9.0</v>
      </c>
    </row>
    <row r="1525" ht="15.75" customHeight="1">
      <c r="A1525" s="26" t="s">
        <v>6051</v>
      </c>
      <c r="B1525" s="26" t="s">
        <v>6052</v>
      </c>
      <c r="C1525" s="26" t="s">
        <v>300</v>
      </c>
      <c r="D1525" s="26" t="s">
        <v>50</v>
      </c>
      <c r="E1525" s="26" t="s">
        <v>6053</v>
      </c>
      <c r="F1525" s="26" t="s">
        <v>336</v>
      </c>
      <c r="G1525" s="26" t="s">
        <v>75</v>
      </c>
      <c r="H1525" s="26" t="s">
        <v>53</v>
      </c>
      <c r="I1525" s="26" t="s">
        <v>189</v>
      </c>
      <c r="J1525" s="26">
        <v>5.0</v>
      </c>
      <c r="K1525" s="26" t="s">
        <v>6054</v>
      </c>
      <c r="L1525" s="26" t="s">
        <v>15</v>
      </c>
      <c r="M1525" s="26" t="s">
        <v>81</v>
      </c>
      <c r="N1525" s="26" t="s">
        <v>307</v>
      </c>
      <c r="O1525" s="26">
        <v>5.0</v>
      </c>
    </row>
    <row r="1526" ht="15.75" customHeight="1">
      <c r="A1526" s="26" t="s">
        <v>6055</v>
      </c>
      <c r="B1526" s="26" t="s">
        <v>6056</v>
      </c>
      <c r="C1526" s="26" t="s">
        <v>300</v>
      </c>
      <c r="D1526" s="26" t="s">
        <v>72</v>
      </c>
      <c r="E1526" s="26" t="s">
        <v>6057</v>
      </c>
      <c r="F1526" s="26" t="s">
        <v>1394</v>
      </c>
      <c r="G1526" s="26" t="s">
        <v>109</v>
      </c>
      <c r="H1526" s="26" t="s">
        <v>61</v>
      </c>
      <c r="I1526" s="26" t="s">
        <v>6058</v>
      </c>
      <c r="J1526" s="26">
        <v>3.0</v>
      </c>
      <c r="K1526" s="26" t="s">
        <v>6059</v>
      </c>
      <c r="L1526" s="26" t="s">
        <v>19</v>
      </c>
      <c r="M1526" s="26" t="s">
        <v>87</v>
      </c>
      <c r="N1526" s="26" t="s">
        <v>307</v>
      </c>
      <c r="O1526" s="26">
        <v>5.0</v>
      </c>
    </row>
    <row r="1527" ht="15.75" customHeight="1">
      <c r="A1527" s="26" t="s">
        <v>6060</v>
      </c>
      <c r="B1527" s="26" t="s">
        <v>6061</v>
      </c>
      <c r="C1527" s="26" t="s">
        <v>363</v>
      </c>
      <c r="D1527" s="26" t="s">
        <v>45</v>
      </c>
      <c r="E1527" s="26" t="s">
        <v>6062</v>
      </c>
      <c r="F1527" s="26" t="s">
        <v>303</v>
      </c>
      <c r="G1527" s="26" t="s">
        <v>140</v>
      </c>
      <c r="H1527" s="26" t="s">
        <v>34</v>
      </c>
      <c r="I1527" s="26" t="s">
        <v>169</v>
      </c>
      <c r="J1527" s="26">
        <v>2.0</v>
      </c>
      <c r="K1527" s="26" t="s">
        <v>5263</v>
      </c>
      <c r="L1527" s="26" t="s">
        <v>15</v>
      </c>
      <c r="M1527" s="26" t="s">
        <v>81</v>
      </c>
      <c r="N1527" s="26" t="s">
        <v>307</v>
      </c>
      <c r="O1527" s="26">
        <v>1.0</v>
      </c>
    </row>
    <row r="1528" ht="15.75" customHeight="1">
      <c r="A1528" s="26" t="s">
        <v>6063</v>
      </c>
      <c r="B1528" s="26" t="s">
        <v>6064</v>
      </c>
      <c r="C1528" s="26" t="s">
        <v>300</v>
      </c>
      <c r="D1528" s="26" t="s">
        <v>48</v>
      </c>
      <c r="E1528" s="26" t="s">
        <v>6065</v>
      </c>
      <c r="F1528" s="26" t="s">
        <v>366</v>
      </c>
      <c r="G1528" s="26" t="s">
        <v>258</v>
      </c>
      <c r="H1528" s="26" t="s">
        <v>61</v>
      </c>
      <c r="I1528" s="26"/>
      <c r="J1528" s="26">
        <v>1.0</v>
      </c>
      <c r="K1528" s="26" t="s">
        <v>6066</v>
      </c>
      <c r="L1528" s="26" t="s">
        <v>15</v>
      </c>
      <c r="M1528" s="26" t="s">
        <v>81</v>
      </c>
      <c r="N1528" s="26" t="s">
        <v>307</v>
      </c>
      <c r="O1528" s="26">
        <v>4.0</v>
      </c>
    </row>
    <row r="1529" ht="15.75" customHeight="1">
      <c r="A1529" s="26" t="s">
        <v>6067</v>
      </c>
      <c r="B1529" s="26" t="s">
        <v>6068</v>
      </c>
      <c r="C1529" s="26" t="s">
        <v>363</v>
      </c>
      <c r="D1529" s="26" t="s">
        <v>48</v>
      </c>
      <c r="E1529" s="26" t="s">
        <v>6069</v>
      </c>
      <c r="F1529" s="26" t="s">
        <v>984</v>
      </c>
      <c r="G1529" s="26" t="s">
        <v>265</v>
      </c>
      <c r="H1529" s="26" t="s">
        <v>34</v>
      </c>
      <c r="I1529" s="26" t="s">
        <v>313</v>
      </c>
      <c r="J1529" s="26">
        <v>3.0</v>
      </c>
      <c r="K1529" s="26" t="s">
        <v>6070</v>
      </c>
      <c r="L1529" s="26" t="s">
        <v>15</v>
      </c>
      <c r="M1529" s="26" t="s">
        <v>81</v>
      </c>
      <c r="N1529" s="26" t="s">
        <v>307</v>
      </c>
      <c r="O1529" s="26">
        <v>5.0</v>
      </c>
    </row>
    <row r="1530" ht="15.75" customHeight="1">
      <c r="A1530" s="26" t="s">
        <v>6071</v>
      </c>
      <c r="B1530" s="26" t="s">
        <v>6072</v>
      </c>
      <c r="C1530" s="26" t="s">
        <v>363</v>
      </c>
      <c r="D1530" s="26" t="s">
        <v>48</v>
      </c>
      <c r="E1530" s="26" t="s">
        <v>6073</v>
      </c>
      <c r="F1530" s="26" t="s">
        <v>834</v>
      </c>
      <c r="G1530" s="26" t="s">
        <v>267</v>
      </c>
      <c r="H1530" s="26" t="s">
        <v>34</v>
      </c>
      <c r="I1530" s="26" t="s">
        <v>386</v>
      </c>
      <c r="J1530" s="26">
        <v>2.0</v>
      </c>
      <c r="K1530" s="26" t="s">
        <v>6074</v>
      </c>
      <c r="L1530" s="26" t="s">
        <v>15</v>
      </c>
      <c r="M1530" s="26" t="s">
        <v>81</v>
      </c>
      <c r="N1530" s="26" t="s">
        <v>307</v>
      </c>
      <c r="O1530" s="26">
        <v>4.0</v>
      </c>
    </row>
    <row r="1531" ht="15.75" customHeight="1">
      <c r="A1531" s="26" t="s">
        <v>6075</v>
      </c>
      <c r="B1531" s="26" t="s">
        <v>6076</v>
      </c>
      <c r="C1531" s="26" t="s">
        <v>312</v>
      </c>
      <c r="D1531" s="26" t="s">
        <v>45</v>
      </c>
      <c r="E1531" s="26" t="s">
        <v>6077</v>
      </c>
      <c r="F1531" s="26" t="s">
        <v>744</v>
      </c>
      <c r="G1531" s="26" t="s">
        <v>148</v>
      </c>
      <c r="H1531" s="26" t="s">
        <v>34</v>
      </c>
      <c r="I1531" s="26" t="s">
        <v>130</v>
      </c>
      <c r="J1531" s="26">
        <v>3.0</v>
      </c>
      <c r="K1531" s="26" t="s">
        <v>6078</v>
      </c>
      <c r="L1531" s="26" t="s">
        <v>15</v>
      </c>
      <c r="M1531" s="26" t="s">
        <v>81</v>
      </c>
      <c r="N1531" s="26" t="s">
        <v>307</v>
      </c>
      <c r="O1531" s="26">
        <v>1.0</v>
      </c>
    </row>
    <row r="1532" ht="15.75" customHeight="1">
      <c r="A1532" s="26" t="s">
        <v>6079</v>
      </c>
      <c r="B1532" s="26" t="s">
        <v>6080</v>
      </c>
      <c r="C1532" s="26" t="s">
        <v>300</v>
      </c>
      <c r="D1532" s="26" t="s">
        <v>48</v>
      </c>
      <c r="E1532" s="26" t="s">
        <v>6081</v>
      </c>
      <c r="F1532" s="26" t="s">
        <v>973</v>
      </c>
      <c r="G1532" s="26" t="s">
        <v>299</v>
      </c>
      <c r="H1532" s="26" t="s">
        <v>34</v>
      </c>
      <c r="I1532" s="26" t="s">
        <v>248</v>
      </c>
      <c r="J1532" s="26">
        <v>2.0</v>
      </c>
      <c r="K1532" s="26" t="s">
        <v>6082</v>
      </c>
      <c r="L1532" s="26" t="s">
        <v>15</v>
      </c>
      <c r="M1532" s="26" t="s">
        <v>81</v>
      </c>
      <c r="N1532" s="26" t="s">
        <v>307</v>
      </c>
      <c r="O1532" s="26">
        <v>5.0</v>
      </c>
    </row>
    <row r="1533" ht="15.75" customHeight="1">
      <c r="A1533" s="26" t="s">
        <v>6083</v>
      </c>
      <c r="B1533" s="26" t="s">
        <v>6084</v>
      </c>
      <c r="C1533" s="26" t="s">
        <v>363</v>
      </c>
      <c r="D1533" s="26" t="s">
        <v>59</v>
      </c>
      <c r="E1533" s="26" t="s">
        <v>6085</v>
      </c>
      <c r="F1533" s="26" t="s">
        <v>372</v>
      </c>
      <c r="G1533" s="26" t="s">
        <v>373</v>
      </c>
      <c r="H1533" s="26" t="s">
        <v>34</v>
      </c>
      <c r="I1533" s="26"/>
      <c r="J1533" s="26">
        <v>1.0</v>
      </c>
      <c r="K1533" s="26" t="s">
        <v>2507</v>
      </c>
      <c r="L1533" s="26" t="s">
        <v>15</v>
      </c>
      <c r="M1533" s="26" t="s">
        <v>81</v>
      </c>
      <c r="N1533" s="26" t="s">
        <v>307</v>
      </c>
      <c r="O1533" s="26">
        <v>0.0</v>
      </c>
    </row>
    <row r="1534" ht="15.75" customHeight="1">
      <c r="A1534" s="26" t="s">
        <v>6086</v>
      </c>
      <c r="B1534" s="26" t="s">
        <v>6087</v>
      </c>
      <c r="C1534" s="26" t="s">
        <v>312</v>
      </c>
      <c r="D1534" s="26" t="s">
        <v>62</v>
      </c>
      <c r="E1534" s="26" t="s">
        <v>6088</v>
      </c>
      <c r="F1534" s="26" t="s">
        <v>1245</v>
      </c>
      <c r="G1534" s="26" t="s">
        <v>119</v>
      </c>
      <c r="H1534" s="26" t="s">
        <v>57</v>
      </c>
      <c r="I1534" s="26" t="s">
        <v>1007</v>
      </c>
      <c r="J1534" s="26">
        <v>2.0</v>
      </c>
      <c r="K1534" s="26" t="s">
        <v>6089</v>
      </c>
      <c r="L1534" s="26" t="s">
        <v>15</v>
      </c>
      <c r="M1534" s="26" t="s">
        <v>81</v>
      </c>
      <c r="N1534" s="26" t="s">
        <v>307</v>
      </c>
      <c r="O1534" s="26">
        <v>10.0</v>
      </c>
    </row>
    <row r="1535" ht="15.75" customHeight="1">
      <c r="A1535" s="26" t="s">
        <v>6090</v>
      </c>
      <c r="B1535" s="26" t="s">
        <v>6091</v>
      </c>
      <c r="C1535" s="26" t="s">
        <v>363</v>
      </c>
      <c r="D1535" s="26" t="s">
        <v>36</v>
      </c>
      <c r="E1535" s="26" t="s">
        <v>6092</v>
      </c>
      <c r="F1535" s="26" t="s">
        <v>315</v>
      </c>
      <c r="G1535" s="26" t="s">
        <v>47</v>
      </c>
      <c r="H1535" s="26" t="s">
        <v>34</v>
      </c>
      <c r="I1535" s="26" t="s">
        <v>84</v>
      </c>
      <c r="J1535" s="26">
        <v>4.0</v>
      </c>
      <c r="K1535" s="26" t="s">
        <v>3073</v>
      </c>
      <c r="L1535" s="26" t="s">
        <v>19</v>
      </c>
      <c r="M1535" s="26" t="s">
        <v>87</v>
      </c>
      <c r="N1535" s="26" t="s">
        <v>307</v>
      </c>
      <c r="O1535" s="26">
        <v>3.0</v>
      </c>
    </row>
    <row r="1536" ht="15.75" customHeight="1">
      <c r="A1536" s="26" t="s">
        <v>6093</v>
      </c>
      <c r="B1536" s="26" t="s">
        <v>6094</v>
      </c>
      <c r="C1536" s="26" t="s">
        <v>363</v>
      </c>
      <c r="D1536" s="26" t="s">
        <v>54</v>
      </c>
      <c r="E1536" s="26" t="s">
        <v>6095</v>
      </c>
      <c r="F1536" s="26" t="s">
        <v>347</v>
      </c>
      <c r="G1536" s="26" t="s">
        <v>99</v>
      </c>
      <c r="H1536" s="26" t="s">
        <v>49</v>
      </c>
      <c r="I1536" s="26" t="s">
        <v>717</v>
      </c>
      <c r="J1536" s="26">
        <v>2.0</v>
      </c>
      <c r="K1536" s="26" t="s">
        <v>6096</v>
      </c>
      <c r="L1536" s="26" t="s">
        <v>15</v>
      </c>
      <c r="M1536" s="26" t="s">
        <v>81</v>
      </c>
      <c r="N1536" s="26" t="s">
        <v>307</v>
      </c>
      <c r="O1536" s="26">
        <v>3.0</v>
      </c>
    </row>
    <row r="1537" ht="15.75" customHeight="1">
      <c r="A1537" s="26" t="s">
        <v>6097</v>
      </c>
      <c r="B1537" s="26" t="s">
        <v>6098</v>
      </c>
      <c r="C1537" s="26" t="s">
        <v>363</v>
      </c>
      <c r="D1537" s="26" t="s">
        <v>48</v>
      </c>
      <c r="E1537" s="26" t="s">
        <v>6099</v>
      </c>
      <c r="F1537" s="26" t="s">
        <v>2089</v>
      </c>
      <c r="G1537" s="26" t="s">
        <v>378</v>
      </c>
      <c r="H1537" s="26" t="s">
        <v>34</v>
      </c>
      <c r="I1537" s="26"/>
      <c r="J1537" s="26">
        <v>1.0</v>
      </c>
      <c r="K1537" s="26" t="s">
        <v>6100</v>
      </c>
      <c r="L1537" s="26" t="s">
        <v>15</v>
      </c>
      <c r="M1537" s="26" t="s">
        <v>81</v>
      </c>
      <c r="N1537" s="26" t="s">
        <v>307</v>
      </c>
      <c r="O1537" s="26">
        <v>4.0</v>
      </c>
    </row>
    <row r="1538" ht="15.75" customHeight="1">
      <c r="A1538" s="26" t="s">
        <v>6101</v>
      </c>
      <c r="B1538" s="26" t="s">
        <v>6102</v>
      </c>
      <c r="C1538" s="26" t="s">
        <v>300</v>
      </c>
      <c r="D1538" s="26" t="s">
        <v>54</v>
      </c>
      <c r="E1538" s="26" t="s">
        <v>6103</v>
      </c>
      <c r="F1538" s="26" t="s">
        <v>432</v>
      </c>
      <c r="G1538" s="26" t="s">
        <v>182</v>
      </c>
      <c r="H1538" s="26" t="s">
        <v>34</v>
      </c>
      <c r="I1538" s="26" t="s">
        <v>217</v>
      </c>
      <c r="J1538" s="26">
        <v>2.0</v>
      </c>
      <c r="K1538" s="26" t="s">
        <v>6104</v>
      </c>
      <c r="L1538" s="26" t="s">
        <v>15</v>
      </c>
      <c r="M1538" s="26" t="s">
        <v>81</v>
      </c>
      <c r="N1538" s="26" t="s">
        <v>307</v>
      </c>
      <c r="O1538" s="26">
        <v>4.0</v>
      </c>
    </row>
    <row r="1539" ht="15.75" customHeight="1">
      <c r="A1539" s="26" t="s">
        <v>6105</v>
      </c>
      <c r="B1539" s="26" t="s">
        <v>6106</v>
      </c>
      <c r="C1539" s="26" t="s">
        <v>429</v>
      </c>
      <c r="D1539" s="26" t="s">
        <v>45</v>
      </c>
      <c r="E1539" s="26" t="s">
        <v>6107</v>
      </c>
      <c r="F1539" s="26" t="s">
        <v>799</v>
      </c>
      <c r="G1539" s="26" t="s">
        <v>130</v>
      </c>
      <c r="H1539" s="26" t="s">
        <v>34</v>
      </c>
      <c r="I1539" s="26"/>
      <c r="J1539" s="26">
        <v>1.0</v>
      </c>
      <c r="K1539" s="26" t="s">
        <v>6108</v>
      </c>
      <c r="L1539" s="26" t="s">
        <v>15</v>
      </c>
      <c r="M1539" s="26" t="s">
        <v>81</v>
      </c>
      <c r="N1539" s="26" t="s">
        <v>307</v>
      </c>
      <c r="O1539" s="26">
        <v>2.0</v>
      </c>
    </row>
    <row r="1540" ht="15.75" customHeight="1">
      <c r="A1540" s="26" t="s">
        <v>6109</v>
      </c>
      <c r="B1540" s="26" t="s">
        <v>6110</v>
      </c>
      <c r="C1540" s="26" t="s">
        <v>363</v>
      </c>
      <c r="D1540" s="26" t="s">
        <v>59</v>
      </c>
      <c r="E1540" s="26" t="s">
        <v>6111</v>
      </c>
      <c r="F1540" s="26" t="s">
        <v>1125</v>
      </c>
      <c r="G1540" s="26" t="s">
        <v>113</v>
      </c>
      <c r="H1540" s="26" t="s">
        <v>49</v>
      </c>
      <c r="I1540" s="26"/>
      <c r="J1540" s="26">
        <v>1.0</v>
      </c>
      <c r="K1540" s="26" t="s">
        <v>6112</v>
      </c>
      <c r="L1540" s="26" t="s">
        <v>15</v>
      </c>
      <c r="M1540" s="26" t="s">
        <v>81</v>
      </c>
      <c r="N1540" s="26" t="s">
        <v>307</v>
      </c>
      <c r="O1540" s="26">
        <v>0.0</v>
      </c>
    </row>
    <row r="1541" ht="15.75" customHeight="1">
      <c r="A1541" s="26" t="s">
        <v>6113</v>
      </c>
      <c r="B1541" s="26" t="s">
        <v>6114</v>
      </c>
      <c r="C1541" s="26" t="s">
        <v>300</v>
      </c>
      <c r="D1541" s="26" t="s">
        <v>36</v>
      </c>
      <c r="E1541" s="26" t="s">
        <v>6115</v>
      </c>
      <c r="F1541" s="26" t="s">
        <v>3132</v>
      </c>
      <c r="G1541" s="26" t="s">
        <v>77</v>
      </c>
      <c r="H1541" s="26" t="s">
        <v>46</v>
      </c>
      <c r="I1541" s="26"/>
      <c r="J1541" s="26">
        <v>0.0</v>
      </c>
      <c r="K1541" s="26" t="s">
        <v>6116</v>
      </c>
      <c r="L1541" s="26" t="s">
        <v>15</v>
      </c>
      <c r="M1541" s="26" t="s">
        <v>81</v>
      </c>
      <c r="N1541" s="26" t="s">
        <v>307</v>
      </c>
      <c r="O1541" s="26">
        <v>3.0</v>
      </c>
    </row>
    <row r="1542" ht="15.75" customHeight="1">
      <c r="A1542" s="26" t="s">
        <v>6117</v>
      </c>
      <c r="B1542" s="26" t="s">
        <v>6118</v>
      </c>
      <c r="C1542" s="26" t="s">
        <v>312</v>
      </c>
      <c r="D1542" s="26" t="s">
        <v>45</v>
      </c>
      <c r="E1542" s="26" t="s">
        <v>6119</v>
      </c>
      <c r="F1542" s="26" t="s">
        <v>799</v>
      </c>
      <c r="G1542" s="26" t="s">
        <v>130</v>
      </c>
      <c r="H1542" s="26" t="s">
        <v>34</v>
      </c>
      <c r="I1542" s="26" t="s">
        <v>166</v>
      </c>
      <c r="J1542" s="26">
        <v>4.0</v>
      </c>
      <c r="K1542" s="26" t="s">
        <v>6120</v>
      </c>
      <c r="L1542" s="26" t="s">
        <v>19</v>
      </c>
      <c r="M1542" s="26" t="s">
        <v>81</v>
      </c>
      <c r="N1542" s="26" t="s">
        <v>307</v>
      </c>
      <c r="O1542" s="26">
        <v>1.0</v>
      </c>
    </row>
    <row r="1543" ht="15.75" customHeight="1">
      <c r="A1543" s="26" t="s">
        <v>6121</v>
      </c>
      <c r="B1543" s="26" t="s">
        <v>6122</v>
      </c>
      <c r="C1543" s="26" t="s">
        <v>300</v>
      </c>
      <c r="D1543" s="26" t="s">
        <v>48</v>
      </c>
      <c r="E1543" s="26" t="s">
        <v>6123</v>
      </c>
      <c r="F1543" s="26" t="s">
        <v>834</v>
      </c>
      <c r="G1543" s="26" t="s">
        <v>267</v>
      </c>
      <c r="H1543" s="26" t="s">
        <v>34</v>
      </c>
      <c r="I1543" s="26"/>
      <c r="J1543" s="26">
        <v>1.0</v>
      </c>
      <c r="K1543" s="26" t="s">
        <v>6124</v>
      </c>
      <c r="L1543" s="26" t="s">
        <v>15</v>
      </c>
      <c r="M1543" s="26" t="s">
        <v>81</v>
      </c>
      <c r="N1543" s="26" t="s">
        <v>307</v>
      </c>
      <c r="O1543" s="26">
        <v>3.0</v>
      </c>
    </row>
    <row r="1544" ht="15.75" customHeight="1">
      <c r="A1544" s="26" t="s">
        <v>6125</v>
      </c>
      <c r="B1544" s="26" t="s">
        <v>6126</v>
      </c>
      <c r="C1544" s="26" t="s">
        <v>429</v>
      </c>
      <c r="D1544" s="26" t="s">
        <v>72</v>
      </c>
      <c r="E1544" s="26" t="s">
        <v>6127</v>
      </c>
      <c r="F1544" s="26" t="s">
        <v>1973</v>
      </c>
      <c r="G1544" s="26" t="s">
        <v>1143</v>
      </c>
      <c r="H1544" s="26" t="s">
        <v>61</v>
      </c>
      <c r="I1544" s="26"/>
      <c r="J1544" s="26">
        <v>1.0</v>
      </c>
      <c r="K1544" s="26" t="s">
        <v>6128</v>
      </c>
      <c r="L1544" s="26" t="s">
        <v>15</v>
      </c>
      <c r="M1544" s="26" t="s">
        <v>81</v>
      </c>
      <c r="N1544" s="26" t="s">
        <v>307</v>
      </c>
      <c r="O1544" s="26">
        <v>3.0</v>
      </c>
    </row>
    <row r="1545" ht="15.75" customHeight="1">
      <c r="A1545" s="26" t="s">
        <v>6129</v>
      </c>
      <c r="B1545" s="26" t="s">
        <v>6130</v>
      </c>
      <c r="C1545" s="26" t="s">
        <v>363</v>
      </c>
      <c r="D1545" s="26" t="s">
        <v>69</v>
      </c>
      <c r="E1545" s="26" t="s">
        <v>1044</v>
      </c>
      <c r="F1545" s="26" t="s">
        <v>2870</v>
      </c>
      <c r="G1545" s="26" t="s">
        <v>115</v>
      </c>
      <c r="H1545" s="26" t="s">
        <v>53</v>
      </c>
      <c r="I1545" s="26"/>
      <c r="J1545" s="26">
        <v>1.0</v>
      </c>
      <c r="K1545" s="26" t="s">
        <v>1045</v>
      </c>
      <c r="L1545" s="26" t="s">
        <v>15</v>
      </c>
      <c r="M1545" s="26" t="s">
        <v>81</v>
      </c>
      <c r="N1545" s="26" t="s">
        <v>307</v>
      </c>
      <c r="O1545" s="26">
        <v>6.0</v>
      </c>
    </row>
    <row r="1546" ht="15.75" customHeight="1">
      <c r="A1546" s="26" t="s">
        <v>6131</v>
      </c>
      <c r="B1546" s="26" t="s">
        <v>6132</v>
      </c>
      <c r="C1546" s="26" t="s">
        <v>312</v>
      </c>
      <c r="D1546" s="26" t="s">
        <v>36</v>
      </c>
      <c r="E1546" s="26" t="s">
        <v>6133</v>
      </c>
      <c r="F1546" s="26" t="s">
        <v>3132</v>
      </c>
      <c r="G1546" s="26" t="s">
        <v>77</v>
      </c>
      <c r="H1546" s="26" t="s">
        <v>46</v>
      </c>
      <c r="I1546" s="26"/>
      <c r="J1546" s="26">
        <v>0.0</v>
      </c>
      <c r="K1546" s="26" t="s">
        <v>136</v>
      </c>
      <c r="L1546" s="26" t="s">
        <v>29</v>
      </c>
      <c r="M1546" s="26" t="s">
        <v>95</v>
      </c>
      <c r="N1546" s="26" t="s">
        <v>307</v>
      </c>
      <c r="O1546" s="26">
        <v>3.0</v>
      </c>
    </row>
    <row r="1547" ht="15.75" customHeight="1">
      <c r="A1547" s="26" t="s">
        <v>6134</v>
      </c>
      <c r="B1547" s="26" t="s">
        <v>6135</v>
      </c>
      <c r="C1547" s="26" t="s">
        <v>312</v>
      </c>
      <c r="D1547" s="26" t="s">
        <v>36</v>
      </c>
      <c r="E1547" s="26" t="s">
        <v>6136</v>
      </c>
      <c r="F1547" s="26" t="s">
        <v>315</v>
      </c>
      <c r="G1547" s="26" t="s">
        <v>47</v>
      </c>
      <c r="H1547" s="26" t="s">
        <v>34</v>
      </c>
      <c r="I1547" s="26" t="s">
        <v>108</v>
      </c>
      <c r="J1547" s="26">
        <v>4.0</v>
      </c>
      <c r="K1547" s="26" t="s">
        <v>6137</v>
      </c>
      <c r="L1547" s="26" t="s">
        <v>19</v>
      </c>
      <c r="M1547" s="26" t="s">
        <v>87</v>
      </c>
      <c r="N1547" s="26" t="s">
        <v>307</v>
      </c>
      <c r="O1547" s="26">
        <v>3.0</v>
      </c>
    </row>
    <row r="1548" ht="15.75" customHeight="1">
      <c r="A1548" s="26" t="s">
        <v>6138</v>
      </c>
      <c r="B1548" s="26" t="s">
        <v>6139</v>
      </c>
      <c r="C1548" s="26" t="s">
        <v>3588</v>
      </c>
      <c r="D1548" s="26" t="s">
        <v>36</v>
      </c>
      <c r="E1548" s="26" t="s">
        <v>231</v>
      </c>
      <c r="F1548" s="26" t="s">
        <v>5671</v>
      </c>
      <c r="G1548" s="26" t="s">
        <v>110</v>
      </c>
      <c r="H1548" s="26" t="s">
        <v>71</v>
      </c>
      <c r="I1548" s="26"/>
      <c r="J1548" s="26">
        <v>1.0</v>
      </c>
      <c r="K1548" s="26" t="s">
        <v>721</v>
      </c>
      <c r="L1548" s="26" t="s">
        <v>29</v>
      </c>
      <c r="M1548" s="26" t="s">
        <v>95</v>
      </c>
      <c r="N1548" s="26" t="s">
        <v>307</v>
      </c>
      <c r="O1548" s="26">
        <v>2.0</v>
      </c>
    </row>
    <row r="1549" ht="15.75" customHeight="1">
      <c r="A1549" s="26" t="s">
        <v>6140</v>
      </c>
      <c r="B1549" s="26" t="s">
        <v>6141</v>
      </c>
      <c r="C1549" s="26" t="s">
        <v>363</v>
      </c>
      <c r="D1549" s="26" t="s">
        <v>36</v>
      </c>
      <c r="E1549" s="26" t="s">
        <v>6142</v>
      </c>
      <c r="F1549" s="26" t="s">
        <v>663</v>
      </c>
      <c r="G1549" s="26" t="s">
        <v>44</v>
      </c>
      <c r="H1549" s="26" t="s">
        <v>34</v>
      </c>
      <c r="I1549" s="26" t="s">
        <v>65</v>
      </c>
      <c r="J1549" s="26">
        <v>4.0</v>
      </c>
      <c r="K1549" s="26" t="s">
        <v>6143</v>
      </c>
      <c r="L1549" s="26" t="s">
        <v>19</v>
      </c>
      <c r="M1549" s="26" t="s">
        <v>81</v>
      </c>
      <c r="N1549" s="26" t="s">
        <v>307</v>
      </c>
      <c r="O1549" s="26">
        <v>5.0</v>
      </c>
    </row>
    <row r="1550" ht="15.75" customHeight="1">
      <c r="A1550" s="26" t="s">
        <v>6144</v>
      </c>
      <c r="B1550" s="26" t="s">
        <v>6145</v>
      </c>
      <c r="C1550" s="26" t="s">
        <v>363</v>
      </c>
      <c r="D1550" s="26" t="s">
        <v>36</v>
      </c>
      <c r="E1550" s="26" t="s">
        <v>6146</v>
      </c>
      <c r="F1550" s="26" t="s">
        <v>315</v>
      </c>
      <c r="G1550" s="26" t="s">
        <v>47</v>
      </c>
      <c r="H1550" s="26" t="s">
        <v>34</v>
      </c>
      <c r="I1550" s="26" t="s">
        <v>112</v>
      </c>
      <c r="J1550" s="26">
        <v>5.0</v>
      </c>
      <c r="K1550" s="26" t="s">
        <v>6147</v>
      </c>
      <c r="L1550" s="26" t="s">
        <v>23</v>
      </c>
      <c r="M1550" s="26" t="s">
        <v>94</v>
      </c>
      <c r="N1550" s="26" t="s">
        <v>307</v>
      </c>
      <c r="O1550" s="26">
        <v>5.0</v>
      </c>
    </row>
    <row r="1551" ht="15.75" customHeight="1">
      <c r="A1551" s="26" t="s">
        <v>6148</v>
      </c>
      <c r="B1551" s="26" t="s">
        <v>6149</v>
      </c>
      <c r="C1551" s="26" t="s">
        <v>363</v>
      </c>
      <c r="D1551" s="26" t="s">
        <v>69</v>
      </c>
      <c r="E1551" s="26" t="s">
        <v>1103</v>
      </c>
      <c r="F1551" s="26" t="s">
        <v>3585</v>
      </c>
      <c r="G1551" s="26" t="s">
        <v>1095</v>
      </c>
      <c r="H1551" s="26" t="s">
        <v>46</v>
      </c>
      <c r="I1551" s="26"/>
      <c r="J1551" s="26">
        <v>1.0</v>
      </c>
      <c r="K1551" s="26" t="s">
        <v>1104</v>
      </c>
      <c r="L1551" s="26" t="s">
        <v>15</v>
      </c>
      <c r="M1551" s="26" t="s">
        <v>81</v>
      </c>
      <c r="N1551" s="26" t="s">
        <v>307</v>
      </c>
      <c r="O1551" s="26">
        <v>14.0</v>
      </c>
    </row>
    <row r="1552" ht="15.75" customHeight="1">
      <c r="A1552" s="26" t="s">
        <v>6150</v>
      </c>
      <c r="B1552" s="26" t="s">
        <v>6151</v>
      </c>
      <c r="C1552" s="26" t="s">
        <v>363</v>
      </c>
      <c r="D1552" s="26" t="s">
        <v>69</v>
      </c>
      <c r="E1552" s="26" t="s">
        <v>1096</v>
      </c>
      <c r="F1552" s="26" t="s">
        <v>3585</v>
      </c>
      <c r="G1552" s="26" t="s">
        <v>1095</v>
      </c>
      <c r="H1552" s="26" t="s">
        <v>46</v>
      </c>
      <c r="I1552" s="26"/>
      <c r="J1552" s="26">
        <v>1.0</v>
      </c>
      <c r="K1552" s="26" t="s">
        <v>1097</v>
      </c>
      <c r="L1552" s="26" t="s">
        <v>15</v>
      </c>
      <c r="M1552" s="26" t="s">
        <v>81</v>
      </c>
      <c r="N1552" s="26" t="s">
        <v>307</v>
      </c>
      <c r="O1552" s="26">
        <v>19.0</v>
      </c>
    </row>
    <row r="1553" ht="15.75" customHeight="1">
      <c r="A1553" s="26" t="s">
        <v>6152</v>
      </c>
      <c r="B1553" s="26" t="s">
        <v>6153</v>
      </c>
      <c r="C1553" s="26" t="s">
        <v>312</v>
      </c>
      <c r="D1553" s="26" t="s">
        <v>54</v>
      </c>
      <c r="E1553" s="26" t="s">
        <v>6154</v>
      </c>
      <c r="F1553" s="26" t="s">
        <v>347</v>
      </c>
      <c r="G1553" s="26" t="s">
        <v>99</v>
      </c>
      <c r="H1553" s="26" t="s">
        <v>49</v>
      </c>
      <c r="I1553" s="26" t="s">
        <v>572</v>
      </c>
      <c r="J1553" s="26">
        <v>4.0</v>
      </c>
      <c r="K1553" s="26" t="s">
        <v>6155</v>
      </c>
      <c r="L1553" s="26" t="s">
        <v>15</v>
      </c>
      <c r="M1553" s="26" t="s">
        <v>81</v>
      </c>
      <c r="N1553" s="26" t="s">
        <v>307</v>
      </c>
      <c r="O1553" s="26">
        <v>1.0</v>
      </c>
    </row>
    <row r="1554" ht="15.75" customHeight="1">
      <c r="A1554" s="26" t="s">
        <v>6156</v>
      </c>
      <c r="B1554" s="26" t="s">
        <v>6157</v>
      </c>
      <c r="C1554" s="26" t="s">
        <v>312</v>
      </c>
      <c r="D1554" s="26" t="s">
        <v>45</v>
      </c>
      <c r="E1554" s="26" t="s">
        <v>6158</v>
      </c>
      <c r="F1554" s="26" t="s">
        <v>799</v>
      </c>
      <c r="G1554" s="26" t="s">
        <v>130</v>
      </c>
      <c r="H1554" s="26" t="s">
        <v>34</v>
      </c>
      <c r="I1554" s="26" t="s">
        <v>140</v>
      </c>
      <c r="J1554" s="26">
        <v>3.0</v>
      </c>
      <c r="K1554" s="26" t="s">
        <v>5868</v>
      </c>
      <c r="L1554" s="26" t="s">
        <v>15</v>
      </c>
      <c r="M1554" s="26" t="s">
        <v>81</v>
      </c>
      <c r="N1554" s="26" t="s">
        <v>307</v>
      </c>
      <c r="O1554" s="26">
        <v>1.0</v>
      </c>
    </row>
    <row r="1555" ht="15.75" customHeight="1">
      <c r="A1555" s="26" t="s">
        <v>6159</v>
      </c>
      <c r="B1555" s="26" t="s">
        <v>6160</v>
      </c>
      <c r="C1555" s="26" t="s">
        <v>363</v>
      </c>
      <c r="D1555" s="26" t="s">
        <v>45</v>
      </c>
      <c r="E1555" s="26" t="s">
        <v>6161</v>
      </c>
      <c r="F1555" s="26" t="s">
        <v>806</v>
      </c>
      <c r="G1555" s="26" t="s">
        <v>169</v>
      </c>
      <c r="H1555" s="26" t="s">
        <v>52</v>
      </c>
      <c r="I1555" s="26" t="s">
        <v>220</v>
      </c>
      <c r="J1555" s="26">
        <v>2.0</v>
      </c>
      <c r="K1555" s="26" t="s">
        <v>6162</v>
      </c>
      <c r="L1555" s="26" t="s">
        <v>15</v>
      </c>
      <c r="M1555" s="26" t="s">
        <v>81</v>
      </c>
      <c r="N1555" s="26" t="s">
        <v>307</v>
      </c>
      <c r="O1555" s="26">
        <v>1.0</v>
      </c>
    </row>
    <row r="1556" ht="15.75" customHeight="1">
      <c r="A1556" s="26" t="s">
        <v>6163</v>
      </c>
      <c r="B1556" s="26" t="s">
        <v>6164</v>
      </c>
      <c r="C1556" s="26" t="s">
        <v>429</v>
      </c>
      <c r="D1556" s="26" t="s">
        <v>76</v>
      </c>
      <c r="E1556" s="26" t="s">
        <v>6165</v>
      </c>
      <c r="F1556" s="26" t="s">
        <v>1201</v>
      </c>
      <c r="G1556" s="26" t="s">
        <v>222</v>
      </c>
      <c r="H1556" s="26" t="s">
        <v>34</v>
      </c>
      <c r="I1556" s="26" t="s">
        <v>1205</v>
      </c>
      <c r="J1556" s="26">
        <v>2.0</v>
      </c>
      <c r="K1556" s="26" t="s">
        <v>6166</v>
      </c>
      <c r="L1556" s="26" t="s">
        <v>15</v>
      </c>
      <c r="M1556" s="26" t="s">
        <v>81</v>
      </c>
      <c r="N1556" s="26" t="s">
        <v>307</v>
      </c>
      <c r="O1556" s="26">
        <v>5.0</v>
      </c>
    </row>
    <row r="1557" ht="15.75" customHeight="1">
      <c r="A1557" s="26" t="s">
        <v>6167</v>
      </c>
      <c r="B1557" s="26" t="s">
        <v>6168</v>
      </c>
      <c r="C1557" s="26" t="s">
        <v>3588</v>
      </c>
      <c r="D1557" s="26" t="s">
        <v>50</v>
      </c>
      <c r="E1557" s="26" t="s">
        <v>719</v>
      </c>
      <c r="F1557" s="26" t="s">
        <v>391</v>
      </c>
      <c r="G1557" s="26" t="s">
        <v>114</v>
      </c>
      <c r="H1557" s="26" t="s">
        <v>74</v>
      </c>
      <c r="I1557" s="26"/>
      <c r="J1557" s="26">
        <v>0.0</v>
      </c>
      <c r="K1557" s="26" t="s">
        <v>721</v>
      </c>
      <c r="L1557" s="26" t="s">
        <v>29</v>
      </c>
      <c r="M1557" s="26" t="s">
        <v>95</v>
      </c>
      <c r="N1557" s="26" t="s">
        <v>307</v>
      </c>
      <c r="O1557" s="26">
        <v>17.0</v>
      </c>
    </row>
    <row r="1558" ht="15.75" customHeight="1">
      <c r="A1558" s="26" t="s">
        <v>6169</v>
      </c>
      <c r="B1558" s="26" t="s">
        <v>6170</v>
      </c>
      <c r="C1558" s="26" t="s">
        <v>312</v>
      </c>
      <c r="D1558" s="26" t="s">
        <v>50</v>
      </c>
      <c r="E1558" s="26" t="s">
        <v>6171</v>
      </c>
      <c r="F1558" s="26" t="s">
        <v>1309</v>
      </c>
      <c r="G1558" s="26" t="s">
        <v>245</v>
      </c>
      <c r="H1558" s="26" t="s">
        <v>57</v>
      </c>
      <c r="I1558" s="26" t="s">
        <v>328</v>
      </c>
      <c r="J1558" s="26">
        <v>3.0</v>
      </c>
      <c r="K1558" s="26" t="s">
        <v>6172</v>
      </c>
      <c r="L1558" s="26" t="s">
        <v>15</v>
      </c>
      <c r="M1558" s="26" t="s">
        <v>81</v>
      </c>
      <c r="N1558" s="26" t="s">
        <v>307</v>
      </c>
      <c r="O1558" s="26">
        <v>4.0</v>
      </c>
    </row>
    <row r="1559" ht="15.75" customHeight="1">
      <c r="A1559" s="26" t="s">
        <v>6173</v>
      </c>
      <c r="B1559" s="26" t="s">
        <v>6174</v>
      </c>
      <c r="C1559" s="26" t="s">
        <v>312</v>
      </c>
      <c r="D1559" s="26" t="s">
        <v>50</v>
      </c>
      <c r="E1559" s="26" t="s">
        <v>6175</v>
      </c>
      <c r="F1559" s="26" t="s">
        <v>1877</v>
      </c>
      <c r="G1559" s="26" t="s">
        <v>311</v>
      </c>
      <c r="H1559" s="26" t="s">
        <v>34</v>
      </c>
      <c r="I1559" s="26" t="s">
        <v>328</v>
      </c>
      <c r="J1559" s="26">
        <v>3.0</v>
      </c>
      <c r="K1559" s="26" t="s">
        <v>6172</v>
      </c>
      <c r="L1559" s="26" t="s">
        <v>15</v>
      </c>
      <c r="M1559" s="26" t="s">
        <v>81</v>
      </c>
      <c r="N1559" s="26" t="s">
        <v>307</v>
      </c>
      <c r="O1559" s="26">
        <v>3.0</v>
      </c>
    </row>
    <row r="1560" ht="15.75" customHeight="1">
      <c r="A1560" s="26" t="s">
        <v>6176</v>
      </c>
      <c r="B1560" s="26" t="s">
        <v>6177</v>
      </c>
      <c r="C1560" s="26" t="s">
        <v>312</v>
      </c>
      <c r="D1560" s="26" t="s">
        <v>50</v>
      </c>
      <c r="E1560" s="26" t="s">
        <v>6175</v>
      </c>
      <c r="F1560" s="26" t="s">
        <v>1877</v>
      </c>
      <c r="G1560" s="26" t="s">
        <v>311</v>
      </c>
      <c r="H1560" s="26" t="s">
        <v>34</v>
      </c>
      <c r="I1560" s="26" t="s">
        <v>328</v>
      </c>
      <c r="J1560" s="26">
        <v>3.0</v>
      </c>
      <c r="K1560" s="26" t="s">
        <v>1190</v>
      </c>
      <c r="L1560" s="26" t="s">
        <v>29</v>
      </c>
      <c r="M1560" s="26" t="s">
        <v>95</v>
      </c>
      <c r="N1560" s="26" t="s">
        <v>307</v>
      </c>
      <c r="O1560" s="26">
        <v>4.0</v>
      </c>
    </row>
    <row r="1561" ht="15.75" customHeight="1">
      <c r="A1561" s="26" t="s">
        <v>6178</v>
      </c>
      <c r="B1561" s="26" t="s">
        <v>6174</v>
      </c>
      <c r="C1561" s="26" t="s">
        <v>312</v>
      </c>
      <c r="D1561" s="26" t="s">
        <v>50</v>
      </c>
      <c r="E1561" s="26" t="s">
        <v>662</v>
      </c>
      <c r="F1561" s="26" t="s">
        <v>1877</v>
      </c>
      <c r="G1561" s="26" t="s">
        <v>311</v>
      </c>
      <c r="H1561" s="26" t="s">
        <v>34</v>
      </c>
      <c r="I1561" s="26" t="s">
        <v>328</v>
      </c>
      <c r="J1561" s="26">
        <v>3.0</v>
      </c>
      <c r="K1561" s="26" t="s">
        <v>6172</v>
      </c>
      <c r="L1561" s="26" t="s">
        <v>15</v>
      </c>
      <c r="M1561" s="26" t="s">
        <v>81</v>
      </c>
      <c r="N1561" s="26" t="s">
        <v>307</v>
      </c>
      <c r="O1561" s="26">
        <v>3.0</v>
      </c>
    </row>
    <row r="1562" ht="15.75" customHeight="1">
      <c r="A1562" s="26" t="s">
        <v>6179</v>
      </c>
      <c r="B1562" s="26" t="s">
        <v>6180</v>
      </c>
      <c r="C1562" s="26" t="s">
        <v>363</v>
      </c>
      <c r="D1562" s="26" t="s">
        <v>36</v>
      </c>
      <c r="E1562" s="26" t="s">
        <v>6181</v>
      </c>
      <c r="F1562" s="26" t="s">
        <v>663</v>
      </c>
      <c r="G1562" s="26" t="s">
        <v>44</v>
      </c>
      <c r="H1562" s="26" t="s">
        <v>34</v>
      </c>
      <c r="I1562" s="26" t="s">
        <v>47</v>
      </c>
      <c r="J1562" s="26">
        <v>3.0</v>
      </c>
      <c r="K1562" s="26" t="s">
        <v>3073</v>
      </c>
      <c r="L1562" s="26" t="s">
        <v>19</v>
      </c>
      <c r="M1562" s="26" t="s">
        <v>87</v>
      </c>
      <c r="N1562" s="26" t="s">
        <v>307</v>
      </c>
      <c r="O1562" s="26">
        <v>3.0</v>
      </c>
    </row>
    <row r="1563" ht="15.75" customHeight="1">
      <c r="A1563" s="26" t="s">
        <v>6182</v>
      </c>
      <c r="B1563" s="26" t="s">
        <v>6183</v>
      </c>
      <c r="C1563" s="26" t="s">
        <v>363</v>
      </c>
      <c r="D1563" s="26" t="s">
        <v>36</v>
      </c>
      <c r="E1563" s="26" t="s">
        <v>6184</v>
      </c>
      <c r="F1563" s="26" t="s">
        <v>1292</v>
      </c>
      <c r="G1563" s="26" t="s">
        <v>65</v>
      </c>
      <c r="H1563" s="26" t="s">
        <v>34</v>
      </c>
      <c r="I1563" s="26" t="s">
        <v>108</v>
      </c>
      <c r="J1563" s="26">
        <v>5.0</v>
      </c>
      <c r="K1563" s="26" t="s">
        <v>6185</v>
      </c>
      <c r="L1563" s="26" t="s">
        <v>19</v>
      </c>
      <c r="M1563" s="26" t="s">
        <v>81</v>
      </c>
      <c r="N1563" s="26" t="s">
        <v>307</v>
      </c>
      <c r="O1563" s="26">
        <v>3.0</v>
      </c>
    </row>
    <row r="1564" ht="15.75" customHeight="1">
      <c r="A1564" s="26" t="s">
        <v>6186</v>
      </c>
      <c r="B1564" s="26" t="s">
        <v>6187</v>
      </c>
      <c r="C1564" s="26" t="s">
        <v>300</v>
      </c>
      <c r="D1564" s="26" t="s">
        <v>36</v>
      </c>
      <c r="E1564" s="26" t="s">
        <v>6188</v>
      </c>
      <c r="F1564" s="26" t="s">
        <v>2025</v>
      </c>
      <c r="G1564" s="26" t="s">
        <v>82</v>
      </c>
      <c r="H1564" s="26" t="s">
        <v>34</v>
      </c>
      <c r="I1564" s="26"/>
      <c r="J1564" s="26">
        <v>1.0</v>
      </c>
      <c r="K1564" s="26"/>
      <c r="L1564" s="26" t="s">
        <v>25</v>
      </c>
      <c r="M1564" s="26" t="s">
        <v>97</v>
      </c>
      <c r="N1564" s="26" t="s">
        <v>307</v>
      </c>
      <c r="O1564" s="26">
        <v>3.0</v>
      </c>
    </row>
    <row r="1565" ht="15.75" customHeight="1">
      <c r="A1565" s="26" t="s">
        <v>6189</v>
      </c>
      <c r="B1565" s="26" t="s">
        <v>6190</v>
      </c>
      <c r="C1565" s="26" t="s">
        <v>300</v>
      </c>
      <c r="D1565" s="26" t="s">
        <v>36</v>
      </c>
      <c r="E1565" s="26" t="s">
        <v>6188</v>
      </c>
      <c r="F1565" s="26" t="s">
        <v>2025</v>
      </c>
      <c r="G1565" s="26" t="s">
        <v>82</v>
      </c>
      <c r="H1565" s="26" t="s">
        <v>34</v>
      </c>
      <c r="I1565" s="26"/>
      <c r="J1565" s="26">
        <v>1.0</v>
      </c>
      <c r="K1565" s="26"/>
      <c r="L1565" s="26" t="s">
        <v>25</v>
      </c>
      <c r="M1565" s="26" t="s">
        <v>97</v>
      </c>
      <c r="N1565" s="26" t="s">
        <v>307</v>
      </c>
      <c r="O1565" s="26">
        <v>3.0</v>
      </c>
    </row>
    <row r="1566" ht="15.75" customHeight="1">
      <c r="A1566" s="26" t="s">
        <v>6191</v>
      </c>
      <c r="B1566" s="26" t="s">
        <v>6192</v>
      </c>
      <c r="C1566" s="26" t="s">
        <v>429</v>
      </c>
      <c r="D1566" s="26" t="s">
        <v>85</v>
      </c>
      <c r="E1566" s="26" t="s">
        <v>1366</v>
      </c>
      <c r="F1566" s="26" t="s">
        <v>599</v>
      </c>
      <c r="G1566" s="26" t="s">
        <v>600</v>
      </c>
      <c r="H1566" s="26" t="s">
        <v>46</v>
      </c>
      <c r="I1566" s="26"/>
      <c r="J1566" s="26">
        <v>1.0</v>
      </c>
      <c r="K1566" s="26" t="s">
        <v>1368</v>
      </c>
      <c r="L1566" s="26" t="s">
        <v>19</v>
      </c>
      <c r="M1566" s="26" t="s">
        <v>66</v>
      </c>
      <c r="N1566" s="26" t="s">
        <v>307</v>
      </c>
      <c r="O1566" s="26">
        <v>5.0</v>
      </c>
    </row>
    <row r="1567" ht="15.75" customHeight="1">
      <c r="A1567" s="26" t="s">
        <v>6193</v>
      </c>
      <c r="B1567" s="26" t="s">
        <v>6194</v>
      </c>
      <c r="C1567" s="26" t="s">
        <v>429</v>
      </c>
      <c r="D1567" s="26" t="s">
        <v>45</v>
      </c>
      <c r="E1567" s="26" t="s">
        <v>6195</v>
      </c>
      <c r="F1567" s="26" t="s">
        <v>303</v>
      </c>
      <c r="G1567" s="26" t="s">
        <v>140</v>
      </c>
      <c r="H1567" s="26" t="s">
        <v>34</v>
      </c>
      <c r="I1567" s="26" t="s">
        <v>169</v>
      </c>
      <c r="J1567" s="26">
        <v>2.0</v>
      </c>
      <c r="K1567" s="26" t="s">
        <v>6001</v>
      </c>
      <c r="L1567" s="26" t="s">
        <v>15</v>
      </c>
      <c r="M1567" s="26" t="s">
        <v>81</v>
      </c>
      <c r="N1567" s="26" t="s">
        <v>307</v>
      </c>
      <c r="O1567" s="26">
        <v>1.0</v>
      </c>
    </row>
    <row r="1568" ht="15.75" customHeight="1">
      <c r="A1568" s="26" t="s">
        <v>6196</v>
      </c>
      <c r="B1568" s="26" t="s">
        <v>6197</v>
      </c>
      <c r="C1568" s="26" t="s">
        <v>363</v>
      </c>
      <c r="D1568" s="26" t="s">
        <v>36</v>
      </c>
      <c r="E1568" s="26" t="s">
        <v>249</v>
      </c>
      <c r="F1568" s="26" t="s">
        <v>1285</v>
      </c>
      <c r="G1568" s="26" t="s">
        <v>118</v>
      </c>
      <c r="H1568" s="26" t="s">
        <v>46</v>
      </c>
      <c r="I1568" s="26"/>
      <c r="J1568" s="26">
        <v>0.0</v>
      </c>
      <c r="K1568" s="26" t="s">
        <v>250</v>
      </c>
      <c r="L1568" s="26" t="s">
        <v>29</v>
      </c>
      <c r="M1568" s="26" t="s">
        <v>95</v>
      </c>
      <c r="N1568" s="26" t="s">
        <v>307</v>
      </c>
      <c r="O1568" s="26">
        <v>9.0</v>
      </c>
    </row>
    <row r="1569" ht="15.75" customHeight="1">
      <c r="A1569" s="26" t="s">
        <v>6198</v>
      </c>
      <c r="B1569" s="26" t="s">
        <v>6199</v>
      </c>
      <c r="C1569" s="26" t="s">
        <v>363</v>
      </c>
      <c r="D1569" s="26" t="s">
        <v>62</v>
      </c>
      <c r="E1569" s="26" t="s">
        <v>6200</v>
      </c>
      <c r="F1569" s="26" t="s">
        <v>1245</v>
      </c>
      <c r="G1569" s="26" t="s">
        <v>119</v>
      </c>
      <c r="H1569" s="26" t="s">
        <v>57</v>
      </c>
      <c r="I1569" s="26"/>
      <c r="J1569" s="26">
        <v>1.0</v>
      </c>
      <c r="K1569" s="26"/>
      <c r="L1569" s="26" t="s">
        <v>25</v>
      </c>
      <c r="M1569" s="26" t="s">
        <v>97</v>
      </c>
      <c r="N1569" s="26" t="s">
        <v>307</v>
      </c>
      <c r="O1569" s="26">
        <v>22.0</v>
      </c>
    </row>
    <row r="1570" ht="15.75" customHeight="1">
      <c r="A1570" s="26" t="s">
        <v>6201</v>
      </c>
      <c r="B1570" s="26" t="s">
        <v>6202</v>
      </c>
      <c r="C1570" s="26" t="s">
        <v>312</v>
      </c>
      <c r="D1570" s="26" t="s">
        <v>54</v>
      </c>
      <c r="E1570" s="26" t="s">
        <v>795</v>
      </c>
      <c r="F1570" s="26" t="s">
        <v>519</v>
      </c>
      <c r="G1570" s="26" t="s">
        <v>520</v>
      </c>
      <c r="H1570" s="26" t="s">
        <v>53</v>
      </c>
      <c r="I1570" s="26" t="s">
        <v>217</v>
      </c>
      <c r="J1570" s="26">
        <v>2.0</v>
      </c>
      <c r="K1570" s="26" t="s">
        <v>797</v>
      </c>
      <c r="L1570" s="26" t="s">
        <v>15</v>
      </c>
      <c r="M1570" s="26" t="s">
        <v>81</v>
      </c>
      <c r="N1570" s="26" t="s">
        <v>307</v>
      </c>
      <c r="O1570" s="26">
        <v>3.0</v>
      </c>
    </row>
    <row r="1571" ht="15.75" customHeight="1">
      <c r="A1571" s="26" t="s">
        <v>6203</v>
      </c>
      <c r="B1571" s="26" t="s">
        <v>6204</v>
      </c>
      <c r="C1571" s="26" t="s">
        <v>312</v>
      </c>
      <c r="D1571" s="26" t="s">
        <v>45</v>
      </c>
      <c r="E1571" s="26" t="s">
        <v>6205</v>
      </c>
      <c r="F1571" s="26" t="s">
        <v>799</v>
      </c>
      <c r="G1571" s="26" t="s">
        <v>130</v>
      </c>
      <c r="H1571" s="26" t="s">
        <v>34</v>
      </c>
      <c r="I1571" s="26" t="s">
        <v>166</v>
      </c>
      <c r="J1571" s="26">
        <v>4.0</v>
      </c>
      <c r="K1571" s="26" t="s">
        <v>6206</v>
      </c>
      <c r="L1571" s="26" t="s">
        <v>19</v>
      </c>
      <c r="M1571" s="26" t="s">
        <v>81</v>
      </c>
      <c r="N1571" s="26" t="s">
        <v>307</v>
      </c>
      <c r="O1571" s="26">
        <v>4.0</v>
      </c>
    </row>
    <row r="1572" ht="15.75" customHeight="1">
      <c r="A1572" s="26" t="s">
        <v>6207</v>
      </c>
      <c r="B1572" s="26" t="s">
        <v>6208</v>
      </c>
      <c r="C1572" s="26" t="s">
        <v>363</v>
      </c>
      <c r="D1572" s="26" t="s">
        <v>36</v>
      </c>
      <c r="E1572" s="26" t="s">
        <v>6209</v>
      </c>
      <c r="F1572" s="26" t="s">
        <v>663</v>
      </c>
      <c r="G1572" s="26" t="s">
        <v>44</v>
      </c>
      <c r="H1572" s="26" t="s">
        <v>34</v>
      </c>
      <c r="I1572" s="26" t="s">
        <v>82</v>
      </c>
      <c r="J1572" s="26">
        <v>2.0</v>
      </c>
      <c r="K1572" s="26" t="s">
        <v>3073</v>
      </c>
      <c r="L1572" s="26" t="s">
        <v>15</v>
      </c>
      <c r="M1572" s="26" t="s">
        <v>87</v>
      </c>
      <c r="N1572" s="26" t="s">
        <v>307</v>
      </c>
      <c r="O1572" s="26">
        <v>2.0</v>
      </c>
    </row>
    <row r="1573" ht="15.75" customHeight="1">
      <c r="A1573" s="26" t="s">
        <v>6210</v>
      </c>
      <c r="B1573" s="26" t="s">
        <v>6211</v>
      </c>
      <c r="C1573" s="26" t="s">
        <v>363</v>
      </c>
      <c r="D1573" s="26" t="s">
        <v>48</v>
      </c>
      <c r="E1573" s="26" t="s">
        <v>6212</v>
      </c>
      <c r="F1573" s="26" t="s">
        <v>984</v>
      </c>
      <c r="G1573" s="26" t="s">
        <v>265</v>
      </c>
      <c r="H1573" s="26" t="s">
        <v>34</v>
      </c>
      <c r="I1573" s="26" t="s">
        <v>313</v>
      </c>
      <c r="J1573" s="26">
        <v>2.0</v>
      </c>
      <c r="K1573" s="26" t="s">
        <v>6213</v>
      </c>
      <c r="L1573" s="26" t="s">
        <v>15</v>
      </c>
      <c r="M1573" s="26" t="s">
        <v>81</v>
      </c>
      <c r="N1573" s="26" t="s">
        <v>307</v>
      </c>
      <c r="O1573" s="26">
        <v>4.0</v>
      </c>
    </row>
    <row r="1574" ht="15.75" customHeight="1">
      <c r="A1574" s="26" t="s">
        <v>6214</v>
      </c>
      <c r="B1574" s="26" t="s">
        <v>6215</v>
      </c>
      <c r="C1574" s="26" t="s">
        <v>322</v>
      </c>
      <c r="D1574" s="26" t="s">
        <v>48</v>
      </c>
      <c r="E1574" s="26" t="s">
        <v>6216</v>
      </c>
      <c r="F1574" s="26" t="s">
        <v>984</v>
      </c>
      <c r="G1574" s="26" t="s">
        <v>265</v>
      </c>
      <c r="H1574" s="26" t="s">
        <v>34</v>
      </c>
      <c r="I1574" s="26"/>
      <c r="J1574" s="26">
        <v>1.0</v>
      </c>
      <c r="K1574" s="26" t="s">
        <v>6217</v>
      </c>
      <c r="L1574" s="26" t="s">
        <v>15</v>
      </c>
      <c r="M1574" s="26" t="s">
        <v>81</v>
      </c>
      <c r="N1574" s="26" t="s">
        <v>307</v>
      </c>
      <c r="O1574" s="26">
        <v>5.0</v>
      </c>
    </row>
    <row r="1575" ht="15.75" customHeight="1">
      <c r="A1575" s="26" t="s">
        <v>6218</v>
      </c>
      <c r="B1575" s="26" t="s">
        <v>6219</v>
      </c>
      <c r="C1575" s="26" t="s">
        <v>363</v>
      </c>
      <c r="D1575" s="26" t="s">
        <v>48</v>
      </c>
      <c r="E1575" s="26" t="s">
        <v>6220</v>
      </c>
      <c r="F1575" s="26" t="s">
        <v>834</v>
      </c>
      <c r="G1575" s="26" t="s">
        <v>267</v>
      </c>
      <c r="H1575" s="26" t="s">
        <v>34</v>
      </c>
      <c r="I1575" s="26"/>
      <c r="J1575" s="26">
        <v>1.0</v>
      </c>
      <c r="K1575" s="26" t="s">
        <v>136</v>
      </c>
      <c r="L1575" s="26" t="s">
        <v>29</v>
      </c>
      <c r="M1575" s="26" t="s">
        <v>95</v>
      </c>
      <c r="N1575" s="26" t="s">
        <v>307</v>
      </c>
      <c r="O1575" s="26">
        <v>4.0</v>
      </c>
    </row>
    <row r="1576" ht="15.75" customHeight="1">
      <c r="A1576" s="26" t="s">
        <v>6221</v>
      </c>
      <c r="B1576" s="26" t="s">
        <v>6222</v>
      </c>
      <c r="C1576" s="26" t="s">
        <v>363</v>
      </c>
      <c r="D1576" s="26" t="s">
        <v>48</v>
      </c>
      <c r="E1576" s="26" t="s">
        <v>6223</v>
      </c>
      <c r="F1576" s="26" t="s">
        <v>834</v>
      </c>
      <c r="G1576" s="26" t="s">
        <v>267</v>
      </c>
      <c r="H1576" s="26" t="s">
        <v>34</v>
      </c>
      <c r="I1576" s="26"/>
      <c r="J1576" s="26">
        <v>1.0</v>
      </c>
      <c r="K1576" s="26" t="s">
        <v>136</v>
      </c>
      <c r="L1576" s="26" t="s">
        <v>29</v>
      </c>
      <c r="M1576" s="26" t="s">
        <v>95</v>
      </c>
      <c r="N1576" s="26" t="s">
        <v>307</v>
      </c>
      <c r="O1576" s="26">
        <v>4.0</v>
      </c>
    </row>
    <row r="1577" ht="15.75" customHeight="1">
      <c r="A1577" s="26" t="s">
        <v>6224</v>
      </c>
      <c r="B1577" s="26" t="s">
        <v>6225</v>
      </c>
      <c r="C1577" s="26" t="s">
        <v>312</v>
      </c>
      <c r="D1577" s="26" t="s">
        <v>45</v>
      </c>
      <c r="E1577" s="26" t="s">
        <v>316</v>
      </c>
      <c r="F1577" s="26" t="s">
        <v>1237</v>
      </c>
      <c r="G1577" s="26" t="s">
        <v>166</v>
      </c>
      <c r="H1577" s="26" t="s">
        <v>46</v>
      </c>
      <c r="I1577" s="26" t="s">
        <v>169</v>
      </c>
      <c r="J1577" s="26">
        <v>3.0</v>
      </c>
      <c r="K1577" s="26" t="s">
        <v>317</v>
      </c>
      <c r="L1577" s="26" t="s">
        <v>29</v>
      </c>
      <c r="M1577" s="26" t="s">
        <v>95</v>
      </c>
      <c r="N1577" s="26" t="s">
        <v>307</v>
      </c>
      <c r="O1577" s="26">
        <v>4.0</v>
      </c>
    </row>
    <row r="1578" ht="15.75" customHeight="1">
      <c r="A1578" s="26" t="s">
        <v>6226</v>
      </c>
      <c r="B1578" s="26" t="s">
        <v>6227</v>
      </c>
      <c r="C1578" s="26" t="s">
        <v>312</v>
      </c>
      <c r="D1578" s="26" t="s">
        <v>48</v>
      </c>
      <c r="E1578" s="26" t="s">
        <v>559</v>
      </c>
      <c r="F1578" s="26" t="s">
        <v>2089</v>
      </c>
      <c r="G1578" s="26" t="s">
        <v>378</v>
      </c>
      <c r="H1578" s="26" t="s">
        <v>34</v>
      </c>
      <c r="I1578" s="26"/>
      <c r="J1578" s="26">
        <v>1.0</v>
      </c>
      <c r="K1578" s="26" t="s">
        <v>561</v>
      </c>
      <c r="L1578" s="26" t="s">
        <v>15</v>
      </c>
      <c r="M1578" s="26" t="s">
        <v>81</v>
      </c>
      <c r="N1578" s="26" t="s">
        <v>307</v>
      </c>
      <c r="O1578" s="26">
        <v>3.0</v>
      </c>
    </row>
    <row r="1579" ht="15.75" customHeight="1">
      <c r="A1579" s="26" t="s">
        <v>6228</v>
      </c>
      <c r="B1579" s="26" t="s">
        <v>6229</v>
      </c>
      <c r="C1579" s="26" t="s">
        <v>300</v>
      </c>
      <c r="D1579" s="26" t="s">
        <v>36</v>
      </c>
      <c r="E1579" s="26" t="s">
        <v>246</v>
      </c>
      <c r="F1579" s="26" t="s">
        <v>5749</v>
      </c>
      <c r="G1579" s="26" t="s">
        <v>116</v>
      </c>
      <c r="H1579" s="26" t="s">
        <v>52</v>
      </c>
      <c r="I1579" s="26"/>
      <c r="J1579" s="26">
        <v>1.0</v>
      </c>
      <c r="K1579" s="26"/>
      <c r="L1579" s="26" t="s">
        <v>25</v>
      </c>
      <c r="M1579" s="26" t="s">
        <v>97</v>
      </c>
      <c r="N1579" s="26" t="s">
        <v>307</v>
      </c>
      <c r="O1579" s="26">
        <v>3.0</v>
      </c>
    </row>
    <row r="1580" ht="15.75" customHeight="1">
      <c r="A1580" s="26" t="s">
        <v>6230</v>
      </c>
      <c r="B1580" s="26" t="s">
        <v>6231</v>
      </c>
      <c r="C1580" s="26" t="s">
        <v>363</v>
      </c>
      <c r="D1580" s="26" t="s">
        <v>48</v>
      </c>
      <c r="E1580" s="26" t="s">
        <v>515</v>
      </c>
      <c r="F1580" s="26" t="s">
        <v>590</v>
      </c>
      <c r="G1580" s="26" t="s">
        <v>329</v>
      </c>
      <c r="H1580" s="26" t="s">
        <v>46</v>
      </c>
      <c r="I1580" s="26"/>
      <c r="J1580" s="26">
        <v>1.0</v>
      </c>
      <c r="K1580" s="26" t="s">
        <v>517</v>
      </c>
      <c r="L1580" s="26" t="s">
        <v>15</v>
      </c>
      <c r="M1580" s="26" t="s">
        <v>81</v>
      </c>
      <c r="N1580" s="26" t="s">
        <v>307</v>
      </c>
      <c r="O1580" s="26">
        <v>2.0</v>
      </c>
    </row>
    <row r="1581" ht="15.75" customHeight="1">
      <c r="A1581" s="26" t="s">
        <v>6232</v>
      </c>
      <c r="B1581" s="26" t="s">
        <v>6233</v>
      </c>
      <c r="C1581" s="26" t="s">
        <v>363</v>
      </c>
      <c r="D1581" s="26" t="s">
        <v>36</v>
      </c>
      <c r="E1581" s="26" t="s">
        <v>6234</v>
      </c>
      <c r="F1581" s="26" t="s">
        <v>663</v>
      </c>
      <c r="G1581" s="26" t="s">
        <v>44</v>
      </c>
      <c r="H1581" s="26" t="s">
        <v>34</v>
      </c>
      <c r="I1581" s="26" t="s">
        <v>65</v>
      </c>
      <c r="J1581" s="26">
        <v>5.0</v>
      </c>
      <c r="K1581" s="26" t="s">
        <v>6235</v>
      </c>
      <c r="L1581" s="26" t="s">
        <v>15</v>
      </c>
      <c r="M1581" s="26" t="s">
        <v>81</v>
      </c>
      <c r="N1581" s="26" t="s">
        <v>307</v>
      </c>
      <c r="O1581" s="26">
        <v>6.0</v>
      </c>
    </row>
    <row r="1582" ht="15.75" customHeight="1">
      <c r="A1582" s="26" t="s">
        <v>6236</v>
      </c>
      <c r="B1582" s="26" t="s">
        <v>6237</v>
      </c>
      <c r="C1582" s="26" t="s">
        <v>363</v>
      </c>
      <c r="D1582" s="26" t="s">
        <v>36</v>
      </c>
      <c r="E1582" s="26" t="s">
        <v>6238</v>
      </c>
      <c r="F1582" s="26" t="s">
        <v>663</v>
      </c>
      <c r="G1582" s="26" t="s">
        <v>44</v>
      </c>
      <c r="H1582" s="26" t="s">
        <v>34</v>
      </c>
      <c r="I1582" s="26" t="s">
        <v>82</v>
      </c>
      <c r="J1582" s="26">
        <v>2.0</v>
      </c>
      <c r="K1582" s="26" t="s">
        <v>1028</v>
      </c>
      <c r="L1582" s="26" t="s">
        <v>15</v>
      </c>
      <c r="M1582" s="26" t="s">
        <v>87</v>
      </c>
      <c r="N1582" s="26" t="s">
        <v>307</v>
      </c>
      <c r="O1582" s="26">
        <v>6.0</v>
      </c>
    </row>
    <row r="1583" ht="15.75" customHeight="1">
      <c r="A1583" s="26" t="s">
        <v>6239</v>
      </c>
      <c r="B1583" s="26" t="s">
        <v>6225</v>
      </c>
      <c r="C1583" s="26" t="s">
        <v>312</v>
      </c>
      <c r="D1583" s="26" t="s">
        <v>45</v>
      </c>
      <c r="E1583" s="26" t="s">
        <v>6240</v>
      </c>
      <c r="F1583" s="26" t="s">
        <v>799</v>
      </c>
      <c r="G1583" s="26" t="s">
        <v>130</v>
      </c>
      <c r="H1583" s="26" t="s">
        <v>34</v>
      </c>
      <c r="I1583" s="26"/>
      <c r="J1583" s="26">
        <v>1.0</v>
      </c>
      <c r="K1583" s="26" t="s">
        <v>317</v>
      </c>
      <c r="L1583" s="26" t="s">
        <v>29</v>
      </c>
      <c r="M1583" s="26" t="s">
        <v>95</v>
      </c>
      <c r="N1583" s="26" t="s">
        <v>307</v>
      </c>
      <c r="O1583" s="26">
        <v>4.0</v>
      </c>
    </row>
    <row r="1584" ht="15.75" customHeight="1">
      <c r="A1584" s="26" t="s">
        <v>6241</v>
      </c>
      <c r="B1584" s="26" t="s">
        <v>6242</v>
      </c>
      <c r="C1584" s="26" t="s">
        <v>363</v>
      </c>
      <c r="D1584" s="26" t="s">
        <v>36</v>
      </c>
      <c r="E1584" s="26" t="s">
        <v>6243</v>
      </c>
      <c r="F1584" s="26" t="s">
        <v>663</v>
      </c>
      <c r="G1584" s="26" t="s">
        <v>44</v>
      </c>
      <c r="H1584" s="26" t="s">
        <v>34</v>
      </c>
      <c r="I1584" s="26" t="s">
        <v>82</v>
      </c>
      <c r="J1584" s="26">
        <v>2.0</v>
      </c>
      <c r="K1584" s="26" t="s">
        <v>1028</v>
      </c>
      <c r="L1584" s="26" t="s">
        <v>15</v>
      </c>
      <c r="M1584" s="26" t="s">
        <v>87</v>
      </c>
      <c r="N1584" s="26" t="s">
        <v>307</v>
      </c>
      <c r="O1584" s="26">
        <v>6.0</v>
      </c>
    </row>
    <row r="1585" ht="15.75" customHeight="1">
      <c r="A1585" s="26" t="s">
        <v>6244</v>
      </c>
      <c r="B1585" s="26" t="s">
        <v>6245</v>
      </c>
      <c r="C1585" s="26" t="s">
        <v>429</v>
      </c>
      <c r="D1585" s="26" t="s">
        <v>54</v>
      </c>
      <c r="E1585" s="26" t="s">
        <v>6246</v>
      </c>
      <c r="F1585" s="26" t="s">
        <v>432</v>
      </c>
      <c r="G1585" s="26" t="s">
        <v>182</v>
      </c>
      <c r="H1585" s="26" t="s">
        <v>34</v>
      </c>
      <c r="I1585" s="26" t="s">
        <v>520</v>
      </c>
      <c r="J1585" s="26">
        <v>4.0</v>
      </c>
      <c r="K1585" s="26" t="s">
        <v>6247</v>
      </c>
      <c r="L1585" s="26" t="s">
        <v>19</v>
      </c>
      <c r="M1585" s="26" t="s">
        <v>81</v>
      </c>
      <c r="N1585" s="26" t="s">
        <v>307</v>
      </c>
      <c r="O1585" s="26">
        <v>3.0</v>
      </c>
    </row>
    <row r="1586" ht="15.75" customHeight="1">
      <c r="A1586" s="26" t="s">
        <v>6248</v>
      </c>
      <c r="B1586" s="26" t="s">
        <v>6249</v>
      </c>
      <c r="C1586" s="26" t="s">
        <v>363</v>
      </c>
      <c r="D1586" s="26" t="s">
        <v>54</v>
      </c>
      <c r="E1586" s="26" t="s">
        <v>6250</v>
      </c>
      <c r="F1586" s="26" t="s">
        <v>432</v>
      </c>
      <c r="G1586" s="26" t="s">
        <v>182</v>
      </c>
      <c r="H1586" s="26" t="s">
        <v>34</v>
      </c>
      <c r="I1586" s="26" t="s">
        <v>217</v>
      </c>
      <c r="J1586" s="26">
        <v>3.0</v>
      </c>
      <c r="K1586" s="26" t="s">
        <v>6251</v>
      </c>
      <c r="L1586" s="26" t="s">
        <v>15</v>
      </c>
      <c r="M1586" s="26" t="s">
        <v>81</v>
      </c>
      <c r="N1586" s="26" t="s">
        <v>307</v>
      </c>
      <c r="O1586" s="26">
        <v>3.0</v>
      </c>
    </row>
    <row r="1587" ht="15.75" customHeight="1">
      <c r="A1587" s="26" t="s">
        <v>6252</v>
      </c>
      <c r="B1587" s="26" t="s">
        <v>6253</v>
      </c>
      <c r="C1587" s="26" t="s">
        <v>363</v>
      </c>
      <c r="D1587" s="26" t="s">
        <v>48</v>
      </c>
      <c r="E1587" s="26" t="s">
        <v>6254</v>
      </c>
      <c r="F1587" s="26" t="s">
        <v>625</v>
      </c>
      <c r="G1587" s="26" t="s">
        <v>313</v>
      </c>
      <c r="H1587" s="26" t="s">
        <v>34</v>
      </c>
      <c r="I1587" s="26"/>
      <c r="J1587" s="26">
        <v>1.0</v>
      </c>
      <c r="K1587" s="26" t="s">
        <v>6255</v>
      </c>
      <c r="L1587" s="26" t="s">
        <v>15</v>
      </c>
      <c r="M1587" s="26" t="s">
        <v>81</v>
      </c>
      <c r="N1587" s="26" t="s">
        <v>307</v>
      </c>
      <c r="O1587" s="26">
        <v>4.0</v>
      </c>
    </row>
    <row r="1588" ht="15.75" customHeight="1">
      <c r="A1588" s="26" t="s">
        <v>6256</v>
      </c>
      <c r="B1588" s="26" t="s">
        <v>6257</v>
      </c>
      <c r="C1588" s="26" t="s">
        <v>363</v>
      </c>
      <c r="D1588" s="26" t="s">
        <v>45</v>
      </c>
      <c r="E1588" s="26" t="s">
        <v>384</v>
      </c>
      <c r="F1588" s="26" t="s">
        <v>1285</v>
      </c>
      <c r="G1588" s="26" t="s">
        <v>118</v>
      </c>
      <c r="H1588" s="26" t="s">
        <v>46</v>
      </c>
      <c r="I1588" s="26"/>
      <c r="J1588" s="26">
        <v>0.0</v>
      </c>
      <c r="K1588" s="26" t="s">
        <v>317</v>
      </c>
      <c r="L1588" s="26" t="s">
        <v>29</v>
      </c>
      <c r="M1588" s="26" t="s">
        <v>95</v>
      </c>
      <c r="N1588" s="26" t="s">
        <v>307</v>
      </c>
      <c r="O1588" s="26">
        <v>2.0</v>
      </c>
    </row>
    <row r="1589" ht="15.75" customHeight="1">
      <c r="A1589" s="26" t="s">
        <v>6258</v>
      </c>
      <c r="B1589" s="26" t="s">
        <v>6259</v>
      </c>
      <c r="C1589" s="26" t="s">
        <v>312</v>
      </c>
      <c r="D1589" s="26" t="s">
        <v>59</v>
      </c>
      <c r="E1589" s="26" t="s">
        <v>6260</v>
      </c>
      <c r="F1589" s="26" t="s">
        <v>372</v>
      </c>
      <c r="G1589" s="26" t="s">
        <v>373</v>
      </c>
      <c r="H1589" s="26" t="s">
        <v>34</v>
      </c>
      <c r="I1589" s="26"/>
      <c r="J1589" s="26">
        <v>1.0</v>
      </c>
      <c r="K1589" s="26" t="s">
        <v>6261</v>
      </c>
      <c r="L1589" s="26" t="s">
        <v>15</v>
      </c>
      <c r="M1589" s="26" t="s">
        <v>87</v>
      </c>
      <c r="N1589" s="26" t="s">
        <v>307</v>
      </c>
      <c r="O1589" s="26">
        <v>2.0</v>
      </c>
    </row>
    <row r="1590" ht="15.75" customHeight="1">
      <c r="A1590" s="26" t="s">
        <v>6262</v>
      </c>
      <c r="B1590" s="26" t="s">
        <v>6263</v>
      </c>
      <c r="C1590" s="26" t="s">
        <v>4397</v>
      </c>
      <c r="D1590" s="26" t="s">
        <v>79</v>
      </c>
      <c r="E1590" s="26" t="s">
        <v>6264</v>
      </c>
      <c r="F1590" s="26" t="s">
        <v>1895</v>
      </c>
      <c r="G1590" s="26" t="s">
        <v>255</v>
      </c>
      <c r="H1590" s="26" t="s">
        <v>49</v>
      </c>
      <c r="I1590" s="26" t="s">
        <v>1260</v>
      </c>
      <c r="J1590" s="26">
        <v>2.0</v>
      </c>
      <c r="K1590" s="26" t="s">
        <v>1255</v>
      </c>
      <c r="L1590" s="26" t="s">
        <v>15</v>
      </c>
      <c r="M1590" s="26" t="s">
        <v>81</v>
      </c>
      <c r="N1590" s="26" t="s">
        <v>307</v>
      </c>
      <c r="O1590" s="26">
        <v>3.0</v>
      </c>
    </row>
    <row r="1591" ht="15.75" customHeight="1">
      <c r="A1591" s="26" t="s">
        <v>6265</v>
      </c>
      <c r="B1591" s="26" t="s">
        <v>6266</v>
      </c>
      <c r="C1591" s="26" t="s">
        <v>363</v>
      </c>
      <c r="D1591" s="26" t="s">
        <v>36</v>
      </c>
      <c r="E1591" s="26" t="s">
        <v>210</v>
      </c>
      <c r="F1591" s="26" t="s">
        <v>2150</v>
      </c>
      <c r="G1591" s="26" t="s">
        <v>104</v>
      </c>
      <c r="H1591" s="26" t="s">
        <v>49</v>
      </c>
      <c r="I1591" s="26" t="s">
        <v>92</v>
      </c>
      <c r="J1591" s="26">
        <v>3.0</v>
      </c>
      <c r="K1591" s="26" t="s">
        <v>211</v>
      </c>
      <c r="L1591" s="26" t="s">
        <v>19</v>
      </c>
      <c r="M1591" s="26" t="s">
        <v>81</v>
      </c>
      <c r="N1591" s="26" t="s">
        <v>307</v>
      </c>
      <c r="O1591" s="26">
        <v>5.0</v>
      </c>
    </row>
    <row r="1592" ht="15.75" customHeight="1">
      <c r="A1592" s="26" t="s">
        <v>6267</v>
      </c>
      <c r="B1592" s="26" t="s">
        <v>6268</v>
      </c>
      <c r="C1592" s="26" t="s">
        <v>429</v>
      </c>
      <c r="D1592" s="26" t="s">
        <v>54</v>
      </c>
      <c r="E1592" s="26" t="s">
        <v>6269</v>
      </c>
      <c r="F1592" s="26" t="s">
        <v>644</v>
      </c>
      <c r="G1592" s="26" t="s">
        <v>217</v>
      </c>
      <c r="H1592" s="26" t="s">
        <v>52</v>
      </c>
      <c r="I1592" s="26"/>
      <c r="J1592" s="26">
        <v>1.0</v>
      </c>
      <c r="K1592" s="26" t="s">
        <v>6270</v>
      </c>
      <c r="L1592" s="26" t="s">
        <v>15</v>
      </c>
      <c r="M1592" s="26" t="s">
        <v>81</v>
      </c>
      <c r="N1592" s="26" t="s">
        <v>307</v>
      </c>
      <c r="O1592" s="26">
        <v>0.0</v>
      </c>
    </row>
    <row r="1593" ht="15.75" customHeight="1">
      <c r="A1593" s="26" t="s">
        <v>6271</v>
      </c>
      <c r="B1593" s="26" t="s">
        <v>6272</v>
      </c>
      <c r="C1593" s="26" t="s">
        <v>363</v>
      </c>
      <c r="D1593" s="26" t="s">
        <v>54</v>
      </c>
      <c r="E1593" s="26" t="s">
        <v>6273</v>
      </c>
      <c r="F1593" s="26" t="s">
        <v>432</v>
      </c>
      <c r="G1593" s="26" t="s">
        <v>182</v>
      </c>
      <c r="H1593" s="26" t="s">
        <v>34</v>
      </c>
      <c r="I1593" s="26" t="s">
        <v>217</v>
      </c>
      <c r="J1593" s="26">
        <v>2.0</v>
      </c>
      <c r="K1593" s="26" t="s">
        <v>6251</v>
      </c>
      <c r="L1593" s="26" t="s">
        <v>15</v>
      </c>
      <c r="M1593" s="26" t="s">
        <v>81</v>
      </c>
      <c r="N1593" s="26" t="s">
        <v>307</v>
      </c>
      <c r="O1593" s="26">
        <v>3.0</v>
      </c>
    </row>
    <row r="1594" ht="15.75" customHeight="1">
      <c r="A1594" s="26" t="s">
        <v>6274</v>
      </c>
      <c r="B1594" s="26" t="s">
        <v>6275</v>
      </c>
      <c r="C1594" s="26" t="s">
        <v>429</v>
      </c>
      <c r="D1594" s="26" t="s">
        <v>54</v>
      </c>
      <c r="E1594" s="26" t="s">
        <v>6276</v>
      </c>
      <c r="F1594" s="26" t="s">
        <v>644</v>
      </c>
      <c r="G1594" s="26" t="s">
        <v>217</v>
      </c>
      <c r="H1594" s="26" t="s">
        <v>52</v>
      </c>
      <c r="I1594" s="26"/>
      <c r="J1594" s="26">
        <v>1.0</v>
      </c>
      <c r="K1594" s="26" t="s">
        <v>6277</v>
      </c>
      <c r="L1594" s="26" t="s">
        <v>15</v>
      </c>
      <c r="M1594" s="26" t="s">
        <v>81</v>
      </c>
      <c r="N1594" s="26" t="s">
        <v>307</v>
      </c>
      <c r="O1594" s="26">
        <v>2.0</v>
      </c>
    </row>
    <row r="1595" ht="15.75" customHeight="1">
      <c r="A1595" s="26" t="s">
        <v>6278</v>
      </c>
      <c r="B1595" s="26" t="s">
        <v>6279</v>
      </c>
      <c r="C1595" s="26" t="s">
        <v>300</v>
      </c>
      <c r="D1595" s="26" t="s">
        <v>36</v>
      </c>
      <c r="E1595" s="26" t="s">
        <v>200</v>
      </c>
      <c r="F1595" s="26" t="s">
        <v>3847</v>
      </c>
      <c r="G1595" s="26" t="s">
        <v>98</v>
      </c>
      <c r="H1595" s="26" t="s">
        <v>34</v>
      </c>
      <c r="I1595" s="26"/>
      <c r="J1595" s="26">
        <v>1.0</v>
      </c>
      <c r="K1595" s="26" t="s">
        <v>132</v>
      </c>
      <c r="L1595" s="26" t="s">
        <v>15</v>
      </c>
      <c r="M1595" s="26" t="s">
        <v>87</v>
      </c>
      <c r="N1595" s="26" t="s">
        <v>307</v>
      </c>
      <c r="O1595" s="26">
        <v>9.0</v>
      </c>
    </row>
    <row r="1596" ht="15.75" customHeight="1">
      <c r="A1596" s="26" t="s">
        <v>6280</v>
      </c>
      <c r="B1596" s="26" t="s">
        <v>6281</v>
      </c>
      <c r="C1596" s="26" t="s">
        <v>429</v>
      </c>
      <c r="D1596" s="26" t="s">
        <v>48</v>
      </c>
      <c r="E1596" s="26" t="s">
        <v>449</v>
      </c>
      <c r="F1596" s="26" t="s">
        <v>366</v>
      </c>
      <c r="G1596" s="26" t="s">
        <v>258</v>
      </c>
      <c r="H1596" s="26" t="s">
        <v>61</v>
      </c>
      <c r="I1596" s="26" t="s">
        <v>339</v>
      </c>
      <c r="J1596" s="26">
        <v>2.0</v>
      </c>
      <c r="K1596" s="26" t="s">
        <v>450</v>
      </c>
      <c r="L1596" s="26" t="s">
        <v>15</v>
      </c>
      <c r="M1596" s="26" t="s">
        <v>81</v>
      </c>
      <c r="N1596" s="26" t="s">
        <v>307</v>
      </c>
      <c r="O1596" s="26">
        <v>3.0</v>
      </c>
    </row>
    <row r="1597" ht="15.75" customHeight="1">
      <c r="A1597" s="26" t="s">
        <v>6282</v>
      </c>
      <c r="B1597" s="26" t="s">
        <v>6283</v>
      </c>
      <c r="C1597" s="26" t="s">
        <v>429</v>
      </c>
      <c r="D1597" s="26" t="s">
        <v>54</v>
      </c>
      <c r="E1597" s="26" t="s">
        <v>6284</v>
      </c>
      <c r="F1597" s="26" t="s">
        <v>432</v>
      </c>
      <c r="G1597" s="26" t="s">
        <v>182</v>
      </c>
      <c r="H1597" s="26" t="s">
        <v>34</v>
      </c>
      <c r="I1597" s="26" t="s">
        <v>217</v>
      </c>
      <c r="J1597" s="26">
        <v>2.0</v>
      </c>
      <c r="K1597" s="26" t="s">
        <v>6285</v>
      </c>
      <c r="L1597" s="26" t="s">
        <v>15</v>
      </c>
      <c r="M1597" s="26" t="s">
        <v>81</v>
      </c>
      <c r="N1597" s="26" t="s">
        <v>307</v>
      </c>
      <c r="O1597" s="26">
        <v>1.0</v>
      </c>
    </row>
    <row r="1598" ht="15.75" customHeight="1">
      <c r="A1598" s="26" t="s">
        <v>6286</v>
      </c>
      <c r="B1598" s="26" t="s">
        <v>6287</v>
      </c>
      <c r="C1598" s="26" t="s">
        <v>363</v>
      </c>
      <c r="D1598" s="26" t="s">
        <v>59</v>
      </c>
      <c r="E1598" s="26" t="s">
        <v>872</v>
      </c>
      <c r="F1598" s="26" t="s">
        <v>1301</v>
      </c>
      <c r="G1598" s="26" t="s">
        <v>810</v>
      </c>
      <c r="H1598" s="26" t="s">
        <v>46</v>
      </c>
      <c r="I1598" s="26"/>
      <c r="J1598" s="26">
        <v>0.0</v>
      </c>
      <c r="K1598" s="26" t="s">
        <v>6261</v>
      </c>
      <c r="L1598" s="26" t="s">
        <v>19</v>
      </c>
      <c r="M1598" s="26" t="s">
        <v>87</v>
      </c>
      <c r="N1598" s="26" t="s">
        <v>307</v>
      </c>
      <c r="O1598" s="26">
        <v>1.0</v>
      </c>
    </row>
    <row r="1599" ht="15.75" customHeight="1">
      <c r="A1599" s="26" t="s">
        <v>6288</v>
      </c>
      <c r="B1599" s="26" t="s">
        <v>6289</v>
      </c>
      <c r="C1599" s="26" t="s">
        <v>363</v>
      </c>
      <c r="D1599" s="26" t="s">
        <v>36</v>
      </c>
      <c r="E1599" s="26" t="s">
        <v>6290</v>
      </c>
      <c r="F1599" s="26" t="s">
        <v>663</v>
      </c>
      <c r="G1599" s="26" t="s">
        <v>44</v>
      </c>
      <c r="H1599" s="26" t="s">
        <v>34</v>
      </c>
      <c r="I1599" s="26"/>
      <c r="J1599" s="26">
        <v>1.0</v>
      </c>
      <c r="K1599" s="26" t="s">
        <v>6291</v>
      </c>
      <c r="L1599" s="26" t="s">
        <v>15</v>
      </c>
      <c r="M1599" s="26" t="s">
        <v>87</v>
      </c>
      <c r="N1599" s="26" t="s">
        <v>307</v>
      </c>
      <c r="O1599" s="26">
        <v>9.0</v>
      </c>
    </row>
    <row r="1600" ht="15.75" customHeight="1">
      <c r="A1600" s="26" t="s">
        <v>6292</v>
      </c>
      <c r="B1600" s="26" t="s">
        <v>6293</v>
      </c>
      <c r="C1600" s="26" t="s">
        <v>363</v>
      </c>
      <c r="D1600" s="26" t="s">
        <v>59</v>
      </c>
      <c r="E1600" s="26" t="s">
        <v>6294</v>
      </c>
      <c r="F1600" s="26" t="s">
        <v>1125</v>
      </c>
      <c r="G1600" s="26" t="s">
        <v>113</v>
      </c>
      <c r="H1600" s="26" t="s">
        <v>49</v>
      </c>
      <c r="I1600" s="26" t="s">
        <v>373</v>
      </c>
      <c r="J1600" s="26">
        <v>2.0</v>
      </c>
      <c r="K1600" s="26" t="s">
        <v>6261</v>
      </c>
      <c r="L1600" s="26" t="s">
        <v>19</v>
      </c>
      <c r="M1600" s="26" t="s">
        <v>87</v>
      </c>
      <c r="N1600" s="26" t="s">
        <v>307</v>
      </c>
      <c r="O1600" s="26">
        <v>1.0</v>
      </c>
    </row>
    <row r="1601" ht="15.75" customHeight="1">
      <c r="A1601" s="26" t="s">
        <v>6295</v>
      </c>
      <c r="B1601" s="26" t="s">
        <v>6296</v>
      </c>
      <c r="C1601" s="26" t="s">
        <v>312</v>
      </c>
      <c r="D1601" s="26" t="s">
        <v>36</v>
      </c>
      <c r="E1601" s="26" t="s">
        <v>6297</v>
      </c>
      <c r="F1601" s="26" t="s">
        <v>760</v>
      </c>
      <c r="G1601" s="26" t="s">
        <v>51</v>
      </c>
      <c r="H1601" s="26" t="s">
        <v>52</v>
      </c>
      <c r="I1601" s="26"/>
      <c r="J1601" s="26">
        <v>1.0</v>
      </c>
      <c r="K1601" s="26" t="s">
        <v>6291</v>
      </c>
      <c r="L1601" s="26" t="s">
        <v>15</v>
      </c>
      <c r="M1601" s="26" t="s">
        <v>87</v>
      </c>
      <c r="N1601" s="26" t="s">
        <v>307</v>
      </c>
      <c r="O1601" s="26">
        <v>9.0</v>
      </c>
    </row>
    <row r="1602" ht="15.75" customHeight="1">
      <c r="A1602" s="26" t="s">
        <v>6298</v>
      </c>
      <c r="B1602" s="26" t="s">
        <v>6299</v>
      </c>
      <c r="C1602" s="26" t="s">
        <v>363</v>
      </c>
      <c r="D1602" s="26" t="s">
        <v>48</v>
      </c>
      <c r="E1602" s="26" t="s">
        <v>6300</v>
      </c>
      <c r="F1602" s="26" t="s">
        <v>463</v>
      </c>
      <c r="G1602" s="26" t="s">
        <v>365</v>
      </c>
      <c r="H1602" s="26" t="s">
        <v>53</v>
      </c>
      <c r="I1602" s="26"/>
      <c r="J1602" s="26">
        <v>1.0</v>
      </c>
      <c r="K1602" s="26" t="s">
        <v>6301</v>
      </c>
      <c r="L1602" s="26" t="s">
        <v>15</v>
      </c>
      <c r="M1602" s="26" t="s">
        <v>81</v>
      </c>
      <c r="N1602" s="26" t="s">
        <v>307</v>
      </c>
      <c r="O1602" s="26">
        <v>2.0</v>
      </c>
    </row>
    <row r="1603" ht="15.75" customHeight="1">
      <c r="A1603" s="26" t="s">
        <v>6302</v>
      </c>
      <c r="B1603" s="26" t="s">
        <v>6303</v>
      </c>
      <c r="C1603" s="26" t="s">
        <v>429</v>
      </c>
      <c r="D1603" s="26" t="s">
        <v>54</v>
      </c>
      <c r="E1603" s="26" t="s">
        <v>6304</v>
      </c>
      <c r="F1603" s="26" t="s">
        <v>432</v>
      </c>
      <c r="G1603" s="26" t="s">
        <v>182</v>
      </c>
      <c r="H1603" s="26" t="s">
        <v>34</v>
      </c>
      <c r="I1603" s="26" t="s">
        <v>520</v>
      </c>
      <c r="J1603" s="26">
        <v>4.0</v>
      </c>
      <c r="K1603" s="26" t="s">
        <v>6305</v>
      </c>
      <c r="L1603" s="26" t="s">
        <v>15</v>
      </c>
      <c r="M1603" s="26" t="s">
        <v>81</v>
      </c>
      <c r="N1603" s="26" t="s">
        <v>307</v>
      </c>
      <c r="O1603" s="26">
        <v>2.0</v>
      </c>
    </row>
    <row r="1604" ht="15.75" customHeight="1">
      <c r="A1604" s="26" t="s">
        <v>6306</v>
      </c>
      <c r="B1604" s="26" t="s">
        <v>6307</v>
      </c>
      <c r="C1604" s="26" t="s">
        <v>363</v>
      </c>
      <c r="D1604" s="26" t="s">
        <v>36</v>
      </c>
      <c r="E1604" s="26" t="s">
        <v>6308</v>
      </c>
      <c r="F1604" s="26" t="s">
        <v>1698</v>
      </c>
      <c r="G1604" s="26" t="s">
        <v>106</v>
      </c>
      <c r="H1604" s="26" t="s">
        <v>57</v>
      </c>
      <c r="I1604" s="26"/>
      <c r="J1604" s="26">
        <v>1.0</v>
      </c>
      <c r="K1604" s="26" t="s">
        <v>6309</v>
      </c>
      <c r="L1604" s="26" t="s">
        <v>15</v>
      </c>
      <c r="M1604" s="26" t="s">
        <v>81</v>
      </c>
      <c r="N1604" s="26" t="s">
        <v>307</v>
      </c>
      <c r="O1604" s="26">
        <v>8.0</v>
      </c>
    </row>
    <row r="1605" ht="15.75" customHeight="1">
      <c r="A1605" s="26" t="s">
        <v>6310</v>
      </c>
      <c r="B1605" s="26" t="s">
        <v>6311</v>
      </c>
      <c r="C1605" s="26" t="s">
        <v>300</v>
      </c>
      <c r="D1605" s="26" t="s">
        <v>72</v>
      </c>
      <c r="E1605" s="26" t="s">
        <v>6312</v>
      </c>
      <c r="F1605" s="26" t="s">
        <v>1394</v>
      </c>
      <c r="G1605" s="26" t="s">
        <v>109</v>
      </c>
      <c r="H1605" s="26" t="s">
        <v>61</v>
      </c>
      <c r="I1605" s="26" t="s">
        <v>1162</v>
      </c>
      <c r="J1605" s="26">
        <v>3.0</v>
      </c>
      <c r="K1605" s="26" t="s">
        <v>6313</v>
      </c>
      <c r="L1605" s="26" t="s">
        <v>15</v>
      </c>
      <c r="M1605" s="26" t="s">
        <v>81</v>
      </c>
      <c r="N1605" s="26" t="s">
        <v>307</v>
      </c>
      <c r="O1605" s="26">
        <v>3.0</v>
      </c>
    </row>
    <row r="1606" ht="15.75" customHeight="1">
      <c r="A1606" s="26" t="s">
        <v>6314</v>
      </c>
      <c r="B1606" s="26" t="s">
        <v>6315</v>
      </c>
      <c r="C1606" s="26" t="s">
        <v>300</v>
      </c>
      <c r="D1606" s="26" t="s">
        <v>50</v>
      </c>
      <c r="E1606" s="26" t="s">
        <v>6316</v>
      </c>
      <c r="F1606" s="26" t="s">
        <v>847</v>
      </c>
      <c r="G1606" s="26" t="s">
        <v>328</v>
      </c>
      <c r="H1606" s="26" t="s">
        <v>49</v>
      </c>
      <c r="I1606" s="26" t="s">
        <v>566</v>
      </c>
      <c r="J1606" s="26">
        <v>3.0</v>
      </c>
      <c r="K1606" s="26" t="s">
        <v>5452</v>
      </c>
      <c r="L1606" s="26" t="s">
        <v>15</v>
      </c>
      <c r="M1606" s="26" t="s">
        <v>81</v>
      </c>
      <c r="N1606" s="26" t="s">
        <v>307</v>
      </c>
      <c r="O1606" s="26">
        <v>8.0</v>
      </c>
    </row>
    <row r="1607" ht="15.75" customHeight="1">
      <c r="A1607" s="26" t="s">
        <v>6317</v>
      </c>
      <c r="B1607" s="26" t="s">
        <v>6318</v>
      </c>
      <c r="C1607" s="26" t="s">
        <v>363</v>
      </c>
      <c r="D1607" s="26" t="s">
        <v>45</v>
      </c>
      <c r="E1607" s="26" t="s">
        <v>6319</v>
      </c>
      <c r="F1607" s="26" t="s">
        <v>799</v>
      </c>
      <c r="G1607" s="26" t="s">
        <v>130</v>
      </c>
      <c r="H1607" s="26" t="s">
        <v>34</v>
      </c>
      <c r="I1607" s="26" t="s">
        <v>140</v>
      </c>
      <c r="J1607" s="26">
        <v>5.0</v>
      </c>
      <c r="K1607" s="26" t="s">
        <v>5622</v>
      </c>
      <c r="L1607" s="26" t="s">
        <v>15</v>
      </c>
      <c r="M1607" s="26" t="s">
        <v>81</v>
      </c>
      <c r="N1607" s="26" t="s">
        <v>307</v>
      </c>
      <c r="O1607" s="26">
        <v>0.0</v>
      </c>
    </row>
    <row r="1608" ht="15.75" customHeight="1">
      <c r="A1608" s="26" t="s">
        <v>6320</v>
      </c>
      <c r="B1608" s="26" t="s">
        <v>6321</v>
      </c>
      <c r="C1608" s="26" t="s">
        <v>312</v>
      </c>
      <c r="D1608" s="26" t="s">
        <v>50</v>
      </c>
      <c r="E1608" s="26" t="s">
        <v>6322</v>
      </c>
      <c r="F1608" s="26" t="s">
        <v>2516</v>
      </c>
      <c r="G1608" s="26" t="s">
        <v>566</v>
      </c>
      <c r="H1608" s="26" t="s">
        <v>46</v>
      </c>
      <c r="I1608" s="26"/>
      <c r="J1608" s="26">
        <v>1.0</v>
      </c>
      <c r="K1608" s="26" t="s">
        <v>5452</v>
      </c>
      <c r="L1608" s="26" t="s">
        <v>15</v>
      </c>
      <c r="M1608" s="26" t="s">
        <v>81</v>
      </c>
      <c r="N1608" s="26" t="s">
        <v>307</v>
      </c>
      <c r="O1608" s="26">
        <v>7.0</v>
      </c>
    </row>
    <row r="1609" ht="15.75" customHeight="1">
      <c r="A1609" s="26" t="s">
        <v>6323</v>
      </c>
      <c r="B1609" s="26" t="s">
        <v>6324</v>
      </c>
      <c r="C1609" s="26" t="s">
        <v>312</v>
      </c>
      <c r="D1609" s="26" t="s">
        <v>54</v>
      </c>
      <c r="E1609" s="26" t="s">
        <v>739</v>
      </c>
      <c r="F1609" s="26" t="s">
        <v>347</v>
      </c>
      <c r="G1609" s="26" t="s">
        <v>99</v>
      </c>
      <c r="H1609" s="26" t="s">
        <v>49</v>
      </c>
      <c r="I1609" s="26" t="s">
        <v>217</v>
      </c>
      <c r="J1609" s="26">
        <v>2.0</v>
      </c>
      <c r="K1609" s="26" t="s">
        <v>742</v>
      </c>
      <c r="L1609" s="26" t="s">
        <v>19</v>
      </c>
      <c r="M1609" s="26" t="s">
        <v>87</v>
      </c>
      <c r="N1609" s="26" t="s">
        <v>307</v>
      </c>
      <c r="O1609" s="26">
        <v>1.0</v>
      </c>
    </row>
    <row r="1610" ht="15.75" customHeight="1">
      <c r="A1610" s="26" t="s">
        <v>6325</v>
      </c>
      <c r="B1610" s="26" t="s">
        <v>6326</v>
      </c>
      <c r="C1610" s="26" t="s">
        <v>429</v>
      </c>
      <c r="D1610" s="26" t="s">
        <v>100</v>
      </c>
      <c r="E1610" s="26" t="s">
        <v>1449</v>
      </c>
      <c r="F1610" s="26" t="s">
        <v>6327</v>
      </c>
      <c r="G1610" s="26" t="s">
        <v>1442</v>
      </c>
      <c r="H1610" s="26" t="s">
        <v>34</v>
      </c>
      <c r="I1610" s="26"/>
      <c r="J1610" s="26">
        <v>1.0</v>
      </c>
      <c r="K1610" s="26" t="s">
        <v>1450</v>
      </c>
      <c r="L1610" s="26" t="s">
        <v>15</v>
      </c>
      <c r="M1610" s="26" t="s">
        <v>81</v>
      </c>
      <c r="N1610" s="26" t="s">
        <v>307</v>
      </c>
      <c r="O1610" s="26">
        <v>1.0</v>
      </c>
    </row>
    <row r="1611" ht="15.75" customHeight="1">
      <c r="A1611" s="26" t="s">
        <v>6328</v>
      </c>
      <c r="B1611" s="26" t="s">
        <v>6329</v>
      </c>
      <c r="C1611" s="26" t="s">
        <v>429</v>
      </c>
      <c r="D1611" s="26" t="s">
        <v>54</v>
      </c>
      <c r="E1611" s="26" t="s">
        <v>6330</v>
      </c>
      <c r="F1611" s="26" t="s">
        <v>432</v>
      </c>
      <c r="G1611" s="26" t="s">
        <v>182</v>
      </c>
      <c r="H1611" s="26" t="s">
        <v>34</v>
      </c>
      <c r="I1611" s="26" t="s">
        <v>572</v>
      </c>
      <c r="J1611" s="26">
        <v>2.0</v>
      </c>
      <c r="K1611" s="26" t="s">
        <v>6331</v>
      </c>
      <c r="L1611" s="26" t="s">
        <v>15</v>
      </c>
      <c r="M1611" s="26" t="s">
        <v>81</v>
      </c>
      <c r="N1611" s="26" t="s">
        <v>307</v>
      </c>
      <c r="O1611" s="26">
        <v>1.0</v>
      </c>
    </row>
    <row r="1612" ht="15.75" customHeight="1">
      <c r="A1612" s="26" t="s">
        <v>6332</v>
      </c>
      <c r="B1612" s="26" t="s">
        <v>6333</v>
      </c>
      <c r="C1612" s="26" t="s">
        <v>363</v>
      </c>
      <c r="D1612" s="26" t="s">
        <v>79</v>
      </c>
      <c r="E1612" s="26" t="s">
        <v>6334</v>
      </c>
      <c r="F1612" s="26" t="s">
        <v>2863</v>
      </c>
      <c r="G1612" s="26" t="s">
        <v>1260</v>
      </c>
      <c r="H1612" s="26" t="s">
        <v>34</v>
      </c>
      <c r="I1612" s="26"/>
      <c r="J1612" s="26">
        <v>1.0</v>
      </c>
      <c r="K1612" s="26" t="s">
        <v>1255</v>
      </c>
      <c r="L1612" s="26" t="s">
        <v>15</v>
      </c>
      <c r="M1612" s="26" t="s">
        <v>81</v>
      </c>
      <c r="N1612" s="26" t="s">
        <v>307</v>
      </c>
      <c r="O1612" s="26">
        <v>5.0</v>
      </c>
    </row>
    <row r="1613" ht="15.75" customHeight="1">
      <c r="A1613" s="26" t="s">
        <v>6335</v>
      </c>
      <c r="B1613" s="26" t="s">
        <v>6336</v>
      </c>
      <c r="C1613" s="26" t="s">
        <v>363</v>
      </c>
      <c r="D1613" s="26" t="s">
        <v>79</v>
      </c>
      <c r="E1613" s="26" t="s">
        <v>1286</v>
      </c>
      <c r="F1613" s="26" t="s">
        <v>2510</v>
      </c>
      <c r="G1613" s="26" t="s">
        <v>1280</v>
      </c>
      <c r="H1613" s="26" t="s">
        <v>46</v>
      </c>
      <c r="I1613" s="26"/>
      <c r="J1613" s="26">
        <v>0.0</v>
      </c>
      <c r="K1613" s="26" t="s">
        <v>1255</v>
      </c>
      <c r="L1613" s="26" t="s">
        <v>15</v>
      </c>
      <c r="M1613" s="26" t="s">
        <v>81</v>
      </c>
      <c r="N1613" s="26" t="s">
        <v>307</v>
      </c>
      <c r="O1613" s="26">
        <v>5.0</v>
      </c>
    </row>
    <row r="1614" ht="15.75" customHeight="1">
      <c r="A1614" s="26" t="s">
        <v>6337</v>
      </c>
      <c r="B1614" s="26" t="s">
        <v>6338</v>
      </c>
      <c r="C1614" s="26" t="s">
        <v>363</v>
      </c>
      <c r="D1614" s="26" t="s">
        <v>59</v>
      </c>
      <c r="E1614" s="26" t="s">
        <v>6339</v>
      </c>
      <c r="F1614" s="26" t="s">
        <v>1125</v>
      </c>
      <c r="G1614" s="26" t="s">
        <v>113</v>
      </c>
      <c r="H1614" s="26" t="s">
        <v>49</v>
      </c>
      <c r="I1614" s="26" t="s">
        <v>373</v>
      </c>
      <c r="J1614" s="26">
        <v>2.0</v>
      </c>
      <c r="K1614" s="26" t="s">
        <v>6340</v>
      </c>
      <c r="L1614" s="26" t="s">
        <v>19</v>
      </c>
      <c r="M1614" s="26" t="s">
        <v>87</v>
      </c>
      <c r="N1614" s="26" t="s">
        <v>307</v>
      </c>
      <c r="O1614" s="26">
        <v>3.0</v>
      </c>
    </row>
    <row r="1615" ht="15.75" customHeight="1">
      <c r="A1615" s="26" t="s">
        <v>6341</v>
      </c>
      <c r="B1615" s="26" t="s">
        <v>6342</v>
      </c>
      <c r="C1615" s="26" t="s">
        <v>429</v>
      </c>
      <c r="D1615" s="26" t="s">
        <v>36</v>
      </c>
      <c r="E1615" s="26" t="s">
        <v>6343</v>
      </c>
      <c r="F1615" s="26" t="s">
        <v>681</v>
      </c>
      <c r="G1615" s="26" t="s">
        <v>58</v>
      </c>
      <c r="H1615" s="26" t="s">
        <v>49</v>
      </c>
      <c r="I1615" s="26" t="s">
        <v>88</v>
      </c>
      <c r="J1615" s="26">
        <v>2.0</v>
      </c>
      <c r="K1615" s="26" t="s">
        <v>6344</v>
      </c>
      <c r="L1615" s="26" t="s">
        <v>15</v>
      </c>
      <c r="M1615" s="26" t="s">
        <v>81</v>
      </c>
      <c r="N1615" s="26" t="s">
        <v>307</v>
      </c>
      <c r="O1615" s="26">
        <v>6.0</v>
      </c>
    </row>
    <row r="1616" ht="15.75" customHeight="1">
      <c r="A1616" s="26" t="s">
        <v>6345</v>
      </c>
      <c r="B1616" s="26" t="s">
        <v>6346</v>
      </c>
      <c r="C1616" s="26" t="s">
        <v>429</v>
      </c>
      <c r="D1616" s="26" t="s">
        <v>36</v>
      </c>
      <c r="E1616" s="26" t="s">
        <v>6343</v>
      </c>
      <c r="F1616" s="26" t="s">
        <v>681</v>
      </c>
      <c r="G1616" s="26" t="s">
        <v>58</v>
      </c>
      <c r="H1616" s="26" t="s">
        <v>49</v>
      </c>
      <c r="I1616" s="26" t="s">
        <v>88</v>
      </c>
      <c r="J1616" s="26">
        <v>2.0</v>
      </c>
      <c r="K1616" s="26" t="s">
        <v>6344</v>
      </c>
      <c r="L1616" s="26" t="s">
        <v>15</v>
      </c>
      <c r="M1616" s="26" t="s">
        <v>81</v>
      </c>
      <c r="N1616" s="26" t="s">
        <v>307</v>
      </c>
      <c r="O1616" s="26">
        <v>6.0</v>
      </c>
    </row>
    <row r="1617" ht="15.75" customHeight="1">
      <c r="A1617" s="26" t="s">
        <v>6347</v>
      </c>
      <c r="B1617" s="26" t="s">
        <v>6348</v>
      </c>
      <c r="C1617" s="26" t="s">
        <v>429</v>
      </c>
      <c r="D1617" s="26" t="s">
        <v>72</v>
      </c>
      <c r="E1617" s="26" t="s">
        <v>1160</v>
      </c>
      <c r="F1617" s="26" t="s">
        <v>1483</v>
      </c>
      <c r="G1617" s="26" t="s">
        <v>1152</v>
      </c>
      <c r="H1617" s="26" t="s">
        <v>46</v>
      </c>
      <c r="I1617" s="26"/>
      <c r="J1617" s="26">
        <v>0.0</v>
      </c>
      <c r="K1617" s="26" t="s">
        <v>1161</v>
      </c>
      <c r="L1617" s="26" t="s">
        <v>23</v>
      </c>
      <c r="M1617" s="26" t="s">
        <v>94</v>
      </c>
      <c r="N1617" s="26" t="s">
        <v>307</v>
      </c>
      <c r="O1617" s="26">
        <v>1.0</v>
      </c>
    </row>
    <row r="1618" ht="15.75" customHeight="1">
      <c r="A1618" s="26" t="s">
        <v>6349</v>
      </c>
      <c r="B1618" s="26" t="s">
        <v>6350</v>
      </c>
      <c r="C1618" s="26" t="s">
        <v>363</v>
      </c>
      <c r="D1618" s="26" t="s">
        <v>36</v>
      </c>
      <c r="E1618" s="26" t="s">
        <v>6351</v>
      </c>
      <c r="F1618" s="26" t="s">
        <v>663</v>
      </c>
      <c r="G1618" s="26" t="s">
        <v>44</v>
      </c>
      <c r="H1618" s="26" t="s">
        <v>34</v>
      </c>
      <c r="I1618" s="26" t="s">
        <v>101</v>
      </c>
      <c r="J1618" s="26">
        <v>3.0</v>
      </c>
      <c r="K1618" s="26" t="s">
        <v>6291</v>
      </c>
      <c r="L1618" s="26" t="s">
        <v>19</v>
      </c>
      <c r="M1618" s="26" t="s">
        <v>87</v>
      </c>
      <c r="N1618" s="26" t="s">
        <v>307</v>
      </c>
      <c r="O1618" s="26">
        <v>5.0</v>
      </c>
    </row>
    <row r="1619" ht="15.75" customHeight="1">
      <c r="A1619" s="26" t="s">
        <v>6352</v>
      </c>
      <c r="B1619" s="26" t="s">
        <v>6353</v>
      </c>
      <c r="C1619" s="26" t="s">
        <v>322</v>
      </c>
      <c r="D1619" s="26" t="s">
        <v>45</v>
      </c>
      <c r="E1619" s="26" t="s">
        <v>6354</v>
      </c>
      <c r="F1619" s="26" t="s">
        <v>806</v>
      </c>
      <c r="G1619" s="26" t="s">
        <v>169</v>
      </c>
      <c r="H1619" s="26" t="s">
        <v>52</v>
      </c>
      <c r="I1619" s="26"/>
      <c r="J1619" s="26">
        <v>1.0</v>
      </c>
      <c r="K1619" s="26" t="s">
        <v>6355</v>
      </c>
      <c r="L1619" s="26" t="s">
        <v>15</v>
      </c>
      <c r="M1619" s="26" t="s">
        <v>87</v>
      </c>
      <c r="N1619" s="26" t="s">
        <v>307</v>
      </c>
      <c r="O1619" s="26">
        <v>0.0</v>
      </c>
    </row>
    <row r="1620" ht="15.75" customHeight="1">
      <c r="A1620" s="26" t="s">
        <v>6356</v>
      </c>
      <c r="B1620" s="26" t="s">
        <v>6357</v>
      </c>
      <c r="C1620" s="26" t="s">
        <v>300</v>
      </c>
      <c r="D1620" s="26" t="s">
        <v>36</v>
      </c>
      <c r="E1620" s="26" t="s">
        <v>6358</v>
      </c>
      <c r="F1620" s="26" t="s">
        <v>1292</v>
      </c>
      <c r="G1620" s="26" t="s">
        <v>65</v>
      </c>
      <c r="H1620" s="26" t="s">
        <v>34</v>
      </c>
      <c r="I1620" s="26"/>
      <c r="J1620" s="26">
        <v>1.0</v>
      </c>
      <c r="K1620" s="26" t="s">
        <v>6359</v>
      </c>
      <c r="L1620" s="26" t="s">
        <v>15</v>
      </c>
      <c r="M1620" s="26" t="s">
        <v>81</v>
      </c>
      <c r="N1620" s="26" t="s">
        <v>307</v>
      </c>
      <c r="O1620" s="26">
        <v>5.0</v>
      </c>
    </row>
    <row r="1621" ht="15.75" customHeight="1">
      <c r="A1621" s="26" t="s">
        <v>6360</v>
      </c>
      <c r="B1621" s="26" t="s">
        <v>6361</v>
      </c>
      <c r="C1621" s="26" t="s">
        <v>363</v>
      </c>
      <c r="D1621" s="26" t="s">
        <v>50</v>
      </c>
      <c r="E1621" s="26" t="s">
        <v>6362</v>
      </c>
      <c r="F1621" s="26" t="s">
        <v>336</v>
      </c>
      <c r="G1621" s="26" t="s">
        <v>75</v>
      </c>
      <c r="H1621" s="26" t="s">
        <v>53</v>
      </c>
      <c r="I1621" s="26"/>
      <c r="J1621" s="26">
        <v>1.0</v>
      </c>
      <c r="K1621" s="26" t="s">
        <v>358</v>
      </c>
      <c r="L1621" s="26" t="s">
        <v>19</v>
      </c>
      <c r="M1621" s="26" t="s">
        <v>66</v>
      </c>
      <c r="N1621" s="26" t="s">
        <v>307</v>
      </c>
      <c r="O1621" s="26">
        <v>5.0</v>
      </c>
    </row>
    <row r="1622" ht="15.75" customHeight="1">
      <c r="A1622" s="26" t="s">
        <v>6363</v>
      </c>
      <c r="B1622" s="26" t="s">
        <v>6364</v>
      </c>
      <c r="C1622" s="26" t="s">
        <v>363</v>
      </c>
      <c r="D1622" s="26" t="s">
        <v>36</v>
      </c>
      <c r="E1622" s="26" t="s">
        <v>6365</v>
      </c>
      <c r="F1622" s="26" t="s">
        <v>2025</v>
      </c>
      <c r="G1622" s="26" t="s">
        <v>82</v>
      </c>
      <c r="H1622" s="26" t="s">
        <v>34</v>
      </c>
      <c r="I1622" s="26"/>
      <c r="J1622" s="26">
        <v>1.0</v>
      </c>
      <c r="K1622" s="26" t="s">
        <v>6366</v>
      </c>
      <c r="L1622" s="26" t="s">
        <v>15</v>
      </c>
      <c r="M1622" s="26" t="s">
        <v>81</v>
      </c>
      <c r="N1622" s="26" t="s">
        <v>307</v>
      </c>
      <c r="O1622" s="26">
        <v>5.0</v>
      </c>
    </row>
    <row r="1623" ht="15.75" customHeight="1">
      <c r="A1623" s="26" t="s">
        <v>6367</v>
      </c>
      <c r="B1623" s="26" t="s">
        <v>6368</v>
      </c>
      <c r="C1623" s="26" t="s">
        <v>363</v>
      </c>
      <c r="D1623" s="26" t="s">
        <v>54</v>
      </c>
      <c r="E1623" s="26" t="s">
        <v>737</v>
      </c>
      <c r="F1623" s="26" t="s">
        <v>347</v>
      </c>
      <c r="G1623" s="26" t="s">
        <v>99</v>
      </c>
      <c r="H1623" s="26" t="s">
        <v>49</v>
      </c>
      <c r="I1623" s="26"/>
      <c r="J1623" s="26">
        <v>1.0</v>
      </c>
      <c r="K1623" s="26" t="s">
        <v>6369</v>
      </c>
      <c r="L1623" s="26" t="s">
        <v>15</v>
      </c>
      <c r="M1623" s="26" t="s">
        <v>81</v>
      </c>
      <c r="N1623" s="26" t="s">
        <v>307</v>
      </c>
      <c r="O1623" s="26">
        <v>0.0</v>
      </c>
    </row>
    <row r="1624" ht="15.75" customHeight="1">
      <c r="A1624" s="26" t="s">
        <v>6370</v>
      </c>
      <c r="B1624" s="26" t="s">
        <v>6371</v>
      </c>
      <c r="C1624" s="26" t="s">
        <v>300</v>
      </c>
      <c r="D1624" s="26" t="s">
        <v>48</v>
      </c>
      <c r="E1624" s="26" t="s">
        <v>573</v>
      </c>
      <c r="F1624" s="26" t="s">
        <v>1819</v>
      </c>
      <c r="G1624" s="26" t="s">
        <v>386</v>
      </c>
      <c r="H1624" s="26" t="s">
        <v>46</v>
      </c>
      <c r="I1624" s="26"/>
      <c r="J1624" s="26">
        <v>1.0</v>
      </c>
      <c r="K1624" s="26" t="s">
        <v>575</v>
      </c>
      <c r="L1624" s="26" t="s">
        <v>15</v>
      </c>
      <c r="M1624" s="26" t="s">
        <v>81</v>
      </c>
      <c r="N1624" s="26" t="s">
        <v>307</v>
      </c>
      <c r="O1624" s="26">
        <v>3.0</v>
      </c>
    </row>
    <row r="1625" ht="15.75" customHeight="1">
      <c r="A1625" s="26" t="s">
        <v>6372</v>
      </c>
      <c r="B1625" s="26" t="s">
        <v>6373</v>
      </c>
      <c r="C1625" s="26" t="s">
        <v>312</v>
      </c>
      <c r="D1625" s="26" t="s">
        <v>54</v>
      </c>
      <c r="E1625" s="26" t="s">
        <v>6374</v>
      </c>
      <c r="F1625" s="26" t="s">
        <v>644</v>
      </c>
      <c r="G1625" s="26" t="s">
        <v>217</v>
      </c>
      <c r="H1625" s="26" t="s">
        <v>52</v>
      </c>
      <c r="I1625" s="26" t="s">
        <v>717</v>
      </c>
      <c r="J1625" s="26">
        <v>2.0</v>
      </c>
      <c r="K1625" s="26" t="s">
        <v>6375</v>
      </c>
      <c r="L1625" s="26" t="s">
        <v>15</v>
      </c>
      <c r="M1625" s="26" t="s">
        <v>81</v>
      </c>
      <c r="N1625" s="26" t="s">
        <v>307</v>
      </c>
      <c r="O1625" s="26">
        <v>0.0</v>
      </c>
    </row>
    <row r="1626" ht="15.75" customHeight="1">
      <c r="A1626" s="26" t="s">
        <v>6376</v>
      </c>
      <c r="B1626" s="26" t="s">
        <v>6377</v>
      </c>
      <c r="C1626" s="26" t="s">
        <v>300</v>
      </c>
      <c r="D1626" s="26" t="s">
        <v>48</v>
      </c>
      <c r="E1626" s="26" t="s">
        <v>6378</v>
      </c>
      <c r="F1626" s="26" t="s">
        <v>1727</v>
      </c>
      <c r="G1626" s="26" t="s">
        <v>284</v>
      </c>
      <c r="H1626" s="26" t="s">
        <v>46</v>
      </c>
      <c r="I1626" s="26"/>
      <c r="J1626" s="26">
        <v>0.0</v>
      </c>
      <c r="K1626" s="26" t="s">
        <v>6379</v>
      </c>
      <c r="L1626" s="26" t="s">
        <v>15</v>
      </c>
      <c r="M1626" s="26" t="s">
        <v>81</v>
      </c>
      <c r="N1626" s="26" t="s">
        <v>307</v>
      </c>
      <c r="O1626" s="26">
        <v>3.0</v>
      </c>
    </row>
    <row r="1627" ht="15.75" customHeight="1">
      <c r="A1627" s="26" t="s">
        <v>6380</v>
      </c>
      <c r="B1627" s="26" t="s">
        <v>6381</v>
      </c>
      <c r="C1627" s="26" t="s">
        <v>312</v>
      </c>
      <c r="D1627" s="26" t="s">
        <v>48</v>
      </c>
      <c r="E1627" s="26" t="s">
        <v>6382</v>
      </c>
      <c r="F1627" s="26" t="s">
        <v>834</v>
      </c>
      <c r="G1627" s="26" t="s">
        <v>267</v>
      </c>
      <c r="H1627" s="26" t="s">
        <v>34</v>
      </c>
      <c r="I1627" s="26"/>
      <c r="J1627" s="26">
        <v>1.0</v>
      </c>
      <c r="K1627" s="26" t="s">
        <v>6383</v>
      </c>
      <c r="L1627" s="26" t="s">
        <v>15</v>
      </c>
      <c r="M1627" s="26" t="s">
        <v>81</v>
      </c>
      <c r="N1627" s="26" t="s">
        <v>307</v>
      </c>
      <c r="O1627" s="26">
        <v>2.0</v>
      </c>
    </row>
    <row r="1628" ht="15.75" customHeight="1">
      <c r="A1628" s="26" t="s">
        <v>6384</v>
      </c>
      <c r="B1628" s="26" t="s">
        <v>6385</v>
      </c>
      <c r="C1628" s="26" t="s">
        <v>429</v>
      </c>
      <c r="D1628" s="26" t="s">
        <v>59</v>
      </c>
      <c r="E1628" s="26" t="s">
        <v>6386</v>
      </c>
      <c r="F1628" s="26" t="s">
        <v>1125</v>
      </c>
      <c r="G1628" s="26" t="s">
        <v>113</v>
      </c>
      <c r="H1628" s="26" t="s">
        <v>49</v>
      </c>
      <c r="I1628" s="26" t="s">
        <v>373</v>
      </c>
      <c r="J1628" s="26">
        <v>2.0</v>
      </c>
      <c r="K1628" s="26" t="s">
        <v>6387</v>
      </c>
      <c r="L1628" s="26" t="s">
        <v>15</v>
      </c>
      <c r="M1628" s="26" t="s">
        <v>81</v>
      </c>
      <c r="N1628" s="26" t="s">
        <v>307</v>
      </c>
      <c r="O1628" s="26">
        <v>7.0</v>
      </c>
    </row>
    <row r="1629" ht="15.75" customHeight="1">
      <c r="A1629" s="26" t="s">
        <v>6388</v>
      </c>
      <c r="B1629" s="26" t="s">
        <v>6389</v>
      </c>
      <c r="C1629" s="26" t="s">
        <v>363</v>
      </c>
      <c r="D1629" s="26" t="s">
        <v>36</v>
      </c>
      <c r="E1629" s="26" t="s">
        <v>6390</v>
      </c>
      <c r="F1629" s="26" t="s">
        <v>1698</v>
      </c>
      <c r="G1629" s="26" t="s">
        <v>106</v>
      </c>
      <c r="H1629" s="26" t="s">
        <v>57</v>
      </c>
      <c r="I1629" s="26" t="s">
        <v>104</v>
      </c>
      <c r="J1629" s="26">
        <v>2.0</v>
      </c>
      <c r="K1629" s="26" t="s">
        <v>6309</v>
      </c>
      <c r="L1629" s="26" t="s">
        <v>15</v>
      </c>
      <c r="M1629" s="26" t="s">
        <v>81</v>
      </c>
      <c r="N1629" s="26" t="s">
        <v>307</v>
      </c>
      <c r="O1629" s="26">
        <v>4.0</v>
      </c>
    </row>
    <row r="1630" ht="15.75" customHeight="1">
      <c r="A1630" s="26" t="s">
        <v>6391</v>
      </c>
      <c r="B1630" s="26" t="s">
        <v>6392</v>
      </c>
      <c r="C1630" s="26" t="s">
        <v>363</v>
      </c>
      <c r="D1630" s="26" t="s">
        <v>36</v>
      </c>
      <c r="E1630" s="26" t="s">
        <v>6393</v>
      </c>
      <c r="F1630" s="26" t="s">
        <v>663</v>
      </c>
      <c r="G1630" s="26" t="s">
        <v>44</v>
      </c>
      <c r="H1630" s="26" t="s">
        <v>34</v>
      </c>
      <c r="I1630" s="26"/>
      <c r="J1630" s="26">
        <v>1.0</v>
      </c>
      <c r="K1630" s="26" t="s">
        <v>3073</v>
      </c>
      <c r="L1630" s="26" t="s">
        <v>15</v>
      </c>
      <c r="M1630" s="26" t="s">
        <v>87</v>
      </c>
      <c r="N1630" s="26" t="s">
        <v>307</v>
      </c>
      <c r="O1630" s="26">
        <v>4.0</v>
      </c>
    </row>
    <row r="1631" ht="15.75" customHeight="1">
      <c r="A1631" s="26" t="s">
        <v>6394</v>
      </c>
      <c r="B1631" s="26" t="s">
        <v>6395</v>
      </c>
      <c r="C1631" s="26" t="s">
        <v>363</v>
      </c>
      <c r="D1631" s="26" t="s">
        <v>50</v>
      </c>
      <c r="E1631" s="26" t="s">
        <v>6396</v>
      </c>
      <c r="F1631" s="26" t="s">
        <v>1877</v>
      </c>
      <c r="G1631" s="26" t="s">
        <v>311</v>
      </c>
      <c r="H1631" s="26" t="s">
        <v>34</v>
      </c>
      <c r="I1631" s="26" t="s">
        <v>581</v>
      </c>
      <c r="J1631" s="26">
        <v>2.0</v>
      </c>
      <c r="K1631" s="26" t="s">
        <v>6397</v>
      </c>
      <c r="L1631" s="26" t="s">
        <v>15</v>
      </c>
      <c r="M1631" s="26" t="s">
        <v>81</v>
      </c>
      <c r="N1631" s="26" t="s">
        <v>307</v>
      </c>
      <c r="O1631" s="26">
        <v>4.0</v>
      </c>
    </row>
    <row r="1632" ht="15.75" customHeight="1">
      <c r="A1632" s="26" t="s">
        <v>6398</v>
      </c>
      <c r="B1632" s="26" t="s">
        <v>6399</v>
      </c>
      <c r="C1632" s="26" t="s">
        <v>363</v>
      </c>
      <c r="D1632" s="26" t="s">
        <v>54</v>
      </c>
      <c r="E1632" s="26" t="s">
        <v>6400</v>
      </c>
      <c r="F1632" s="26" t="s">
        <v>432</v>
      </c>
      <c r="G1632" s="26" t="s">
        <v>182</v>
      </c>
      <c r="H1632" s="26" t="s">
        <v>34</v>
      </c>
      <c r="I1632" s="26" t="s">
        <v>572</v>
      </c>
      <c r="J1632" s="26">
        <v>3.0</v>
      </c>
      <c r="K1632" s="26" t="s">
        <v>6401</v>
      </c>
      <c r="L1632" s="26" t="s">
        <v>15</v>
      </c>
      <c r="M1632" s="26" t="s">
        <v>81</v>
      </c>
      <c r="N1632" s="26" t="s">
        <v>307</v>
      </c>
      <c r="O1632" s="26">
        <v>0.0</v>
      </c>
    </row>
    <row r="1633" ht="15.75" customHeight="1">
      <c r="A1633" s="26" t="s">
        <v>6402</v>
      </c>
      <c r="B1633" s="26" t="s">
        <v>6403</v>
      </c>
      <c r="C1633" s="26" t="s">
        <v>300</v>
      </c>
      <c r="D1633" s="26" t="s">
        <v>36</v>
      </c>
      <c r="E1633" s="26" t="s">
        <v>6404</v>
      </c>
      <c r="F1633" s="26" t="s">
        <v>315</v>
      </c>
      <c r="G1633" s="26" t="s">
        <v>47</v>
      </c>
      <c r="H1633" s="26" t="s">
        <v>34</v>
      </c>
      <c r="I1633" s="26" t="s">
        <v>112</v>
      </c>
      <c r="J1633" s="26">
        <v>5.0</v>
      </c>
      <c r="K1633" s="26" t="s">
        <v>6405</v>
      </c>
      <c r="L1633" s="26" t="s">
        <v>15</v>
      </c>
      <c r="M1633" s="26" t="s">
        <v>81</v>
      </c>
      <c r="N1633" s="26" t="s">
        <v>307</v>
      </c>
      <c r="O1633" s="26">
        <v>3.0</v>
      </c>
    </row>
    <row r="1634" ht="15.75" customHeight="1">
      <c r="A1634" s="26" t="s">
        <v>6406</v>
      </c>
      <c r="B1634" s="26" t="s">
        <v>6407</v>
      </c>
      <c r="C1634" s="26" t="s">
        <v>363</v>
      </c>
      <c r="D1634" s="26" t="s">
        <v>54</v>
      </c>
      <c r="E1634" s="26" t="s">
        <v>6408</v>
      </c>
      <c r="F1634" s="26" t="s">
        <v>432</v>
      </c>
      <c r="G1634" s="26" t="s">
        <v>182</v>
      </c>
      <c r="H1634" s="26" t="s">
        <v>34</v>
      </c>
      <c r="I1634" s="26" t="s">
        <v>217</v>
      </c>
      <c r="J1634" s="26">
        <v>2.0</v>
      </c>
      <c r="K1634" s="26" t="s">
        <v>6409</v>
      </c>
      <c r="L1634" s="26" t="s">
        <v>19</v>
      </c>
      <c r="M1634" s="26" t="s">
        <v>66</v>
      </c>
      <c r="N1634" s="26" t="s">
        <v>307</v>
      </c>
      <c r="O1634" s="26">
        <v>0.0</v>
      </c>
    </row>
    <row r="1635" ht="15.75" customHeight="1">
      <c r="A1635" s="26" t="s">
        <v>6410</v>
      </c>
      <c r="B1635" s="26" t="s">
        <v>6411</v>
      </c>
      <c r="C1635" s="26" t="s">
        <v>312</v>
      </c>
      <c r="D1635" s="26" t="s">
        <v>54</v>
      </c>
      <c r="E1635" s="26" t="s">
        <v>6412</v>
      </c>
      <c r="F1635" s="26" t="s">
        <v>347</v>
      </c>
      <c r="G1635" s="26" t="s">
        <v>99</v>
      </c>
      <c r="H1635" s="26" t="s">
        <v>49</v>
      </c>
      <c r="I1635" s="26" t="s">
        <v>217</v>
      </c>
      <c r="J1635" s="26">
        <v>2.0</v>
      </c>
      <c r="K1635" s="26" t="s">
        <v>6413</v>
      </c>
      <c r="L1635" s="26" t="s">
        <v>19</v>
      </c>
      <c r="M1635" s="26" t="s">
        <v>87</v>
      </c>
      <c r="N1635" s="26" t="s">
        <v>307</v>
      </c>
      <c r="O1635" s="26">
        <v>0.0</v>
      </c>
    </row>
    <row r="1636" ht="15.75" customHeight="1">
      <c r="A1636" s="26" t="s">
        <v>6414</v>
      </c>
      <c r="B1636" s="26" t="s">
        <v>6415</v>
      </c>
      <c r="C1636" s="26" t="s">
        <v>363</v>
      </c>
      <c r="D1636" s="26" t="s">
        <v>54</v>
      </c>
      <c r="E1636" s="26" t="s">
        <v>6416</v>
      </c>
      <c r="F1636" s="26" t="s">
        <v>347</v>
      </c>
      <c r="G1636" s="26" t="s">
        <v>99</v>
      </c>
      <c r="H1636" s="26" t="s">
        <v>49</v>
      </c>
      <c r="I1636" s="26"/>
      <c r="J1636" s="26">
        <v>1.0</v>
      </c>
      <c r="K1636" s="26" t="s">
        <v>6417</v>
      </c>
      <c r="L1636" s="26" t="s">
        <v>15</v>
      </c>
      <c r="M1636" s="26" t="s">
        <v>81</v>
      </c>
      <c r="N1636" s="26" t="s">
        <v>307</v>
      </c>
      <c r="O1636" s="26">
        <v>0.0</v>
      </c>
    </row>
    <row r="1637" ht="15.75" customHeight="1">
      <c r="A1637" s="26" t="s">
        <v>6418</v>
      </c>
      <c r="B1637" s="26" t="s">
        <v>6419</v>
      </c>
      <c r="C1637" s="26" t="s">
        <v>363</v>
      </c>
      <c r="D1637" s="26" t="s">
        <v>54</v>
      </c>
      <c r="E1637" s="26" t="s">
        <v>755</v>
      </c>
      <c r="F1637" s="26" t="s">
        <v>790</v>
      </c>
      <c r="G1637" s="26" t="s">
        <v>646</v>
      </c>
      <c r="H1637" s="26" t="s">
        <v>46</v>
      </c>
      <c r="I1637" s="26"/>
      <c r="J1637" s="26">
        <v>0.0</v>
      </c>
      <c r="K1637" s="26" t="s">
        <v>6420</v>
      </c>
      <c r="L1637" s="26" t="s">
        <v>15</v>
      </c>
      <c r="M1637" s="26" t="s">
        <v>81</v>
      </c>
      <c r="N1637" s="26" t="s">
        <v>307</v>
      </c>
      <c r="O1637" s="26">
        <v>0.0</v>
      </c>
    </row>
    <row r="1638" ht="15.75" customHeight="1">
      <c r="A1638" s="26" t="s">
        <v>6421</v>
      </c>
      <c r="B1638" s="26" t="s">
        <v>6422</v>
      </c>
      <c r="C1638" s="26" t="s">
        <v>363</v>
      </c>
      <c r="D1638" s="26" t="s">
        <v>45</v>
      </c>
      <c r="E1638" s="26" t="s">
        <v>6423</v>
      </c>
      <c r="F1638" s="26" t="s">
        <v>799</v>
      </c>
      <c r="G1638" s="26" t="s">
        <v>130</v>
      </c>
      <c r="H1638" s="26" t="s">
        <v>34</v>
      </c>
      <c r="I1638" s="26" t="s">
        <v>166</v>
      </c>
      <c r="J1638" s="26">
        <v>3.0</v>
      </c>
      <c r="K1638" s="26" t="s">
        <v>6424</v>
      </c>
      <c r="L1638" s="26" t="s">
        <v>15</v>
      </c>
      <c r="M1638" s="26" t="s">
        <v>81</v>
      </c>
      <c r="N1638" s="26" t="s">
        <v>307</v>
      </c>
      <c r="O1638" s="26">
        <v>0.0</v>
      </c>
    </row>
    <row r="1639" ht="15.75" customHeight="1">
      <c r="A1639" s="26" t="s">
        <v>6425</v>
      </c>
      <c r="B1639" s="26" t="s">
        <v>6426</v>
      </c>
      <c r="C1639" s="26" t="s">
        <v>429</v>
      </c>
      <c r="D1639" s="26" t="s">
        <v>54</v>
      </c>
      <c r="E1639" s="26" t="s">
        <v>730</v>
      </c>
      <c r="F1639" s="26" t="s">
        <v>432</v>
      </c>
      <c r="G1639" s="26" t="s">
        <v>182</v>
      </c>
      <c r="H1639" s="26" t="s">
        <v>34</v>
      </c>
      <c r="I1639" s="26" t="s">
        <v>217</v>
      </c>
      <c r="J1639" s="26">
        <v>2.0</v>
      </c>
      <c r="K1639" s="26" t="s">
        <v>731</v>
      </c>
      <c r="L1639" s="26" t="s">
        <v>19</v>
      </c>
      <c r="M1639" s="26" t="s">
        <v>66</v>
      </c>
      <c r="N1639" s="26" t="s">
        <v>307</v>
      </c>
      <c r="O1639" s="26">
        <v>0.0</v>
      </c>
    </row>
    <row r="1640" ht="15.75" customHeight="1">
      <c r="A1640" s="26" t="s">
        <v>6427</v>
      </c>
      <c r="B1640" s="26" t="s">
        <v>6428</v>
      </c>
      <c r="C1640" s="26" t="s">
        <v>429</v>
      </c>
      <c r="D1640" s="26" t="s">
        <v>54</v>
      </c>
      <c r="E1640" s="26" t="s">
        <v>6429</v>
      </c>
      <c r="F1640" s="26" t="s">
        <v>432</v>
      </c>
      <c r="G1640" s="26" t="s">
        <v>182</v>
      </c>
      <c r="H1640" s="26" t="s">
        <v>34</v>
      </c>
      <c r="I1640" s="26" t="s">
        <v>520</v>
      </c>
      <c r="J1640" s="26">
        <v>2.0</v>
      </c>
      <c r="K1640" s="26" t="s">
        <v>491</v>
      </c>
      <c r="L1640" s="26" t="s">
        <v>29</v>
      </c>
      <c r="M1640" s="26" t="s">
        <v>95</v>
      </c>
      <c r="N1640" s="26" t="s">
        <v>307</v>
      </c>
      <c r="O1640" s="26">
        <v>0.0</v>
      </c>
    </row>
    <row r="1641" ht="15.75" customHeight="1">
      <c r="A1641" s="26" t="s">
        <v>6430</v>
      </c>
      <c r="B1641" s="26" t="s">
        <v>6431</v>
      </c>
      <c r="C1641" s="26" t="s">
        <v>429</v>
      </c>
      <c r="D1641" s="26" t="s">
        <v>54</v>
      </c>
      <c r="E1641" s="26" t="s">
        <v>6432</v>
      </c>
      <c r="F1641" s="26" t="s">
        <v>432</v>
      </c>
      <c r="G1641" s="26" t="s">
        <v>182</v>
      </c>
      <c r="H1641" s="26" t="s">
        <v>34</v>
      </c>
      <c r="I1641" s="26"/>
      <c r="J1641" s="26">
        <v>1.0</v>
      </c>
      <c r="K1641" s="26" t="s">
        <v>491</v>
      </c>
      <c r="L1641" s="26" t="s">
        <v>29</v>
      </c>
      <c r="M1641" s="26" t="s">
        <v>95</v>
      </c>
      <c r="N1641" s="26" t="s">
        <v>307</v>
      </c>
      <c r="O1641" s="26">
        <v>0.0</v>
      </c>
    </row>
    <row r="1642" ht="15.75" customHeight="1">
      <c r="A1642" s="26" t="s">
        <v>6433</v>
      </c>
      <c r="B1642" s="26" t="s">
        <v>6434</v>
      </c>
      <c r="C1642" s="26" t="s">
        <v>300</v>
      </c>
      <c r="D1642" s="26" t="s">
        <v>45</v>
      </c>
      <c r="E1642" s="26" t="s">
        <v>6435</v>
      </c>
      <c r="F1642" s="26" t="s">
        <v>744</v>
      </c>
      <c r="G1642" s="26" t="s">
        <v>148</v>
      </c>
      <c r="H1642" s="26" t="s">
        <v>34</v>
      </c>
      <c r="I1642" s="26" t="s">
        <v>130</v>
      </c>
      <c r="J1642" s="26">
        <v>2.0</v>
      </c>
      <c r="K1642" s="26" t="s">
        <v>6436</v>
      </c>
      <c r="L1642" s="26" t="s">
        <v>15</v>
      </c>
      <c r="M1642" s="26" t="s">
        <v>81</v>
      </c>
      <c r="N1642" s="26" t="s">
        <v>307</v>
      </c>
      <c r="O1642" s="26">
        <v>3.0</v>
      </c>
    </row>
    <row r="1643" ht="15.75" customHeight="1">
      <c r="A1643" s="26" t="s">
        <v>6437</v>
      </c>
      <c r="B1643" s="26" t="s">
        <v>6438</v>
      </c>
      <c r="C1643" s="26" t="s">
        <v>300</v>
      </c>
      <c r="D1643" s="26" t="s">
        <v>54</v>
      </c>
      <c r="E1643" s="26" t="s">
        <v>6439</v>
      </c>
      <c r="F1643" s="26" t="s">
        <v>432</v>
      </c>
      <c r="G1643" s="26" t="s">
        <v>182</v>
      </c>
      <c r="H1643" s="26" t="s">
        <v>34</v>
      </c>
      <c r="I1643" s="26" t="s">
        <v>99</v>
      </c>
      <c r="J1643" s="26">
        <v>2.0</v>
      </c>
      <c r="K1643" s="26" t="s">
        <v>6440</v>
      </c>
      <c r="L1643" s="26" t="s">
        <v>15</v>
      </c>
      <c r="M1643" s="26" t="s">
        <v>87</v>
      </c>
      <c r="N1643" s="26" t="s">
        <v>307</v>
      </c>
      <c r="O1643" s="26">
        <v>2.0</v>
      </c>
    </row>
    <row r="1644" ht="15.75" customHeight="1">
      <c r="A1644" s="26" t="s">
        <v>6441</v>
      </c>
      <c r="B1644" s="26" t="s">
        <v>6442</v>
      </c>
      <c r="C1644" s="26" t="s">
        <v>363</v>
      </c>
      <c r="D1644" s="26" t="s">
        <v>54</v>
      </c>
      <c r="E1644" s="26" t="s">
        <v>6443</v>
      </c>
      <c r="F1644" s="26" t="s">
        <v>432</v>
      </c>
      <c r="G1644" s="26" t="s">
        <v>182</v>
      </c>
      <c r="H1644" s="26" t="s">
        <v>34</v>
      </c>
      <c r="I1644" s="26" t="s">
        <v>99</v>
      </c>
      <c r="J1644" s="26">
        <v>3.0</v>
      </c>
      <c r="K1644" s="26" t="s">
        <v>6444</v>
      </c>
      <c r="L1644" s="26" t="s">
        <v>23</v>
      </c>
      <c r="M1644" s="26" t="s">
        <v>94</v>
      </c>
      <c r="N1644" s="26" t="s">
        <v>307</v>
      </c>
      <c r="O1644" s="26">
        <v>3.0</v>
      </c>
    </row>
    <row r="1645" ht="15.75" customHeight="1">
      <c r="A1645" s="26" t="s">
        <v>6445</v>
      </c>
      <c r="B1645" s="26" t="s">
        <v>6446</v>
      </c>
      <c r="C1645" s="26" t="s">
        <v>312</v>
      </c>
      <c r="D1645" s="26" t="s">
        <v>48</v>
      </c>
      <c r="E1645" s="26" t="s">
        <v>470</v>
      </c>
      <c r="F1645" s="26" t="s">
        <v>834</v>
      </c>
      <c r="G1645" s="26" t="s">
        <v>267</v>
      </c>
      <c r="H1645" s="26" t="s">
        <v>34</v>
      </c>
      <c r="I1645" s="26"/>
      <c r="J1645" s="26">
        <v>1.0</v>
      </c>
      <c r="K1645" s="26" t="s">
        <v>472</v>
      </c>
      <c r="L1645" s="26" t="s">
        <v>15</v>
      </c>
      <c r="M1645" s="26" t="s">
        <v>81</v>
      </c>
      <c r="N1645" s="26" t="s">
        <v>307</v>
      </c>
      <c r="O1645" s="26">
        <v>1.0</v>
      </c>
    </row>
    <row r="1646" ht="15.75" customHeight="1">
      <c r="A1646" s="26" t="s">
        <v>6447</v>
      </c>
      <c r="B1646" s="26" t="s">
        <v>6448</v>
      </c>
      <c r="C1646" s="26" t="s">
        <v>363</v>
      </c>
      <c r="D1646" s="26" t="s">
        <v>54</v>
      </c>
      <c r="E1646" s="26" t="s">
        <v>6449</v>
      </c>
      <c r="F1646" s="26" t="s">
        <v>432</v>
      </c>
      <c r="G1646" s="26" t="s">
        <v>182</v>
      </c>
      <c r="H1646" s="26" t="s">
        <v>34</v>
      </c>
      <c r="I1646" s="26" t="s">
        <v>217</v>
      </c>
      <c r="J1646" s="26">
        <v>3.0</v>
      </c>
      <c r="K1646" s="26" t="s">
        <v>6450</v>
      </c>
      <c r="L1646" s="26" t="s">
        <v>23</v>
      </c>
      <c r="M1646" s="26" t="s">
        <v>94</v>
      </c>
      <c r="N1646" s="26" t="s">
        <v>307</v>
      </c>
      <c r="O1646" s="26">
        <v>3.0</v>
      </c>
    </row>
    <row r="1647" ht="15.75" customHeight="1">
      <c r="A1647" s="26" t="s">
        <v>6451</v>
      </c>
      <c r="B1647" s="26" t="s">
        <v>6452</v>
      </c>
      <c r="C1647" s="26" t="s">
        <v>363</v>
      </c>
      <c r="D1647" s="26" t="s">
        <v>48</v>
      </c>
      <c r="E1647" s="26" t="s">
        <v>6453</v>
      </c>
      <c r="F1647" s="26" t="s">
        <v>1819</v>
      </c>
      <c r="G1647" s="26" t="s">
        <v>386</v>
      </c>
      <c r="H1647" s="26" t="s">
        <v>46</v>
      </c>
      <c r="I1647" s="26"/>
      <c r="J1647" s="26">
        <v>1.0</v>
      </c>
      <c r="K1647" s="26" t="s">
        <v>6454</v>
      </c>
      <c r="L1647" s="26" t="s">
        <v>15</v>
      </c>
      <c r="M1647" s="26" t="s">
        <v>81</v>
      </c>
      <c r="N1647" s="26" t="s">
        <v>307</v>
      </c>
      <c r="O1647" s="26">
        <v>1.0</v>
      </c>
    </row>
    <row r="1648" ht="15.75" customHeight="1">
      <c r="A1648" s="26" t="s">
        <v>6455</v>
      </c>
      <c r="B1648" s="26" t="s">
        <v>6456</v>
      </c>
      <c r="C1648" s="26" t="s">
        <v>363</v>
      </c>
      <c r="D1648" s="26" t="s">
        <v>36</v>
      </c>
      <c r="E1648" s="26" t="s">
        <v>6457</v>
      </c>
      <c r="F1648" s="26" t="s">
        <v>1292</v>
      </c>
      <c r="G1648" s="26" t="s">
        <v>65</v>
      </c>
      <c r="H1648" s="26" t="s">
        <v>34</v>
      </c>
      <c r="I1648" s="26" t="s">
        <v>92</v>
      </c>
      <c r="J1648" s="26">
        <v>2.0</v>
      </c>
      <c r="K1648" s="26" t="s">
        <v>3073</v>
      </c>
      <c r="L1648" s="26" t="s">
        <v>15</v>
      </c>
      <c r="M1648" s="26" t="s">
        <v>87</v>
      </c>
      <c r="N1648" s="26" t="s">
        <v>307</v>
      </c>
      <c r="O1648" s="26">
        <v>3.0</v>
      </c>
    </row>
    <row r="1649" ht="15.75" customHeight="1">
      <c r="A1649" s="26" t="s">
        <v>6458</v>
      </c>
      <c r="B1649" s="26" t="s">
        <v>6459</v>
      </c>
      <c r="C1649" s="26" t="s">
        <v>363</v>
      </c>
      <c r="D1649" s="26" t="s">
        <v>59</v>
      </c>
      <c r="E1649" s="26" t="s">
        <v>6460</v>
      </c>
      <c r="F1649" s="26" t="s">
        <v>1125</v>
      </c>
      <c r="G1649" s="26" t="s">
        <v>113</v>
      </c>
      <c r="H1649" s="26" t="s">
        <v>49</v>
      </c>
      <c r="I1649" s="26" t="s">
        <v>3375</v>
      </c>
      <c r="J1649" s="26">
        <v>2.0</v>
      </c>
      <c r="K1649" s="26" t="s">
        <v>6461</v>
      </c>
      <c r="L1649" s="26" t="s">
        <v>15</v>
      </c>
      <c r="M1649" s="26" t="s">
        <v>81</v>
      </c>
      <c r="N1649" s="26" t="s">
        <v>307</v>
      </c>
      <c r="O1649" s="26">
        <v>6.0</v>
      </c>
    </row>
    <row r="1650" ht="15.75" customHeight="1">
      <c r="A1650" s="26" t="s">
        <v>6462</v>
      </c>
      <c r="B1650" s="26" t="s">
        <v>6463</v>
      </c>
      <c r="C1650" s="26" t="s">
        <v>429</v>
      </c>
      <c r="D1650" s="26" t="s">
        <v>54</v>
      </c>
      <c r="E1650" s="26" t="s">
        <v>766</v>
      </c>
      <c r="F1650" s="26" t="s">
        <v>790</v>
      </c>
      <c r="G1650" s="26" t="s">
        <v>646</v>
      </c>
      <c r="H1650" s="26" t="s">
        <v>46</v>
      </c>
      <c r="I1650" s="26"/>
      <c r="J1650" s="26">
        <v>0.0</v>
      </c>
      <c r="K1650" s="26" t="s">
        <v>769</v>
      </c>
      <c r="L1650" s="26" t="s">
        <v>15</v>
      </c>
      <c r="M1650" s="26" t="s">
        <v>81</v>
      </c>
      <c r="N1650" s="26" t="s">
        <v>307</v>
      </c>
      <c r="O1650" s="26">
        <v>1.0</v>
      </c>
    </row>
    <row r="1651" ht="15.75" customHeight="1">
      <c r="A1651" s="26" t="s">
        <v>6464</v>
      </c>
      <c r="B1651" s="26" t="s">
        <v>6465</v>
      </c>
      <c r="C1651" s="26" t="s">
        <v>300</v>
      </c>
      <c r="D1651" s="26" t="s">
        <v>36</v>
      </c>
      <c r="E1651" s="26" t="s">
        <v>194</v>
      </c>
      <c r="F1651" s="26" t="s">
        <v>485</v>
      </c>
      <c r="G1651" s="26" t="s">
        <v>92</v>
      </c>
      <c r="H1651" s="26" t="s">
        <v>52</v>
      </c>
      <c r="I1651" s="26"/>
      <c r="J1651" s="26">
        <v>1.0</v>
      </c>
      <c r="K1651" s="26" t="s">
        <v>195</v>
      </c>
      <c r="L1651" s="26" t="s">
        <v>15</v>
      </c>
      <c r="M1651" s="26" t="s">
        <v>87</v>
      </c>
      <c r="N1651" s="26" t="s">
        <v>307</v>
      </c>
      <c r="O1651" s="26">
        <v>3.0</v>
      </c>
    </row>
    <row r="1652" ht="15.75" customHeight="1">
      <c r="A1652" s="26" t="s">
        <v>6466</v>
      </c>
      <c r="B1652" s="26" t="s">
        <v>6467</v>
      </c>
      <c r="C1652" s="26" t="s">
        <v>300</v>
      </c>
      <c r="D1652" s="26" t="s">
        <v>54</v>
      </c>
      <c r="E1652" s="26" t="s">
        <v>6468</v>
      </c>
      <c r="F1652" s="26" t="s">
        <v>432</v>
      </c>
      <c r="G1652" s="26" t="s">
        <v>182</v>
      </c>
      <c r="H1652" s="26" t="s">
        <v>34</v>
      </c>
      <c r="I1652" s="26" t="s">
        <v>572</v>
      </c>
      <c r="J1652" s="26">
        <v>3.0</v>
      </c>
      <c r="K1652" s="26" t="s">
        <v>6469</v>
      </c>
      <c r="L1652" s="26" t="s">
        <v>19</v>
      </c>
      <c r="M1652" s="26" t="s">
        <v>66</v>
      </c>
      <c r="N1652" s="26" t="s">
        <v>307</v>
      </c>
      <c r="O1652" s="26">
        <v>1.0</v>
      </c>
    </row>
    <row r="1653" ht="15.75" customHeight="1">
      <c r="A1653" s="26" t="s">
        <v>6470</v>
      </c>
      <c r="B1653" s="26" t="s">
        <v>6471</v>
      </c>
      <c r="C1653" s="26" t="s">
        <v>300</v>
      </c>
      <c r="D1653" s="26" t="s">
        <v>45</v>
      </c>
      <c r="E1653" s="26" t="s">
        <v>262</v>
      </c>
      <c r="F1653" s="26" t="s">
        <v>303</v>
      </c>
      <c r="G1653" s="26" t="s">
        <v>140</v>
      </c>
      <c r="H1653" s="26" t="s">
        <v>34</v>
      </c>
      <c r="I1653" s="26"/>
      <c r="J1653" s="26">
        <v>1.0</v>
      </c>
      <c r="K1653" s="26" t="s">
        <v>6436</v>
      </c>
      <c r="L1653" s="26" t="s">
        <v>15</v>
      </c>
      <c r="M1653" s="26" t="s">
        <v>81</v>
      </c>
      <c r="N1653" s="26" t="s">
        <v>307</v>
      </c>
      <c r="O1653" s="26">
        <v>3.0</v>
      </c>
    </row>
    <row r="1654" ht="15.75" customHeight="1">
      <c r="A1654" s="26" t="s">
        <v>6472</v>
      </c>
      <c r="B1654" s="26" t="s">
        <v>6473</v>
      </c>
      <c r="C1654" s="26" t="s">
        <v>363</v>
      </c>
      <c r="D1654" s="26" t="s">
        <v>45</v>
      </c>
      <c r="E1654" s="26" t="s">
        <v>6474</v>
      </c>
      <c r="F1654" s="26" t="s">
        <v>2178</v>
      </c>
      <c r="G1654" s="26" t="s">
        <v>161</v>
      </c>
      <c r="H1654" s="26" t="s">
        <v>57</v>
      </c>
      <c r="I1654" s="26"/>
      <c r="J1654" s="26">
        <v>1.0</v>
      </c>
      <c r="K1654" s="26" t="s">
        <v>6475</v>
      </c>
      <c r="L1654" s="26" t="s">
        <v>15</v>
      </c>
      <c r="M1654" s="26" t="s">
        <v>81</v>
      </c>
      <c r="N1654" s="26" t="s">
        <v>307</v>
      </c>
      <c r="O1654" s="26">
        <v>1.0</v>
      </c>
    </row>
    <row r="1655" ht="15.75" customHeight="1">
      <c r="A1655" s="26" t="s">
        <v>6476</v>
      </c>
      <c r="B1655" s="26" t="s">
        <v>6477</v>
      </c>
      <c r="C1655" s="26" t="s">
        <v>300</v>
      </c>
      <c r="D1655" s="26" t="s">
        <v>48</v>
      </c>
      <c r="E1655" s="26" t="s">
        <v>6478</v>
      </c>
      <c r="F1655" s="26" t="s">
        <v>1014</v>
      </c>
      <c r="G1655" s="26" t="s">
        <v>248</v>
      </c>
      <c r="H1655" s="26" t="s">
        <v>46</v>
      </c>
      <c r="I1655" s="26"/>
      <c r="J1655" s="26">
        <v>1.0</v>
      </c>
      <c r="K1655" s="26" t="s">
        <v>6479</v>
      </c>
      <c r="L1655" s="26" t="s">
        <v>15</v>
      </c>
      <c r="M1655" s="26" t="s">
        <v>81</v>
      </c>
      <c r="N1655" s="26" t="s">
        <v>307</v>
      </c>
      <c r="O1655" s="26">
        <v>4.0</v>
      </c>
    </row>
    <row r="1656" ht="15.75" customHeight="1">
      <c r="A1656" s="26" t="s">
        <v>6480</v>
      </c>
      <c r="B1656" s="26" t="s">
        <v>6481</v>
      </c>
      <c r="C1656" s="26" t="s">
        <v>4397</v>
      </c>
      <c r="D1656" s="26" t="s">
        <v>72</v>
      </c>
      <c r="E1656" s="26" t="s">
        <v>6482</v>
      </c>
      <c r="F1656" s="26" t="s">
        <v>1973</v>
      </c>
      <c r="G1656" s="26" t="s">
        <v>1143</v>
      </c>
      <c r="H1656" s="26" t="s">
        <v>61</v>
      </c>
      <c r="I1656" s="26"/>
      <c r="J1656" s="26">
        <v>1.0</v>
      </c>
      <c r="K1656" s="26" t="s">
        <v>6483</v>
      </c>
      <c r="L1656" s="26" t="s">
        <v>15</v>
      </c>
      <c r="M1656" s="26" t="s">
        <v>81</v>
      </c>
      <c r="N1656" s="26" t="s">
        <v>307</v>
      </c>
      <c r="O1656" s="26">
        <v>11.0</v>
      </c>
    </row>
    <row r="1657" ht="15.75" customHeight="1">
      <c r="A1657" s="26" t="s">
        <v>6484</v>
      </c>
      <c r="B1657" s="26" t="s">
        <v>6485</v>
      </c>
      <c r="C1657" s="26" t="s">
        <v>363</v>
      </c>
      <c r="D1657" s="26" t="s">
        <v>36</v>
      </c>
      <c r="E1657" s="26" t="s">
        <v>6486</v>
      </c>
      <c r="F1657" s="26" t="s">
        <v>760</v>
      </c>
      <c r="G1657" s="26" t="s">
        <v>51</v>
      </c>
      <c r="H1657" s="26" t="s">
        <v>52</v>
      </c>
      <c r="I1657" s="26" t="s">
        <v>82</v>
      </c>
      <c r="J1657" s="26">
        <v>2.0</v>
      </c>
      <c r="K1657" s="26" t="s">
        <v>6487</v>
      </c>
      <c r="L1657" s="26" t="s">
        <v>15</v>
      </c>
      <c r="M1657" s="26" t="s">
        <v>81</v>
      </c>
      <c r="N1657" s="26" t="s">
        <v>307</v>
      </c>
      <c r="O1657" s="26">
        <v>1.0</v>
      </c>
    </row>
    <row r="1658" ht="15.75" customHeight="1">
      <c r="A1658" s="26" t="s">
        <v>6488</v>
      </c>
      <c r="B1658" s="26" t="s">
        <v>6489</v>
      </c>
      <c r="C1658" s="26" t="s">
        <v>363</v>
      </c>
      <c r="D1658" s="26" t="s">
        <v>59</v>
      </c>
      <c r="E1658" s="26" t="s">
        <v>6490</v>
      </c>
      <c r="F1658" s="26" t="s">
        <v>1125</v>
      </c>
      <c r="G1658" s="26" t="s">
        <v>113</v>
      </c>
      <c r="H1658" s="26" t="s">
        <v>49</v>
      </c>
      <c r="I1658" s="26" t="s">
        <v>373</v>
      </c>
      <c r="J1658" s="26">
        <v>2.0</v>
      </c>
      <c r="K1658" s="26" t="s">
        <v>6491</v>
      </c>
      <c r="L1658" s="26" t="s">
        <v>19</v>
      </c>
      <c r="M1658" s="26" t="s">
        <v>87</v>
      </c>
      <c r="N1658" s="26" t="s">
        <v>307</v>
      </c>
      <c r="O1658" s="26">
        <v>4.0</v>
      </c>
    </row>
    <row r="1659" ht="15.75" customHeight="1">
      <c r="A1659" s="26" t="s">
        <v>6492</v>
      </c>
      <c r="B1659" s="26" t="s">
        <v>6493</v>
      </c>
      <c r="C1659" s="26" t="s">
        <v>322</v>
      </c>
      <c r="D1659" s="26" t="s">
        <v>36</v>
      </c>
      <c r="E1659" s="26" t="s">
        <v>6494</v>
      </c>
      <c r="F1659" s="26" t="s">
        <v>3132</v>
      </c>
      <c r="G1659" s="26" t="s">
        <v>77</v>
      </c>
      <c r="H1659" s="26" t="s">
        <v>46</v>
      </c>
      <c r="I1659" s="26"/>
      <c r="J1659" s="26">
        <v>0.0</v>
      </c>
      <c r="K1659" s="26" t="s">
        <v>136</v>
      </c>
      <c r="L1659" s="26" t="s">
        <v>29</v>
      </c>
      <c r="M1659" s="26" t="s">
        <v>95</v>
      </c>
      <c r="N1659" s="26" t="s">
        <v>307</v>
      </c>
      <c r="O1659" s="26">
        <v>1.0</v>
      </c>
    </row>
    <row r="1660" ht="15.75" customHeight="1">
      <c r="A1660" s="26" t="s">
        <v>6495</v>
      </c>
      <c r="B1660" s="26" t="s">
        <v>6496</v>
      </c>
      <c r="C1660" s="26" t="s">
        <v>300</v>
      </c>
      <c r="D1660" s="26" t="s">
        <v>36</v>
      </c>
      <c r="E1660" s="26" t="s">
        <v>6497</v>
      </c>
      <c r="F1660" s="26" t="s">
        <v>663</v>
      </c>
      <c r="G1660" s="26" t="s">
        <v>44</v>
      </c>
      <c r="H1660" s="26" t="s">
        <v>34</v>
      </c>
      <c r="I1660" s="26"/>
      <c r="J1660" s="26">
        <v>1.0</v>
      </c>
      <c r="K1660" s="26" t="s">
        <v>3073</v>
      </c>
      <c r="L1660" s="26" t="s">
        <v>15</v>
      </c>
      <c r="M1660" s="26" t="s">
        <v>87</v>
      </c>
      <c r="N1660" s="26" t="s">
        <v>307</v>
      </c>
      <c r="O1660" s="26">
        <v>1.0</v>
      </c>
    </row>
    <row r="1661" ht="15.75" customHeight="1">
      <c r="A1661" s="26" t="s">
        <v>6498</v>
      </c>
      <c r="B1661" s="26" t="s">
        <v>6499</v>
      </c>
      <c r="C1661" s="26" t="s">
        <v>363</v>
      </c>
      <c r="D1661" s="26" t="s">
        <v>36</v>
      </c>
      <c r="E1661" s="26" t="s">
        <v>6500</v>
      </c>
      <c r="F1661" s="26" t="s">
        <v>1292</v>
      </c>
      <c r="G1661" s="26" t="s">
        <v>65</v>
      </c>
      <c r="H1661" s="26" t="s">
        <v>34</v>
      </c>
      <c r="I1661" s="26" t="s">
        <v>92</v>
      </c>
      <c r="J1661" s="26">
        <v>2.0</v>
      </c>
      <c r="K1661" s="26" t="s">
        <v>6501</v>
      </c>
      <c r="L1661" s="26" t="s">
        <v>15</v>
      </c>
      <c r="M1661" s="26" t="s">
        <v>81</v>
      </c>
      <c r="N1661" s="26" t="s">
        <v>307</v>
      </c>
      <c r="O1661" s="26">
        <v>3.0</v>
      </c>
    </row>
    <row r="1662" ht="15.75" customHeight="1">
      <c r="A1662" s="26" t="s">
        <v>6502</v>
      </c>
      <c r="B1662" s="26" t="s">
        <v>6503</v>
      </c>
      <c r="C1662" s="26" t="s">
        <v>363</v>
      </c>
      <c r="D1662" s="26" t="s">
        <v>50</v>
      </c>
      <c r="E1662" s="26" t="s">
        <v>6504</v>
      </c>
      <c r="F1662" s="26" t="s">
        <v>1309</v>
      </c>
      <c r="G1662" s="26" t="s">
        <v>245</v>
      </c>
      <c r="H1662" s="26" t="s">
        <v>57</v>
      </c>
      <c r="I1662" s="26"/>
      <c r="J1662" s="26">
        <v>1.0</v>
      </c>
      <c r="K1662" s="26" t="s">
        <v>6505</v>
      </c>
      <c r="L1662" s="26" t="s">
        <v>15</v>
      </c>
      <c r="M1662" s="26" t="s">
        <v>81</v>
      </c>
      <c r="N1662" s="26" t="s">
        <v>307</v>
      </c>
      <c r="O1662" s="26">
        <v>3.0</v>
      </c>
    </row>
    <row r="1663" ht="15.75" customHeight="1">
      <c r="A1663" s="26" t="s">
        <v>6506</v>
      </c>
      <c r="B1663" s="26" t="s">
        <v>6507</v>
      </c>
      <c r="C1663" s="26" t="s">
        <v>892</v>
      </c>
      <c r="D1663" s="26" t="s">
        <v>36</v>
      </c>
      <c r="E1663" s="26" t="s">
        <v>170</v>
      </c>
      <c r="F1663" s="26" t="s">
        <v>3132</v>
      </c>
      <c r="G1663" s="26" t="s">
        <v>77</v>
      </c>
      <c r="H1663" s="26" t="s">
        <v>46</v>
      </c>
      <c r="I1663" s="26"/>
      <c r="J1663" s="26">
        <v>0.0</v>
      </c>
      <c r="K1663" s="26" t="s">
        <v>6508</v>
      </c>
      <c r="L1663" s="26" t="s">
        <v>15</v>
      </c>
      <c r="M1663" s="26" t="s">
        <v>81</v>
      </c>
      <c r="N1663" s="26" t="s">
        <v>307</v>
      </c>
      <c r="O1663" s="26">
        <v>2.0</v>
      </c>
    </row>
    <row r="1664" ht="15.75" customHeight="1">
      <c r="A1664" s="26" t="s">
        <v>6509</v>
      </c>
      <c r="B1664" s="26" t="s">
        <v>6510</v>
      </c>
      <c r="C1664" s="26" t="s">
        <v>363</v>
      </c>
      <c r="D1664" s="26" t="s">
        <v>79</v>
      </c>
      <c r="E1664" s="26" t="s">
        <v>6511</v>
      </c>
      <c r="F1664" s="26" t="s">
        <v>1269</v>
      </c>
      <c r="G1664" s="26" t="s">
        <v>1271</v>
      </c>
      <c r="H1664" s="26" t="s">
        <v>34</v>
      </c>
      <c r="I1664" s="26" t="s">
        <v>255</v>
      </c>
      <c r="J1664" s="26">
        <v>3.0</v>
      </c>
      <c r="K1664" s="26" t="s">
        <v>6512</v>
      </c>
      <c r="L1664" s="26" t="s">
        <v>15</v>
      </c>
      <c r="M1664" s="26" t="s">
        <v>81</v>
      </c>
      <c r="N1664" s="26" t="s">
        <v>307</v>
      </c>
      <c r="O1664" s="26">
        <v>3.0</v>
      </c>
    </row>
    <row r="1665" ht="15.75" customHeight="1">
      <c r="A1665" s="26" t="s">
        <v>6513</v>
      </c>
      <c r="B1665" s="26" t="s">
        <v>6514</v>
      </c>
      <c r="C1665" s="26" t="s">
        <v>312</v>
      </c>
      <c r="D1665" s="26" t="s">
        <v>79</v>
      </c>
      <c r="E1665" s="26" t="s">
        <v>6515</v>
      </c>
      <c r="F1665" s="26" t="s">
        <v>2863</v>
      </c>
      <c r="G1665" s="26" t="s">
        <v>1260</v>
      </c>
      <c r="H1665" s="26" t="s">
        <v>34</v>
      </c>
      <c r="I1665" s="26"/>
      <c r="J1665" s="26">
        <v>1.0</v>
      </c>
      <c r="K1665" s="26" t="s">
        <v>1270</v>
      </c>
      <c r="L1665" s="26" t="s">
        <v>15</v>
      </c>
      <c r="M1665" s="26" t="s">
        <v>81</v>
      </c>
      <c r="N1665" s="26" t="s">
        <v>307</v>
      </c>
      <c r="O1665" s="26">
        <v>3.0</v>
      </c>
    </row>
    <row r="1666" ht="15.75" customHeight="1">
      <c r="A1666" s="26" t="s">
        <v>6516</v>
      </c>
      <c r="B1666" s="26" t="s">
        <v>6517</v>
      </c>
      <c r="C1666" s="26" t="s">
        <v>363</v>
      </c>
      <c r="D1666" s="26" t="s">
        <v>72</v>
      </c>
      <c r="E1666" s="26" t="s">
        <v>1175</v>
      </c>
      <c r="F1666" s="26" t="s">
        <v>4999</v>
      </c>
      <c r="G1666" s="26" t="s">
        <v>110</v>
      </c>
      <c r="H1666" s="26" t="s">
        <v>71</v>
      </c>
      <c r="I1666" s="26"/>
      <c r="J1666" s="26">
        <v>1.0</v>
      </c>
      <c r="K1666" s="26" t="s">
        <v>1176</v>
      </c>
      <c r="L1666" s="26" t="s">
        <v>15</v>
      </c>
      <c r="M1666" s="26" t="s">
        <v>81</v>
      </c>
      <c r="N1666" s="26" t="s">
        <v>307</v>
      </c>
      <c r="O1666" s="26">
        <v>5.0</v>
      </c>
    </row>
    <row r="1667" ht="15.75" customHeight="1">
      <c r="A1667" s="26" t="s">
        <v>6518</v>
      </c>
      <c r="B1667" s="26" t="s">
        <v>6519</v>
      </c>
      <c r="C1667" s="26" t="s">
        <v>363</v>
      </c>
      <c r="D1667" s="26" t="s">
        <v>89</v>
      </c>
      <c r="E1667" s="26" t="s">
        <v>6520</v>
      </c>
      <c r="F1667" s="26" t="s">
        <v>1673</v>
      </c>
      <c r="G1667" s="26" t="s">
        <v>1395</v>
      </c>
      <c r="H1667" s="26" t="s">
        <v>46</v>
      </c>
      <c r="I1667" s="26"/>
      <c r="J1667" s="26">
        <v>0.0</v>
      </c>
      <c r="K1667" s="26" t="s">
        <v>6521</v>
      </c>
      <c r="L1667" s="26" t="s">
        <v>23</v>
      </c>
      <c r="M1667" s="26" t="s">
        <v>94</v>
      </c>
      <c r="N1667" s="26" t="s">
        <v>307</v>
      </c>
      <c r="O1667" s="26">
        <v>1.0</v>
      </c>
    </row>
    <row r="1668" ht="15.75" customHeight="1">
      <c r="A1668" s="26" t="s">
        <v>6522</v>
      </c>
      <c r="B1668" s="26" t="s">
        <v>6523</v>
      </c>
      <c r="C1668" s="26" t="s">
        <v>363</v>
      </c>
      <c r="D1668" s="26" t="s">
        <v>45</v>
      </c>
      <c r="E1668" s="26" t="s">
        <v>6524</v>
      </c>
      <c r="F1668" s="26" t="s">
        <v>799</v>
      </c>
      <c r="G1668" s="26" t="s">
        <v>130</v>
      </c>
      <c r="H1668" s="26" t="s">
        <v>34</v>
      </c>
      <c r="I1668" s="26" t="s">
        <v>166</v>
      </c>
      <c r="J1668" s="26">
        <v>3.0</v>
      </c>
      <c r="K1668" s="26" t="s">
        <v>418</v>
      </c>
      <c r="L1668" s="26" t="s">
        <v>23</v>
      </c>
      <c r="M1668" s="26" t="s">
        <v>94</v>
      </c>
      <c r="N1668" s="26" t="s">
        <v>307</v>
      </c>
      <c r="O1668" s="26">
        <v>1.0</v>
      </c>
    </row>
    <row r="1669" ht="15.75" customHeight="1">
      <c r="A1669" s="26" t="s">
        <v>6525</v>
      </c>
      <c r="B1669" s="26" t="s">
        <v>6526</v>
      </c>
      <c r="C1669" s="26" t="s">
        <v>429</v>
      </c>
      <c r="D1669" s="26" t="s">
        <v>36</v>
      </c>
      <c r="E1669" s="26" t="s">
        <v>6527</v>
      </c>
      <c r="F1669" s="26" t="s">
        <v>315</v>
      </c>
      <c r="G1669" s="26" t="s">
        <v>47</v>
      </c>
      <c r="H1669" s="26" t="s">
        <v>34</v>
      </c>
      <c r="I1669" s="26" t="s">
        <v>88</v>
      </c>
      <c r="J1669" s="26">
        <v>8.0</v>
      </c>
      <c r="K1669" s="26" t="s">
        <v>136</v>
      </c>
      <c r="L1669" s="26" t="s">
        <v>29</v>
      </c>
      <c r="M1669" s="26" t="s">
        <v>95</v>
      </c>
      <c r="N1669" s="26" t="s">
        <v>307</v>
      </c>
      <c r="O1669" s="26">
        <v>9.0</v>
      </c>
    </row>
    <row r="1670" ht="15.75" customHeight="1">
      <c r="A1670" s="26" t="s">
        <v>6528</v>
      </c>
      <c r="B1670" s="26" t="s">
        <v>6529</v>
      </c>
      <c r="C1670" s="26" t="s">
        <v>429</v>
      </c>
      <c r="D1670" s="26" t="s">
        <v>36</v>
      </c>
      <c r="E1670" s="26" t="s">
        <v>6527</v>
      </c>
      <c r="F1670" s="26" t="s">
        <v>315</v>
      </c>
      <c r="G1670" s="26" t="s">
        <v>47</v>
      </c>
      <c r="H1670" s="26" t="s">
        <v>34</v>
      </c>
      <c r="I1670" s="26" t="s">
        <v>88</v>
      </c>
      <c r="J1670" s="26">
        <v>8.0</v>
      </c>
      <c r="K1670" s="26" t="s">
        <v>6530</v>
      </c>
      <c r="L1670" s="26" t="s">
        <v>19</v>
      </c>
      <c r="M1670" s="26" t="s">
        <v>87</v>
      </c>
      <c r="N1670" s="26" t="s">
        <v>307</v>
      </c>
      <c r="O1670" s="26">
        <v>9.0</v>
      </c>
    </row>
    <row r="1671" ht="15.75" customHeight="1">
      <c r="A1671" s="26" t="s">
        <v>6531</v>
      </c>
      <c r="B1671" s="26" t="s">
        <v>6532</v>
      </c>
      <c r="C1671" s="26" t="s">
        <v>312</v>
      </c>
      <c r="D1671" s="26" t="s">
        <v>72</v>
      </c>
      <c r="E1671" s="26" t="s">
        <v>6533</v>
      </c>
      <c r="F1671" s="26" t="s">
        <v>1394</v>
      </c>
      <c r="G1671" s="26" t="s">
        <v>109</v>
      </c>
      <c r="H1671" s="26" t="s">
        <v>61</v>
      </c>
      <c r="I1671" s="26"/>
      <c r="J1671" s="26">
        <v>1.0</v>
      </c>
      <c r="K1671" s="26" t="s">
        <v>136</v>
      </c>
      <c r="L1671" s="26" t="s">
        <v>29</v>
      </c>
      <c r="M1671" s="26" t="s">
        <v>95</v>
      </c>
      <c r="N1671" s="26" t="s">
        <v>307</v>
      </c>
      <c r="O1671" s="26">
        <v>9.0</v>
      </c>
    </row>
    <row r="1672" ht="15.75" customHeight="1">
      <c r="A1672" s="26" t="s">
        <v>6534</v>
      </c>
      <c r="B1672" s="26" t="s">
        <v>6532</v>
      </c>
      <c r="C1672" s="26" t="s">
        <v>363</v>
      </c>
      <c r="D1672" s="26" t="s">
        <v>72</v>
      </c>
      <c r="E1672" s="26" t="s">
        <v>6535</v>
      </c>
      <c r="F1672" s="26" t="s">
        <v>2422</v>
      </c>
      <c r="G1672" s="26" t="s">
        <v>90</v>
      </c>
      <c r="H1672" s="26" t="s">
        <v>34</v>
      </c>
      <c r="I1672" s="26" t="s">
        <v>109</v>
      </c>
      <c r="J1672" s="26">
        <v>2.0</v>
      </c>
      <c r="K1672" s="26" t="s">
        <v>136</v>
      </c>
      <c r="L1672" s="26" t="s">
        <v>29</v>
      </c>
      <c r="M1672" s="26" t="s">
        <v>95</v>
      </c>
      <c r="N1672" s="26" t="s">
        <v>307</v>
      </c>
      <c r="O1672" s="26">
        <v>9.0</v>
      </c>
    </row>
    <row r="1673" ht="15.75" customHeight="1">
      <c r="A1673" s="26" t="s">
        <v>6536</v>
      </c>
      <c r="B1673" s="26" t="s">
        <v>6537</v>
      </c>
      <c r="C1673" s="26" t="s">
        <v>363</v>
      </c>
      <c r="D1673" s="26" t="s">
        <v>36</v>
      </c>
      <c r="E1673" s="26" t="s">
        <v>6538</v>
      </c>
      <c r="F1673" s="26" t="s">
        <v>760</v>
      </c>
      <c r="G1673" s="26" t="s">
        <v>51</v>
      </c>
      <c r="H1673" s="26" t="s">
        <v>52</v>
      </c>
      <c r="I1673" s="26" t="s">
        <v>82</v>
      </c>
      <c r="J1673" s="26">
        <v>2.0</v>
      </c>
      <c r="K1673" s="26" t="s">
        <v>6539</v>
      </c>
      <c r="L1673" s="26" t="s">
        <v>15</v>
      </c>
      <c r="M1673" s="26" t="s">
        <v>81</v>
      </c>
      <c r="N1673" s="26" t="s">
        <v>307</v>
      </c>
      <c r="O1673" s="26">
        <v>5.0</v>
      </c>
    </row>
    <row r="1674" ht="15.75" customHeight="1">
      <c r="A1674" s="26" t="s">
        <v>6540</v>
      </c>
      <c r="B1674" s="26" t="s">
        <v>6541</v>
      </c>
      <c r="C1674" s="26" t="s">
        <v>322</v>
      </c>
      <c r="D1674" s="26" t="s">
        <v>72</v>
      </c>
      <c r="E1674" s="26" t="s">
        <v>1127</v>
      </c>
      <c r="F1674" s="26" t="s">
        <v>1394</v>
      </c>
      <c r="G1674" s="26" t="s">
        <v>109</v>
      </c>
      <c r="H1674" s="26" t="s">
        <v>61</v>
      </c>
      <c r="I1674" s="26"/>
      <c r="J1674" s="26">
        <v>1.0</v>
      </c>
      <c r="K1674" s="26" t="s">
        <v>136</v>
      </c>
      <c r="L1674" s="26" t="s">
        <v>29</v>
      </c>
      <c r="M1674" s="26" t="s">
        <v>95</v>
      </c>
      <c r="N1674" s="26" t="s">
        <v>307</v>
      </c>
      <c r="O1674" s="26">
        <v>9.0</v>
      </c>
    </row>
    <row r="1675" ht="15.75" customHeight="1">
      <c r="A1675" s="26" t="s">
        <v>6542</v>
      </c>
      <c r="B1675" s="26" t="s">
        <v>6543</v>
      </c>
      <c r="C1675" s="26" t="s">
        <v>363</v>
      </c>
      <c r="D1675" s="26" t="s">
        <v>36</v>
      </c>
      <c r="E1675" s="26" t="s">
        <v>174</v>
      </c>
      <c r="F1675" s="26" t="s">
        <v>2025</v>
      </c>
      <c r="G1675" s="26" t="s">
        <v>82</v>
      </c>
      <c r="H1675" s="26" t="s">
        <v>34</v>
      </c>
      <c r="I1675" s="26"/>
      <c r="J1675" s="26">
        <v>1.0</v>
      </c>
      <c r="K1675" s="26" t="s">
        <v>175</v>
      </c>
      <c r="L1675" s="26" t="s">
        <v>29</v>
      </c>
      <c r="M1675" s="26" t="s">
        <v>95</v>
      </c>
      <c r="N1675" s="26" t="s">
        <v>307</v>
      </c>
      <c r="O1675" s="26">
        <v>9.0</v>
      </c>
    </row>
    <row r="1676" ht="15.75" customHeight="1">
      <c r="A1676" s="26" t="s">
        <v>6544</v>
      </c>
      <c r="B1676" s="26" t="s">
        <v>6545</v>
      </c>
      <c r="C1676" s="26" t="s">
        <v>363</v>
      </c>
      <c r="D1676" s="26" t="s">
        <v>45</v>
      </c>
      <c r="E1676" s="26" t="s">
        <v>360</v>
      </c>
      <c r="F1676" s="26" t="s">
        <v>2435</v>
      </c>
      <c r="G1676" s="26" t="s">
        <v>196</v>
      </c>
      <c r="H1676" s="26" t="s">
        <v>52</v>
      </c>
      <c r="I1676" s="26" t="s">
        <v>169</v>
      </c>
      <c r="J1676" s="26">
        <v>2.0</v>
      </c>
      <c r="K1676" s="26" t="s">
        <v>362</v>
      </c>
      <c r="L1676" s="26" t="s">
        <v>29</v>
      </c>
      <c r="M1676" s="26" t="s">
        <v>95</v>
      </c>
      <c r="N1676" s="26" t="s">
        <v>307</v>
      </c>
      <c r="O1676" s="26">
        <v>1.0</v>
      </c>
    </row>
    <row r="1677" ht="15.75" customHeight="1">
      <c r="A1677" s="26" t="s">
        <v>6546</v>
      </c>
      <c r="B1677" s="26" t="s">
        <v>6547</v>
      </c>
      <c r="C1677" s="26" t="s">
        <v>322</v>
      </c>
      <c r="D1677" s="26" t="s">
        <v>72</v>
      </c>
      <c r="E1677" s="26" t="s">
        <v>6548</v>
      </c>
      <c r="F1677" s="26" t="s">
        <v>1394</v>
      </c>
      <c r="G1677" s="26" t="s">
        <v>109</v>
      </c>
      <c r="H1677" s="26" t="s">
        <v>61</v>
      </c>
      <c r="I1677" s="26"/>
      <c r="J1677" s="26">
        <v>1.0</v>
      </c>
      <c r="K1677" s="26" t="s">
        <v>6549</v>
      </c>
      <c r="L1677" s="26" t="s">
        <v>15</v>
      </c>
      <c r="M1677" s="26" t="s">
        <v>81</v>
      </c>
      <c r="N1677" s="26" t="s">
        <v>307</v>
      </c>
      <c r="O1677" s="26">
        <v>9.0</v>
      </c>
    </row>
    <row r="1678" ht="15.75" customHeight="1">
      <c r="A1678" s="26" t="s">
        <v>6550</v>
      </c>
      <c r="B1678" s="26" t="s">
        <v>6551</v>
      </c>
      <c r="C1678" s="26" t="s">
        <v>363</v>
      </c>
      <c r="D1678" s="26" t="s">
        <v>48</v>
      </c>
      <c r="E1678" s="26" t="s">
        <v>1797</v>
      </c>
      <c r="F1678" s="26" t="s">
        <v>1727</v>
      </c>
      <c r="G1678" s="26" t="s">
        <v>284</v>
      </c>
      <c r="H1678" s="26" t="s">
        <v>46</v>
      </c>
      <c r="I1678" s="26"/>
      <c r="J1678" s="26">
        <v>0.0</v>
      </c>
      <c r="K1678" s="26"/>
      <c r="L1678" s="26" t="s">
        <v>25</v>
      </c>
      <c r="M1678" s="26" t="s">
        <v>97</v>
      </c>
      <c r="N1678" s="26" t="s">
        <v>307</v>
      </c>
      <c r="O1678" s="26">
        <v>8.0</v>
      </c>
    </row>
    <row r="1679" ht="15.75" customHeight="1">
      <c r="A1679" s="26" t="s">
        <v>6552</v>
      </c>
      <c r="B1679" s="26" t="s">
        <v>6551</v>
      </c>
      <c r="C1679" s="26" t="s">
        <v>363</v>
      </c>
      <c r="D1679" s="26" t="s">
        <v>48</v>
      </c>
      <c r="E1679" s="26" t="s">
        <v>528</v>
      </c>
      <c r="F1679" s="26" t="s">
        <v>672</v>
      </c>
      <c r="G1679" s="26" t="s">
        <v>339</v>
      </c>
      <c r="H1679" s="26" t="s">
        <v>49</v>
      </c>
      <c r="I1679" s="26"/>
      <c r="J1679" s="26">
        <v>1.0</v>
      </c>
      <c r="K1679" s="26" t="s">
        <v>529</v>
      </c>
      <c r="L1679" s="26" t="s">
        <v>15</v>
      </c>
      <c r="M1679" s="26" t="s">
        <v>81</v>
      </c>
      <c r="N1679" s="26" t="s">
        <v>307</v>
      </c>
      <c r="O1679" s="26">
        <v>5.0</v>
      </c>
    </row>
    <row r="1680" ht="15.75" customHeight="1">
      <c r="A1680" s="26" t="s">
        <v>6553</v>
      </c>
      <c r="B1680" s="26" t="s">
        <v>6554</v>
      </c>
      <c r="C1680" s="26" t="s">
        <v>429</v>
      </c>
      <c r="D1680" s="26" t="s">
        <v>50</v>
      </c>
      <c r="E1680" s="26" t="s">
        <v>6555</v>
      </c>
      <c r="F1680" s="26" t="s">
        <v>336</v>
      </c>
      <c r="G1680" s="26" t="s">
        <v>75</v>
      </c>
      <c r="H1680" s="26" t="s">
        <v>53</v>
      </c>
      <c r="I1680" s="26" t="s">
        <v>189</v>
      </c>
      <c r="J1680" s="26">
        <v>2.0</v>
      </c>
      <c r="K1680" s="26" t="s">
        <v>136</v>
      </c>
      <c r="L1680" s="26" t="s">
        <v>29</v>
      </c>
      <c r="M1680" s="26" t="s">
        <v>95</v>
      </c>
      <c r="N1680" s="26" t="s">
        <v>307</v>
      </c>
      <c r="O1680" s="26">
        <v>8.0</v>
      </c>
    </row>
    <row r="1681" ht="15.75" customHeight="1">
      <c r="A1681" s="26" t="s">
        <v>6556</v>
      </c>
      <c r="B1681" s="26" t="s">
        <v>6557</v>
      </c>
      <c r="C1681" s="26" t="s">
        <v>363</v>
      </c>
      <c r="D1681" s="26" t="s">
        <v>59</v>
      </c>
      <c r="E1681" s="26" t="s">
        <v>6558</v>
      </c>
      <c r="F1681" s="26" t="s">
        <v>1125</v>
      </c>
      <c r="G1681" s="26" t="s">
        <v>113</v>
      </c>
      <c r="H1681" s="26" t="s">
        <v>49</v>
      </c>
      <c r="I1681" s="26"/>
      <c r="J1681" s="26">
        <v>1.0</v>
      </c>
      <c r="K1681" s="26" t="s">
        <v>6559</v>
      </c>
      <c r="L1681" s="26" t="s">
        <v>19</v>
      </c>
      <c r="M1681" s="26" t="s">
        <v>87</v>
      </c>
      <c r="N1681" s="26" t="s">
        <v>307</v>
      </c>
      <c r="O1681" s="26">
        <v>2.0</v>
      </c>
    </row>
    <row r="1682" ht="15.75" customHeight="1">
      <c r="A1682" s="26" t="s">
        <v>6560</v>
      </c>
      <c r="B1682" s="26" t="s">
        <v>6561</v>
      </c>
      <c r="C1682" s="26" t="s">
        <v>363</v>
      </c>
      <c r="D1682" s="26" t="s">
        <v>36</v>
      </c>
      <c r="E1682" s="26" t="s">
        <v>6562</v>
      </c>
      <c r="F1682" s="26" t="s">
        <v>1660</v>
      </c>
      <c r="G1682" s="26" t="s">
        <v>112</v>
      </c>
      <c r="H1682" s="26" t="s">
        <v>53</v>
      </c>
      <c r="I1682" s="26" t="s">
        <v>92</v>
      </c>
      <c r="J1682" s="26">
        <v>2.0</v>
      </c>
      <c r="K1682" s="26" t="s">
        <v>6563</v>
      </c>
      <c r="L1682" s="26" t="s">
        <v>15</v>
      </c>
      <c r="M1682" s="26" t="s">
        <v>81</v>
      </c>
      <c r="N1682" s="26" t="s">
        <v>307</v>
      </c>
      <c r="O1682" s="26">
        <v>5.0</v>
      </c>
    </row>
    <row r="1683" ht="15.75" customHeight="1">
      <c r="A1683" s="26" t="s">
        <v>6564</v>
      </c>
      <c r="B1683" s="26" t="s">
        <v>6565</v>
      </c>
      <c r="C1683" s="26" t="s">
        <v>363</v>
      </c>
      <c r="D1683" s="26" t="s">
        <v>54</v>
      </c>
      <c r="E1683" s="26" t="s">
        <v>6566</v>
      </c>
      <c r="F1683" s="26" t="s">
        <v>347</v>
      </c>
      <c r="G1683" s="26" t="s">
        <v>99</v>
      </c>
      <c r="H1683" s="26" t="s">
        <v>49</v>
      </c>
      <c r="I1683" s="26"/>
      <c r="J1683" s="26">
        <v>1.0</v>
      </c>
      <c r="K1683" s="26" t="s">
        <v>6567</v>
      </c>
      <c r="L1683" s="26" t="s">
        <v>23</v>
      </c>
      <c r="M1683" s="26" t="s">
        <v>94</v>
      </c>
      <c r="N1683" s="26" t="s">
        <v>307</v>
      </c>
      <c r="O1683" s="26">
        <v>0.0</v>
      </c>
    </row>
    <row r="1684" ht="15.75" customHeight="1">
      <c r="A1684" s="26" t="s">
        <v>6568</v>
      </c>
      <c r="B1684" s="26" t="s">
        <v>6569</v>
      </c>
      <c r="C1684" s="26" t="s">
        <v>363</v>
      </c>
      <c r="D1684" s="26" t="s">
        <v>36</v>
      </c>
      <c r="E1684" s="26" t="s">
        <v>6570</v>
      </c>
      <c r="F1684" s="26" t="s">
        <v>485</v>
      </c>
      <c r="G1684" s="26" t="s">
        <v>92</v>
      </c>
      <c r="H1684" s="26" t="s">
        <v>52</v>
      </c>
      <c r="I1684" s="26"/>
      <c r="J1684" s="26">
        <v>1.0</v>
      </c>
      <c r="K1684" s="26" t="s">
        <v>6571</v>
      </c>
      <c r="L1684" s="26" t="s">
        <v>15</v>
      </c>
      <c r="M1684" s="26" t="s">
        <v>87</v>
      </c>
      <c r="N1684" s="26" t="s">
        <v>307</v>
      </c>
      <c r="O1684" s="26">
        <v>4.0</v>
      </c>
    </row>
    <row r="1685" ht="15.75" customHeight="1">
      <c r="A1685" s="26" t="s">
        <v>6572</v>
      </c>
      <c r="B1685" s="26" t="s">
        <v>6573</v>
      </c>
      <c r="C1685" s="26" t="s">
        <v>892</v>
      </c>
      <c r="D1685" s="26" t="s">
        <v>36</v>
      </c>
      <c r="E1685" s="26" t="s">
        <v>6574</v>
      </c>
      <c r="F1685" s="26" t="s">
        <v>3254</v>
      </c>
      <c r="G1685" s="26" t="s">
        <v>108</v>
      </c>
      <c r="H1685" s="26" t="s">
        <v>57</v>
      </c>
      <c r="I1685" s="26" t="s">
        <v>101</v>
      </c>
      <c r="J1685" s="26">
        <v>2.0</v>
      </c>
      <c r="K1685" s="26" t="s">
        <v>6575</v>
      </c>
      <c r="L1685" s="26" t="s">
        <v>23</v>
      </c>
      <c r="M1685" s="26" t="s">
        <v>94</v>
      </c>
      <c r="N1685" s="26" t="s">
        <v>307</v>
      </c>
      <c r="O1685" s="26">
        <v>4.0</v>
      </c>
    </row>
    <row r="1686" ht="15.75" customHeight="1">
      <c r="A1686" s="26" t="s">
        <v>6576</v>
      </c>
      <c r="B1686" s="26" t="s">
        <v>6577</v>
      </c>
      <c r="C1686" s="26" t="s">
        <v>322</v>
      </c>
      <c r="D1686" s="26" t="s">
        <v>36</v>
      </c>
      <c r="E1686" s="26" t="s">
        <v>6578</v>
      </c>
      <c r="F1686" s="26" t="s">
        <v>1657</v>
      </c>
      <c r="G1686" s="26" t="s">
        <v>101</v>
      </c>
      <c r="H1686" s="26" t="s">
        <v>46</v>
      </c>
      <c r="I1686" s="26"/>
      <c r="J1686" s="26">
        <v>1.0</v>
      </c>
      <c r="K1686" s="26" t="s">
        <v>6575</v>
      </c>
      <c r="L1686" s="26" t="s">
        <v>23</v>
      </c>
      <c r="M1686" s="26" t="s">
        <v>94</v>
      </c>
      <c r="N1686" s="26" t="s">
        <v>307</v>
      </c>
      <c r="O1686" s="26">
        <v>4.0</v>
      </c>
    </row>
    <row r="1687" ht="15.75" customHeight="1">
      <c r="A1687" s="26" t="s">
        <v>6579</v>
      </c>
      <c r="B1687" s="26" t="s">
        <v>6580</v>
      </c>
      <c r="C1687" s="26" t="s">
        <v>363</v>
      </c>
      <c r="D1687" s="26" t="s">
        <v>36</v>
      </c>
      <c r="E1687" s="26" t="s">
        <v>6581</v>
      </c>
      <c r="F1687" s="26" t="s">
        <v>760</v>
      </c>
      <c r="G1687" s="26" t="s">
        <v>51</v>
      </c>
      <c r="H1687" s="26" t="s">
        <v>52</v>
      </c>
      <c r="I1687" s="26"/>
      <c r="J1687" s="26">
        <v>1.0</v>
      </c>
      <c r="K1687" s="26" t="s">
        <v>6539</v>
      </c>
      <c r="L1687" s="26" t="s">
        <v>15</v>
      </c>
      <c r="M1687" s="26" t="s">
        <v>81</v>
      </c>
      <c r="N1687" s="26" t="s">
        <v>307</v>
      </c>
      <c r="O1687" s="26">
        <v>3.0</v>
      </c>
    </row>
    <row r="1688" ht="15.75" customHeight="1">
      <c r="A1688" s="26" t="s">
        <v>6582</v>
      </c>
      <c r="B1688" s="26" t="s">
        <v>6583</v>
      </c>
      <c r="C1688" s="26" t="s">
        <v>363</v>
      </c>
      <c r="D1688" s="26" t="s">
        <v>36</v>
      </c>
      <c r="E1688" s="26" t="s">
        <v>6584</v>
      </c>
      <c r="F1688" s="26" t="s">
        <v>1583</v>
      </c>
      <c r="G1688" s="26" t="s">
        <v>73</v>
      </c>
      <c r="H1688" s="26" t="s">
        <v>46</v>
      </c>
      <c r="I1688" s="26"/>
      <c r="J1688" s="26">
        <v>1.0</v>
      </c>
      <c r="K1688" s="26" t="s">
        <v>6585</v>
      </c>
      <c r="L1688" s="26" t="s">
        <v>19</v>
      </c>
      <c r="M1688" s="26" t="s">
        <v>87</v>
      </c>
      <c r="N1688" s="26" t="s">
        <v>307</v>
      </c>
      <c r="O1688" s="26">
        <v>4.0</v>
      </c>
    </row>
    <row r="1689" ht="15.75" customHeight="1">
      <c r="A1689" s="26" t="s">
        <v>6586</v>
      </c>
      <c r="B1689" s="26" t="s">
        <v>6587</v>
      </c>
      <c r="C1689" s="26" t="s">
        <v>363</v>
      </c>
      <c r="D1689" s="26" t="s">
        <v>59</v>
      </c>
      <c r="E1689" s="26" t="s">
        <v>6588</v>
      </c>
      <c r="F1689" s="26" t="s">
        <v>372</v>
      </c>
      <c r="G1689" s="26" t="s">
        <v>373</v>
      </c>
      <c r="H1689" s="26" t="s">
        <v>34</v>
      </c>
      <c r="I1689" s="26"/>
      <c r="J1689" s="26">
        <v>1.0</v>
      </c>
      <c r="K1689" s="26" t="s">
        <v>6491</v>
      </c>
      <c r="L1689" s="26" t="s">
        <v>15</v>
      </c>
      <c r="M1689" s="26" t="s">
        <v>87</v>
      </c>
      <c r="N1689" s="26" t="s">
        <v>307</v>
      </c>
      <c r="O1689" s="26">
        <v>1.0</v>
      </c>
    </row>
    <row r="1690" ht="15.75" customHeight="1">
      <c r="A1690" s="26" t="s">
        <v>6589</v>
      </c>
      <c r="B1690" s="26" t="s">
        <v>6590</v>
      </c>
      <c r="C1690" s="26" t="s">
        <v>363</v>
      </c>
      <c r="D1690" s="26" t="s">
        <v>45</v>
      </c>
      <c r="E1690" s="26" t="s">
        <v>6591</v>
      </c>
      <c r="F1690" s="26" t="s">
        <v>2178</v>
      </c>
      <c r="G1690" s="26" t="s">
        <v>161</v>
      </c>
      <c r="H1690" s="26" t="s">
        <v>57</v>
      </c>
      <c r="I1690" s="26" t="s">
        <v>143</v>
      </c>
      <c r="J1690" s="26">
        <v>2.0</v>
      </c>
      <c r="K1690" s="26" t="s">
        <v>6592</v>
      </c>
      <c r="L1690" s="26" t="s">
        <v>15</v>
      </c>
      <c r="M1690" s="26" t="s">
        <v>81</v>
      </c>
      <c r="N1690" s="26" t="s">
        <v>307</v>
      </c>
      <c r="O1690" s="26">
        <v>1.0</v>
      </c>
    </row>
    <row r="1691" ht="15.75" customHeight="1">
      <c r="A1691" s="26" t="s">
        <v>6593</v>
      </c>
      <c r="B1691" s="26" t="s">
        <v>6594</v>
      </c>
      <c r="C1691" s="26" t="s">
        <v>429</v>
      </c>
      <c r="D1691" s="26" t="s">
        <v>45</v>
      </c>
      <c r="E1691" s="26" t="s">
        <v>6595</v>
      </c>
      <c r="F1691" s="26" t="s">
        <v>744</v>
      </c>
      <c r="G1691" s="26" t="s">
        <v>148</v>
      </c>
      <c r="H1691" s="26" t="s">
        <v>34</v>
      </c>
      <c r="I1691" s="26" t="s">
        <v>140</v>
      </c>
      <c r="J1691" s="26">
        <v>4.0</v>
      </c>
      <c r="K1691" s="26" t="s">
        <v>5868</v>
      </c>
      <c r="L1691" s="26" t="s">
        <v>15</v>
      </c>
      <c r="M1691" s="26" t="s">
        <v>81</v>
      </c>
      <c r="N1691" s="26" t="s">
        <v>307</v>
      </c>
      <c r="O1691" s="26">
        <v>1.0</v>
      </c>
    </row>
    <row r="1692" ht="15.75" customHeight="1">
      <c r="A1692" s="26" t="s">
        <v>6596</v>
      </c>
      <c r="B1692" s="26" t="s">
        <v>6597</v>
      </c>
      <c r="C1692" s="26" t="s">
        <v>363</v>
      </c>
      <c r="D1692" s="26" t="s">
        <v>59</v>
      </c>
      <c r="E1692" s="26" t="s">
        <v>6598</v>
      </c>
      <c r="F1692" s="26" t="s">
        <v>372</v>
      </c>
      <c r="G1692" s="26" t="s">
        <v>373</v>
      </c>
      <c r="H1692" s="26" t="s">
        <v>34</v>
      </c>
      <c r="I1692" s="26"/>
      <c r="J1692" s="26">
        <v>1.0</v>
      </c>
      <c r="K1692" s="26" t="s">
        <v>6491</v>
      </c>
      <c r="L1692" s="26" t="s">
        <v>15</v>
      </c>
      <c r="M1692" s="26" t="s">
        <v>87</v>
      </c>
      <c r="N1692" s="26" t="s">
        <v>307</v>
      </c>
      <c r="O1692" s="26">
        <v>5.0</v>
      </c>
    </row>
    <row r="1693" ht="15.75" customHeight="1">
      <c r="A1693" s="26" t="s">
        <v>6599</v>
      </c>
      <c r="B1693" s="26" t="s">
        <v>6600</v>
      </c>
      <c r="C1693" s="26" t="s">
        <v>363</v>
      </c>
      <c r="D1693" s="26" t="s">
        <v>45</v>
      </c>
      <c r="E1693" s="26" t="s">
        <v>6601</v>
      </c>
      <c r="F1693" s="26" t="s">
        <v>1237</v>
      </c>
      <c r="G1693" s="26" t="s">
        <v>166</v>
      </c>
      <c r="H1693" s="26" t="s">
        <v>46</v>
      </c>
      <c r="I1693" s="26"/>
      <c r="J1693" s="26">
        <v>1.0</v>
      </c>
      <c r="K1693" s="26" t="s">
        <v>6001</v>
      </c>
      <c r="L1693" s="26" t="s">
        <v>15</v>
      </c>
      <c r="M1693" s="26" t="s">
        <v>81</v>
      </c>
      <c r="N1693" s="26" t="s">
        <v>307</v>
      </c>
      <c r="O1693" s="26">
        <v>1.0</v>
      </c>
    </row>
    <row r="1694" ht="15.75" customHeight="1">
      <c r="A1694" s="26" t="s">
        <v>6602</v>
      </c>
      <c r="B1694" s="26" t="s">
        <v>6603</v>
      </c>
      <c r="C1694" s="26" t="s">
        <v>363</v>
      </c>
      <c r="D1694" s="26" t="s">
        <v>45</v>
      </c>
      <c r="E1694" s="26" t="s">
        <v>6604</v>
      </c>
      <c r="F1694" s="26" t="s">
        <v>1403</v>
      </c>
      <c r="G1694" s="26" t="s">
        <v>143</v>
      </c>
      <c r="H1694" s="26" t="s">
        <v>46</v>
      </c>
      <c r="I1694" s="26" t="s">
        <v>204</v>
      </c>
      <c r="J1694" s="26">
        <v>2.0</v>
      </c>
      <c r="K1694" s="26" t="s">
        <v>6605</v>
      </c>
      <c r="L1694" s="26" t="s">
        <v>15</v>
      </c>
      <c r="M1694" s="26" t="s">
        <v>81</v>
      </c>
      <c r="N1694" s="26" t="s">
        <v>307</v>
      </c>
      <c r="O1694" s="26">
        <v>1.0</v>
      </c>
    </row>
    <row r="1695" ht="15.75" customHeight="1">
      <c r="A1695" s="26" t="s">
        <v>6606</v>
      </c>
      <c r="B1695" s="26" t="s">
        <v>6607</v>
      </c>
      <c r="C1695" s="26" t="s">
        <v>322</v>
      </c>
      <c r="D1695" s="26" t="s">
        <v>45</v>
      </c>
      <c r="E1695" s="26" t="s">
        <v>6608</v>
      </c>
      <c r="F1695" s="26" t="s">
        <v>799</v>
      </c>
      <c r="G1695" s="26" t="s">
        <v>130</v>
      </c>
      <c r="H1695" s="26" t="s">
        <v>34</v>
      </c>
      <c r="I1695" s="26" t="s">
        <v>166</v>
      </c>
      <c r="J1695" s="26">
        <v>4.0</v>
      </c>
      <c r="K1695" s="26" t="s">
        <v>6609</v>
      </c>
      <c r="L1695" s="26" t="s">
        <v>19</v>
      </c>
      <c r="M1695" s="26" t="s">
        <v>81</v>
      </c>
      <c r="N1695" s="26" t="s">
        <v>307</v>
      </c>
      <c r="O1695" s="26">
        <v>2.0</v>
      </c>
    </row>
    <row r="1696" ht="15.75" customHeight="1">
      <c r="A1696" s="26" t="s">
        <v>6610</v>
      </c>
      <c r="B1696" s="26" t="s">
        <v>6611</v>
      </c>
      <c r="C1696" s="26" t="s">
        <v>312</v>
      </c>
      <c r="D1696" s="26" t="s">
        <v>50</v>
      </c>
      <c r="E1696" s="26" t="s">
        <v>6612</v>
      </c>
      <c r="F1696" s="26" t="s">
        <v>1309</v>
      </c>
      <c r="G1696" s="26" t="s">
        <v>245</v>
      </c>
      <c r="H1696" s="26" t="s">
        <v>57</v>
      </c>
      <c r="I1696" s="26" t="s">
        <v>328</v>
      </c>
      <c r="J1696" s="26">
        <v>2.0</v>
      </c>
      <c r="K1696" s="26" t="s">
        <v>136</v>
      </c>
      <c r="L1696" s="26" t="s">
        <v>29</v>
      </c>
      <c r="M1696" s="26" t="s">
        <v>95</v>
      </c>
      <c r="N1696" s="26" t="s">
        <v>307</v>
      </c>
      <c r="O1696" s="26">
        <v>6.0</v>
      </c>
    </row>
    <row r="1697" ht="15.75" customHeight="1">
      <c r="A1697" s="26" t="s">
        <v>6613</v>
      </c>
      <c r="B1697" s="26" t="s">
        <v>6614</v>
      </c>
      <c r="C1697" s="26" t="s">
        <v>312</v>
      </c>
      <c r="D1697" s="26" t="s">
        <v>45</v>
      </c>
      <c r="E1697" s="26" t="s">
        <v>6615</v>
      </c>
      <c r="F1697" s="26" t="s">
        <v>2178</v>
      </c>
      <c r="G1697" s="26" t="s">
        <v>161</v>
      </c>
      <c r="H1697" s="26" t="s">
        <v>57</v>
      </c>
      <c r="I1697" s="26"/>
      <c r="J1697" s="26">
        <v>1.0</v>
      </c>
      <c r="K1697" s="26" t="s">
        <v>6616</v>
      </c>
      <c r="L1697" s="26" t="s">
        <v>15</v>
      </c>
      <c r="M1697" s="26" t="s">
        <v>81</v>
      </c>
      <c r="N1697" s="26" t="s">
        <v>307</v>
      </c>
      <c r="O1697" s="26">
        <v>5.0</v>
      </c>
    </row>
    <row r="1698" ht="15.75" customHeight="1">
      <c r="A1698" s="26" t="s">
        <v>6617</v>
      </c>
      <c r="B1698" s="26" t="s">
        <v>6618</v>
      </c>
      <c r="C1698" s="26" t="s">
        <v>312</v>
      </c>
      <c r="D1698" s="26" t="s">
        <v>50</v>
      </c>
      <c r="E1698" s="26" t="s">
        <v>636</v>
      </c>
      <c r="F1698" s="26" t="s">
        <v>1309</v>
      </c>
      <c r="G1698" s="26" t="s">
        <v>245</v>
      </c>
      <c r="H1698" s="26" t="s">
        <v>57</v>
      </c>
      <c r="I1698" s="26" t="s">
        <v>581</v>
      </c>
      <c r="J1698" s="26">
        <v>2.0</v>
      </c>
      <c r="K1698" s="26" t="s">
        <v>637</v>
      </c>
      <c r="L1698" s="26" t="s">
        <v>15</v>
      </c>
      <c r="M1698" s="26" t="s">
        <v>81</v>
      </c>
      <c r="N1698" s="26" t="s">
        <v>307</v>
      </c>
      <c r="O1698" s="26">
        <v>4.0</v>
      </c>
    </row>
    <row r="1699" ht="15.75" customHeight="1">
      <c r="A1699" s="26" t="s">
        <v>6619</v>
      </c>
      <c r="B1699" s="26" t="s">
        <v>6620</v>
      </c>
      <c r="C1699" s="26" t="s">
        <v>300</v>
      </c>
      <c r="D1699" s="26" t="s">
        <v>54</v>
      </c>
      <c r="E1699" s="26" t="s">
        <v>814</v>
      </c>
      <c r="F1699" s="26" t="s">
        <v>5696</v>
      </c>
      <c r="G1699" s="26" t="s">
        <v>196</v>
      </c>
      <c r="H1699" s="26" t="s">
        <v>52</v>
      </c>
      <c r="I1699" s="26"/>
      <c r="J1699" s="26">
        <v>1.0</v>
      </c>
      <c r="K1699" s="26" t="s">
        <v>815</v>
      </c>
      <c r="L1699" s="26" t="s">
        <v>23</v>
      </c>
      <c r="M1699" s="26" t="s">
        <v>94</v>
      </c>
      <c r="N1699" s="26" t="s">
        <v>307</v>
      </c>
      <c r="O1699" s="26">
        <v>2.0</v>
      </c>
    </row>
    <row r="1700" ht="15.75" customHeight="1">
      <c r="A1700" s="26" t="s">
        <v>6621</v>
      </c>
      <c r="B1700" s="26" t="s">
        <v>6622</v>
      </c>
      <c r="C1700" s="26" t="s">
        <v>312</v>
      </c>
      <c r="D1700" s="26" t="s">
        <v>50</v>
      </c>
      <c r="E1700" s="26" t="s">
        <v>6623</v>
      </c>
      <c r="F1700" s="26" t="s">
        <v>336</v>
      </c>
      <c r="G1700" s="26" t="s">
        <v>75</v>
      </c>
      <c r="H1700" s="26" t="s">
        <v>53</v>
      </c>
      <c r="I1700" s="26" t="s">
        <v>189</v>
      </c>
      <c r="J1700" s="26">
        <v>6.0</v>
      </c>
      <c r="K1700" s="26" t="s">
        <v>6624</v>
      </c>
      <c r="L1700" s="26" t="s">
        <v>15</v>
      </c>
      <c r="M1700" s="26" t="s">
        <v>81</v>
      </c>
      <c r="N1700" s="26" t="s">
        <v>307</v>
      </c>
      <c r="O1700" s="26">
        <v>4.0</v>
      </c>
    </row>
    <row r="1701" ht="15.75" customHeight="1">
      <c r="A1701" s="26" t="s">
        <v>6625</v>
      </c>
      <c r="B1701" s="26" t="s">
        <v>6626</v>
      </c>
      <c r="C1701" s="26" t="s">
        <v>363</v>
      </c>
      <c r="D1701" s="26" t="s">
        <v>36</v>
      </c>
      <c r="E1701" s="26" t="s">
        <v>153</v>
      </c>
      <c r="F1701" s="26" t="s">
        <v>681</v>
      </c>
      <c r="G1701" s="26" t="s">
        <v>58</v>
      </c>
      <c r="H1701" s="26" t="s">
        <v>49</v>
      </c>
      <c r="I1701" s="26" t="s">
        <v>92</v>
      </c>
      <c r="J1701" s="26">
        <v>2.0</v>
      </c>
      <c r="K1701" s="26" t="s">
        <v>154</v>
      </c>
      <c r="L1701" s="26" t="s">
        <v>15</v>
      </c>
      <c r="M1701" s="26" t="s">
        <v>81</v>
      </c>
      <c r="N1701" s="26" t="s">
        <v>307</v>
      </c>
      <c r="O1701" s="26">
        <v>4.0</v>
      </c>
    </row>
    <row r="1702" ht="15.75" customHeight="1">
      <c r="A1702" s="26" t="s">
        <v>6627</v>
      </c>
      <c r="B1702" s="26" t="s">
        <v>6628</v>
      </c>
      <c r="C1702" s="26" t="s">
        <v>312</v>
      </c>
      <c r="D1702" s="26" t="s">
        <v>45</v>
      </c>
      <c r="E1702" s="26" t="s">
        <v>6629</v>
      </c>
      <c r="F1702" s="26" t="s">
        <v>2178</v>
      </c>
      <c r="G1702" s="26" t="s">
        <v>161</v>
      </c>
      <c r="H1702" s="26" t="s">
        <v>57</v>
      </c>
      <c r="I1702" s="26"/>
      <c r="J1702" s="26">
        <v>1.0</v>
      </c>
      <c r="K1702" s="26" t="s">
        <v>136</v>
      </c>
      <c r="L1702" s="26" t="s">
        <v>29</v>
      </c>
      <c r="M1702" s="26" t="s">
        <v>95</v>
      </c>
      <c r="N1702" s="26" t="s">
        <v>307</v>
      </c>
      <c r="O1702" s="26">
        <v>5.0</v>
      </c>
    </row>
    <row r="1703" ht="15.75" customHeight="1">
      <c r="A1703" s="26" t="s">
        <v>6630</v>
      </c>
      <c r="B1703" s="26" t="s">
        <v>6631</v>
      </c>
      <c r="C1703" s="26" t="s">
        <v>363</v>
      </c>
      <c r="D1703" s="26" t="s">
        <v>50</v>
      </c>
      <c r="E1703" s="26" t="s">
        <v>645</v>
      </c>
      <c r="F1703" s="26" t="s">
        <v>847</v>
      </c>
      <c r="G1703" s="26" t="s">
        <v>328</v>
      </c>
      <c r="H1703" s="26" t="s">
        <v>49</v>
      </c>
      <c r="I1703" s="26" t="s">
        <v>581</v>
      </c>
      <c r="J1703" s="26">
        <v>2.0</v>
      </c>
      <c r="K1703" s="26" t="s">
        <v>647</v>
      </c>
      <c r="L1703" s="26" t="s">
        <v>15</v>
      </c>
      <c r="M1703" s="26" t="s">
        <v>81</v>
      </c>
      <c r="N1703" s="26" t="s">
        <v>307</v>
      </c>
      <c r="O1703" s="26">
        <v>4.0</v>
      </c>
    </row>
    <row r="1704" ht="15.75" customHeight="1">
      <c r="A1704" s="26" t="s">
        <v>6632</v>
      </c>
      <c r="B1704" s="26" t="s">
        <v>6633</v>
      </c>
      <c r="C1704" s="26" t="s">
        <v>429</v>
      </c>
      <c r="D1704" s="26" t="s">
        <v>48</v>
      </c>
      <c r="E1704" s="26" t="s">
        <v>6634</v>
      </c>
      <c r="F1704" s="26" t="s">
        <v>984</v>
      </c>
      <c r="G1704" s="26" t="s">
        <v>265</v>
      </c>
      <c r="H1704" s="26" t="s">
        <v>34</v>
      </c>
      <c r="I1704" s="26" t="s">
        <v>248</v>
      </c>
      <c r="J1704" s="26">
        <v>4.0</v>
      </c>
      <c r="K1704" s="26" t="s">
        <v>6635</v>
      </c>
      <c r="L1704" s="26" t="s">
        <v>15</v>
      </c>
      <c r="M1704" s="26" t="s">
        <v>81</v>
      </c>
      <c r="N1704" s="26" t="s">
        <v>307</v>
      </c>
      <c r="O1704" s="26">
        <v>5.0</v>
      </c>
    </row>
    <row r="1705" ht="15.75" customHeight="1">
      <c r="A1705" s="26" t="s">
        <v>6636</v>
      </c>
      <c r="B1705" s="26" t="s">
        <v>6637</v>
      </c>
      <c r="C1705" s="26" t="s">
        <v>312</v>
      </c>
      <c r="D1705" s="26" t="s">
        <v>50</v>
      </c>
      <c r="E1705" s="26" t="s">
        <v>6638</v>
      </c>
      <c r="F1705" s="26" t="s">
        <v>1309</v>
      </c>
      <c r="G1705" s="26" t="s">
        <v>245</v>
      </c>
      <c r="H1705" s="26" t="s">
        <v>57</v>
      </c>
      <c r="I1705" s="26" t="s">
        <v>328</v>
      </c>
      <c r="J1705" s="26">
        <v>3.0</v>
      </c>
      <c r="K1705" s="26" t="s">
        <v>491</v>
      </c>
      <c r="L1705" s="26" t="s">
        <v>29</v>
      </c>
      <c r="M1705" s="26" t="s">
        <v>95</v>
      </c>
      <c r="N1705" s="26" t="s">
        <v>307</v>
      </c>
      <c r="O1705" s="26">
        <v>5.0</v>
      </c>
    </row>
    <row r="1706" ht="15.75" customHeight="1">
      <c r="A1706" s="26" t="s">
        <v>6639</v>
      </c>
      <c r="B1706" s="26" t="s">
        <v>6640</v>
      </c>
      <c r="C1706" s="26" t="s">
        <v>312</v>
      </c>
      <c r="D1706" s="26" t="s">
        <v>50</v>
      </c>
      <c r="E1706" s="26" t="s">
        <v>634</v>
      </c>
      <c r="F1706" s="26" t="s">
        <v>1309</v>
      </c>
      <c r="G1706" s="26" t="s">
        <v>245</v>
      </c>
      <c r="H1706" s="26" t="s">
        <v>57</v>
      </c>
      <c r="I1706" s="26" t="s">
        <v>581</v>
      </c>
      <c r="J1706" s="26">
        <v>2.0</v>
      </c>
      <c r="K1706" s="26" t="s">
        <v>635</v>
      </c>
      <c r="L1706" s="26" t="s">
        <v>15</v>
      </c>
      <c r="M1706" s="26" t="s">
        <v>81</v>
      </c>
      <c r="N1706" s="26" t="s">
        <v>307</v>
      </c>
      <c r="O1706" s="26">
        <v>5.0</v>
      </c>
    </row>
    <row r="1707" ht="15.75" customHeight="1">
      <c r="A1707" s="26" t="s">
        <v>6641</v>
      </c>
      <c r="B1707" s="26" t="s">
        <v>6642</v>
      </c>
      <c r="C1707" s="26" t="s">
        <v>363</v>
      </c>
      <c r="D1707" s="26" t="s">
        <v>45</v>
      </c>
      <c r="E1707" s="26" t="s">
        <v>6643</v>
      </c>
      <c r="F1707" s="26" t="s">
        <v>744</v>
      </c>
      <c r="G1707" s="26" t="s">
        <v>148</v>
      </c>
      <c r="H1707" s="26" t="s">
        <v>34</v>
      </c>
      <c r="I1707" s="26" t="s">
        <v>82</v>
      </c>
      <c r="J1707" s="26">
        <v>2.0</v>
      </c>
      <c r="K1707" s="26" t="s">
        <v>6644</v>
      </c>
      <c r="L1707" s="26" t="s">
        <v>15</v>
      </c>
      <c r="M1707" s="26" t="s">
        <v>81</v>
      </c>
      <c r="N1707" s="26" t="s">
        <v>307</v>
      </c>
      <c r="O1707" s="26">
        <v>3.0</v>
      </c>
    </row>
    <row r="1708" ht="15.75" customHeight="1">
      <c r="A1708" s="26" t="s">
        <v>6645</v>
      </c>
      <c r="B1708" s="26" t="s">
        <v>6646</v>
      </c>
      <c r="C1708" s="26" t="s">
        <v>363</v>
      </c>
      <c r="D1708" s="26" t="s">
        <v>59</v>
      </c>
      <c r="E1708" s="26" t="s">
        <v>6647</v>
      </c>
      <c r="F1708" s="26" t="s">
        <v>372</v>
      </c>
      <c r="G1708" s="26" t="s">
        <v>373</v>
      </c>
      <c r="H1708" s="26" t="s">
        <v>34</v>
      </c>
      <c r="I1708" s="26"/>
      <c r="J1708" s="26">
        <v>1.0</v>
      </c>
      <c r="K1708" s="26" t="s">
        <v>6491</v>
      </c>
      <c r="L1708" s="26" t="s">
        <v>15</v>
      </c>
      <c r="M1708" s="26" t="s">
        <v>87</v>
      </c>
      <c r="N1708" s="26" t="s">
        <v>307</v>
      </c>
      <c r="O1708" s="26">
        <v>4.0</v>
      </c>
    </row>
    <row r="1709" ht="15.75" customHeight="1">
      <c r="A1709" s="26" t="s">
        <v>6648</v>
      </c>
      <c r="B1709" s="26" t="s">
        <v>6649</v>
      </c>
      <c r="C1709" s="26" t="s">
        <v>363</v>
      </c>
      <c r="D1709" s="26" t="s">
        <v>50</v>
      </c>
      <c r="E1709" s="26" t="s">
        <v>6650</v>
      </c>
      <c r="F1709" s="26" t="s">
        <v>1877</v>
      </c>
      <c r="G1709" s="26" t="s">
        <v>311</v>
      </c>
      <c r="H1709" s="26" t="s">
        <v>34</v>
      </c>
      <c r="I1709" s="26"/>
      <c r="J1709" s="26">
        <v>1.0</v>
      </c>
      <c r="K1709" s="26" t="s">
        <v>6651</v>
      </c>
      <c r="L1709" s="26" t="s">
        <v>15</v>
      </c>
      <c r="M1709" s="26" t="s">
        <v>81</v>
      </c>
      <c r="N1709" s="26" t="s">
        <v>307</v>
      </c>
      <c r="O1709" s="26">
        <v>5.0</v>
      </c>
    </row>
    <row r="1710" ht="15.75" customHeight="1">
      <c r="A1710" s="26" t="s">
        <v>6652</v>
      </c>
      <c r="B1710" s="26" t="s">
        <v>6653</v>
      </c>
      <c r="C1710" s="26" t="s">
        <v>300</v>
      </c>
      <c r="D1710" s="26" t="s">
        <v>45</v>
      </c>
      <c r="E1710" s="26" t="s">
        <v>6654</v>
      </c>
      <c r="F1710" s="26" t="s">
        <v>799</v>
      </c>
      <c r="G1710" s="26" t="s">
        <v>130</v>
      </c>
      <c r="H1710" s="26" t="s">
        <v>34</v>
      </c>
      <c r="I1710" s="26" t="s">
        <v>140</v>
      </c>
      <c r="J1710" s="26">
        <v>5.0</v>
      </c>
      <c r="K1710" s="26" t="s">
        <v>6655</v>
      </c>
      <c r="L1710" s="26" t="s">
        <v>15</v>
      </c>
      <c r="M1710" s="26" t="s">
        <v>81</v>
      </c>
      <c r="N1710" s="26" t="s">
        <v>307</v>
      </c>
      <c r="O1710" s="26">
        <v>3.0</v>
      </c>
    </row>
    <row r="1711" ht="15.75" customHeight="1">
      <c r="A1711" s="26" t="s">
        <v>6656</v>
      </c>
      <c r="B1711" s="26" t="s">
        <v>6657</v>
      </c>
      <c r="C1711" s="26" t="s">
        <v>429</v>
      </c>
      <c r="D1711" s="26" t="s">
        <v>45</v>
      </c>
      <c r="E1711" s="26" t="s">
        <v>6658</v>
      </c>
      <c r="F1711" s="26" t="s">
        <v>744</v>
      </c>
      <c r="G1711" s="26" t="s">
        <v>148</v>
      </c>
      <c r="H1711" s="26" t="s">
        <v>34</v>
      </c>
      <c r="I1711" s="26" t="s">
        <v>130</v>
      </c>
      <c r="J1711" s="26">
        <v>6.0</v>
      </c>
      <c r="K1711" s="26" t="s">
        <v>6644</v>
      </c>
      <c r="L1711" s="26" t="s">
        <v>15</v>
      </c>
      <c r="M1711" s="26" t="s">
        <v>81</v>
      </c>
      <c r="N1711" s="26" t="s">
        <v>307</v>
      </c>
      <c r="O1711" s="26">
        <v>2.0</v>
      </c>
    </row>
    <row r="1712" ht="15.75" customHeight="1">
      <c r="A1712" s="26" t="s">
        <v>6659</v>
      </c>
      <c r="B1712" s="26" t="s">
        <v>6660</v>
      </c>
      <c r="C1712" s="26" t="s">
        <v>429</v>
      </c>
      <c r="D1712" s="26" t="s">
        <v>36</v>
      </c>
      <c r="E1712" s="26" t="s">
        <v>6661</v>
      </c>
      <c r="F1712" s="26" t="s">
        <v>663</v>
      </c>
      <c r="G1712" s="26" t="s">
        <v>44</v>
      </c>
      <c r="H1712" s="26" t="s">
        <v>34</v>
      </c>
      <c r="I1712" s="26"/>
      <c r="J1712" s="26">
        <v>1.0</v>
      </c>
      <c r="K1712" s="26" t="s">
        <v>6662</v>
      </c>
      <c r="L1712" s="26" t="s">
        <v>15</v>
      </c>
      <c r="M1712" s="26" t="s">
        <v>81</v>
      </c>
      <c r="N1712" s="26" t="s">
        <v>307</v>
      </c>
      <c r="O1712" s="26">
        <v>3.0</v>
      </c>
    </row>
    <row r="1713" ht="15.75" customHeight="1">
      <c r="A1713" s="26" t="s">
        <v>6663</v>
      </c>
      <c r="B1713" s="26" t="s">
        <v>6664</v>
      </c>
      <c r="C1713" s="26" t="s">
        <v>312</v>
      </c>
      <c r="D1713" s="26" t="s">
        <v>36</v>
      </c>
      <c r="E1713" s="26" t="s">
        <v>6665</v>
      </c>
      <c r="F1713" s="26" t="s">
        <v>663</v>
      </c>
      <c r="G1713" s="26" t="s">
        <v>44</v>
      </c>
      <c r="H1713" s="26" t="s">
        <v>34</v>
      </c>
      <c r="I1713" s="26" t="s">
        <v>47</v>
      </c>
      <c r="J1713" s="26">
        <v>3.0</v>
      </c>
      <c r="K1713" s="26" t="s">
        <v>6666</v>
      </c>
      <c r="L1713" s="26" t="s">
        <v>19</v>
      </c>
      <c r="M1713" s="26" t="s">
        <v>87</v>
      </c>
      <c r="N1713" s="26" t="s">
        <v>307</v>
      </c>
      <c r="O1713" s="26">
        <v>3.0</v>
      </c>
    </row>
    <row r="1714" ht="15.75" customHeight="1">
      <c r="A1714" s="26" t="s">
        <v>6667</v>
      </c>
      <c r="B1714" s="26" t="s">
        <v>6668</v>
      </c>
      <c r="C1714" s="26" t="s">
        <v>892</v>
      </c>
      <c r="D1714" s="26" t="s">
        <v>36</v>
      </c>
      <c r="E1714" s="26" t="s">
        <v>6669</v>
      </c>
      <c r="F1714" s="26" t="s">
        <v>663</v>
      </c>
      <c r="G1714" s="26" t="s">
        <v>44</v>
      </c>
      <c r="H1714" s="26" t="s">
        <v>34</v>
      </c>
      <c r="I1714" s="26" t="s">
        <v>47</v>
      </c>
      <c r="J1714" s="26">
        <v>3.0</v>
      </c>
      <c r="K1714" s="26" t="s">
        <v>6662</v>
      </c>
      <c r="L1714" s="26" t="s">
        <v>19</v>
      </c>
      <c r="M1714" s="26" t="s">
        <v>81</v>
      </c>
      <c r="N1714" s="26" t="s">
        <v>307</v>
      </c>
      <c r="O1714" s="26">
        <v>3.0</v>
      </c>
    </row>
    <row r="1715" ht="15.75" customHeight="1">
      <c r="A1715" s="26" t="s">
        <v>6670</v>
      </c>
      <c r="B1715" s="26" t="s">
        <v>6671</v>
      </c>
      <c r="C1715" s="26" t="s">
        <v>363</v>
      </c>
      <c r="D1715" s="26" t="s">
        <v>36</v>
      </c>
      <c r="E1715" s="26" t="s">
        <v>6672</v>
      </c>
      <c r="F1715" s="26" t="s">
        <v>1292</v>
      </c>
      <c r="G1715" s="26" t="s">
        <v>65</v>
      </c>
      <c r="H1715" s="26" t="s">
        <v>34</v>
      </c>
      <c r="I1715" s="26" t="s">
        <v>108</v>
      </c>
      <c r="J1715" s="26">
        <v>4.0</v>
      </c>
      <c r="K1715" s="26" t="s">
        <v>6673</v>
      </c>
      <c r="L1715" s="26" t="s">
        <v>15</v>
      </c>
      <c r="M1715" s="26" t="s">
        <v>87</v>
      </c>
      <c r="N1715" s="26" t="s">
        <v>307</v>
      </c>
      <c r="O1715" s="26">
        <v>4.0</v>
      </c>
    </row>
    <row r="1716" ht="15.75" customHeight="1">
      <c r="A1716" s="26" t="s">
        <v>6674</v>
      </c>
      <c r="B1716" s="26" t="s">
        <v>6675</v>
      </c>
      <c r="C1716" s="26" t="s">
        <v>363</v>
      </c>
      <c r="D1716" s="26" t="s">
        <v>36</v>
      </c>
      <c r="E1716" s="26" t="s">
        <v>6676</v>
      </c>
      <c r="F1716" s="26" t="s">
        <v>663</v>
      </c>
      <c r="G1716" s="26" t="s">
        <v>44</v>
      </c>
      <c r="H1716" s="26" t="s">
        <v>34</v>
      </c>
      <c r="I1716" s="26" t="s">
        <v>47</v>
      </c>
      <c r="J1716" s="26">
        <v>6.0</v>
      </c>
      <c r="K1716" s="26" t="s">
        <v>6677</v>
      </c>
      <c r="L1716" s="26" t="s">
        <v>19</v>
      </c>
      <c r="M1716" s="26" t="s">
        <v>87</v>
      </c>
      <c r="N1716" s="26" t="s">
        <v>307</v>
      </c>
      <c r="O1716" s="26">
        <v>5.0</v>
      </c>
    </row>
    <row r="1717" ht="15.75" customHeight="1">
      <c r="A1717" s="26" t="s">
        <v>6678</v>
      </c>
      <c r="B1717" s="26" t="s">
        <v>6679</v>
      </c>
      <c r="C1717" s="26" t="s">
        <v>312</v>
      </c>
      <c r="D1717" s="26" t="s">
        <v>45</v>
      </c>
      <c r="E1717" s="26" t="s">
        <v>6680</v>
      </c>
      <c r="F1717" s="26" t="s">
        <v>2178</v>
      </c>
      <c r="G1717" s="26" t="s">
        <v>161</v>
      </c>
      <c r="H1717" s="26" t="s">
        <v>57</v>
      </c>
      <c r="I1717" s="26" t="s">
        <v>143</v>
      </c>
      <c r="J1717" s="26">
        <v>2.0</v>
      </c>
      <c r="K1717" s="26" t="s">
        <v>6681</v>
      </c>
      <c r="L1717" s="26" t="s">
        <v>15</v>
      </c>
      <c r="M1717" s="26" t="s">
        <v>81</v>
      </c>
      <c r="N1717" s="26" t="s">
        <v>307</v>
      </c>
      <c r="O1717" s="26">
        <v>5.0</v>
      </c>
    </row>
    <row r="1718" ht="15.75" customHeight="1">
      <c r="A1718" s="26" t="s">
        <v>6682</v>
      </c>
      <c r="B1718" s="26" t="s">
        <v>6683</v>
      </c>
      <c r="C1718" s="26" t="s">
        <v>429</v>
      </c>
      <c r="D1718" s="26" t="s">
        <v>54</v>
      </c>
      <c r="E1718" s="26" t="s">
        <v>6684</v>
      </c>
      <c r="F1718" s="26" t="s">
        <v>326</v>
      </c>
      <c r="G1718" s="26" t="s">
        <v>327</v>
      </c>
      <c r="H1718" s="26" t="s">
        <v>49</v>
      </c>
      <c r="I1718" s="26"/>
      <c r="J1718" s="26">
        <v>1.0</v>
      </c>
      <c r="K1718" s="26" t="s">
        <v>4944</v>
      </c>
      <c r="L1718" s="26" t="s">
        <v>19</v>
      </c>
      <c r="M1718" s="26" t="s">
        <v>66</v>
      </c>
      <c r="N1718" s="26" t="s">
        <v>307</v>
      </c>
      <c r="O1718" s="26">
        <v>3.0</v>
      </c>
    </row>
    <row r="1719" ht="15.75" customHeight="1">
      <c r="A1719" s="26" t="s">
        <v>6685</v>
      </c>
      <c r="B1719" s="26" t="s">
        <v>6686</v>
      </c>
      <c r="C1719" s="26" t="s">
        <v>312</v>
      </c>
      <c r="D1719" s="26" t="s">
        <v>36</v>
      </c>
      <c r="E1719" s="26" t="s">
        <v>6687</v>
      </c>
      <c r="F1719" s="26" t="s">
        <v>1657</v>
      </c>
      <c r="G1719" s="26" t="s">
        <v>101</v>
      </c>
      <c r="H1719" s="26" t="s">
        <v>46</v>
      </c>
      <c r="I1719" s="26" t="s">
        <v>104</v>
      </c>
      <c r="J1719" s="26">
        <v>2.0</v>
      </c>
      <c r="K1719" s="26" t="s">
        <v>6688</v>
      </c>
      <c r="L1719" s="26" t="s">
        <v>15</v>
      </c>
      <c r="M1719" s="26" t="s">
        <v>81</v>
      </c>
      <c r="N1719" s="26" t="s">
        <v>307</v>
      </c>
      <c r="O1719" s="26">
        <v>5.0</v>
      </c>
    </row>
    <row r="1720" ht="15.75" customHeight="1">
      <c r="A1720" s="26" t="s">
        <v>6689</v>
      </c>
      <c r="B1720" s="26" t="s">
        <v>6690</v>
      </c>
      <c r="C1720" s="26" t="s">
        <v>300</v>
      </c>
      <c r="D1720" s="26" t="s">
        <v>85</v>
      </c>
      <c r="E1720" s="26" t="s">
        <v>6691</v>
      </c>
      <c r="F1720" s="26" t="s">
        <v>599</v>
      </c>
      <c r="G1720" s="26" t="s">
        <v>600</v>
      </c>
      <c r="H1720" s="26" t="s">
        <v>46</v>
      </c>
      <c r="I1720" s="26" t="s">
        <v>601</v>
      </c>
      <c r="J1720" s="26">
        <v>2.0</v>
      </c>
      <c r="K1720" s="26" t="s">
        <v>6692</v>
      </c>
      <c r="L1720" s="26" t="s">
        <v>19</v>
      </c>
      <c r="M1720" s="26" t="s">
        <v>66</v>
      </c>
      <c r="N1720" s="26" t="s">
        <v>307</v>
      </c>
      <c r="O1720" s="26">
        <v>5.0</v>
      </c>
    </row>
    <row r="1721" ht="15.75" customHeight="1">
      <c r="A1721" s="26" t="s">
        <v>6693</v>
      </c>
      <c r="B1721" s="26" t="s">
        <v>6694</v>
      </c>
      <c r="C1721" s="26" t="s">
        <v>429</v>
      </c>
      <c r="D1721" s="26" t="s">
        <v>48</v>
      </c>
      <c r="E1721" s="26" t="s">
        <v>434</v>
      </c>
      <c r="F1721" s="26" t="s">
        <v>1014</v>
      </c>
      <c r="G1721" s="26" t="s">
        <v>248</v>
      </c>
      <c r="H1721" s="26" t="s">
        <v>46</v>
      </c>
      <c r="I1721" s="26"/>
      <c r="J1721" s="26">
        <v>1.0</v>
      </c>
      <c r="K1721" s="26" t="s">
        <v>435</v>
      </c>
      <c r="L1721" s="26" t="s">
        <v>15</v>
      </c>
      <c r="M1721" s="26" t="s">
        <v>81</v>
      </c>
      <c r="N1721" s="26" t="s">
        <v>307</v>
      </c>
      <c r="O1721" s="26">
        <v>6.0</v>
      </c>
    </row>
    <row r="1722" ht="15.75" customHeight="1">
      <c r="A1722" s="26" t="s">
        <v>6695</v>
      </c>
      <c r="B1722" s="26" t="s">
        <v>6696</v>
      </c>
      <c r="C1722" s="26" t="s">
        <v>363</v>
      </c>
      <c r="D1722" s="26" t="s">
        <v>45</v>
      </c>
      <c r="E1722" s="26" t="s">
        <v>6697</v>
      </c>
      <c r="F1722" s="26" t="s">
        <v>303</v>
      </c>
      <c r="G1722" s="26" t="s">
        <v>140</v>
      </c>
      <c r="H1722" s="26" t="s">
        <v>34</v>
      </c>
      <c r="I1722" s="26" t="s">
        <v>204</v>
      </c>
      <c r="J1722" s="26">
        <v>3.0</v>
      </c>
      <c r="K1722" s="26" t="s">
        <v>6698</v>
      </c>
      <c r="L1722" s="26" t="s">
        <v>19</v>
      </c>
      <c r="M1722" s="26" t="s">
        <v>81</v>
      </c>
      <c r="N1722" s="26" t="s">
        <v>307</v>
      </c>
      <c r="O1722" s="26">
        <v>2.0</v>
      </c>
    </row>
    <row r="1723" ht="15.75" customHeight="1">
      <c r="A1723" s="26" t="s">
        <v>6699</v>
      </c>
      <c r="B1723" s="26" t="s">
        <v>6700</v>
      </c>
      <c r="C1723" s="26" t="s">
        <v>363</v>
      </c>
      <c r="D1723" s="26" t="s">
        <v>36</v>
      </c>
      <c r="E1723" s="26" t="s">
        <v>6701</v>
      </c>
      <c r="F1723" s="26" t="s">
        <v>315</v>
      </c>
      <c r="G1723" s="26" t="s">
        <v>47</v>
      </c>
      <c r="H1723" s="26" t="s">
        <v>34</v>
      </c>
      <c r="I1723" s="26"/>
      <c r="J1723" s="26">
        <v>1.0</v>
      </c>
      <c r="K1723" s="26" t="s">
        <v>6677</v>
      </c>
      <c r="L1723" s="26" t="s">
        <v>15</v>
      </c>
      <c r="M1723" s="26" t="s">
        <v>87</v>
      </c>
      <c r="N1723" s="26" t="s">
        <v>307</v>
      </c>
      <c r="O1723" s="26">
        <v>4.0</v>
      </c>
    </row>
    <row r="1724" ht="15.75" customHeight="1">
      <c r="A1724" s="26" t="s">
        <v>6702</v>
      </c>
      <c r="B1724" s="26" t="s">
        <v>6703</v>
      </c>
      <c r="C1724" s="26" t="s">
        <v>429</v>
      </c>
      <c r="D1724" s="26" t="s">
        <v>54</v>
      </c>
      <c r="E1724" s="26" t="s">
        <v>6704</v>
      </c>
      <c r="F1724" s="26" t="s">
        <v>432</v>
      </c>
      <c r="G1724" s="26" t="s">
        <v>182</v>
      </c>
      <c r="H1724" s="26" t="s">
        <v>34</v>
      </c>
      <c r="I1724" s="26" t="s">
        <v>196</v>
      </c>
      <c r="J1724" s="26">
        <v>2.0</v>
      </c>
      <c r="K1724" s="26" t="s">
        <v>6705</v>
      </c>
      <c r="L1724" s="26" t="s">
        <v>15</v>
      </c>
      <c r="M1724" s="26" t="s">
        <v>81</v>
      </c>
      <c r="N1724" s="26" t="s">
        <v>307</v>
      </c>
      <c r="O1724" s="26">
        <v>3.0</v>
      </c>
    </row>
    <row r="1725" ht="15.75" customHeight="1">
      <c r="A1725" s="26" t="s">
        <v>6706</v>
      </c>
      <c r="B1725" s="26" t="s">
        <v>6707</v>
      </c>
      <c r="C1725" s="26" t="s">
        <v>363</v>
      </c>
      <c r="D1725" s="26" t="s">
        <v>59</v>
      </c>
      <c r="E1725" s="26" t="s">
        <v>6708</v>
      </c>
      <c r="F1725" s="26" t="s">
        <v>372</v>
      </c>
      <c r="G1725" s="26" t="s">
        <v>373</v>
      </c>
      <c r="H1725" s="26" t="s">
        <v>34</v>
      </c>
      <c r="I1725" s="26"/>
      <c r="J1725" s="26">
        <v>1.0</v>
      </c>
      <c r="K1725" s="26" t="s">
        <v>6709</v>
      </c>
      <c r="L1725" s="26" t="s">
        <v>15</v>
      </c>
      <c r="M1725" s="26" t="s">
        <v>81</v>
      </c>
      <c r="N1725" s="26" t="s">
        <v>307</v>
      </c>
      <c r="O1725" s="26">
        <v>6.0</v>
      </c>
    </row>
    <row r="1726" ht="15.75" customHeight="1">
      <c r="A1726" s="26" t="s">
        <v>6710</v>
      </c>
      <c r="B1726" s="26" t="s">
        <v>6711</v>
      </c>
      <c r="C1726" s="26" t="s">
        <v>363</v>
      </c>
      <c r="D1726" s="26" t="s">
        <v>36</v>
      </c>
      <c r="E1726" s="26" t="s">
        <v>6712</v>
      </c>
      <c r="F1726" s="26" t="s">
        <v>663</v>
      </c>
      <c r="G1726" s="26" t="s">
        <v>44</v>
      </c>
      <c r="H1726" s="26" t="s">
        <v>34</v>
      </c>
      <c r="I1726" s="26" t="s">
        <v>47</v>
      </c>
      <c r="J1726" s="26">
        <v>2.0</v>
      </c>
      <c r="K1726" s="26" t="s">
        <v>6713</v>
      </c>
      <c r="L1726" s="26" t="s">
        <v>15</v>
      </c>
      <c r="M1726" s="26" t="s">
        <v>87</v>
      </c>
      <c r="N1726" s="26" t="s">
        <v>307</v>
      </c>
      <c r="O1726" s="26">
        <v>6.0</v>
      </c>
    </row>
    <row r="1727" ht="15.75" customHeight="1">
      <c r="A1727" s="26" t="s">
        <v>6714</v>
      </c>
      <c r="B1727" s="26" t="s">
        <v>6715</v>
      </c>
      <c r="C1727" s="26" t="s">
        <v>312</v>
      </c>
      <c r="D1727" s="26" t="s">
        <v>45</v>
      </c>
      <c r="E1727" s="26" t="s">
        <v>6716</v>
      </c>
      <c r="F1727" s="26" t="s">
        <v>1237</v>
      </c>
      <c r="G1727" s="26" t="s">
        <v>166</v>
      </c>
      <c r="H1727" s="26" t="s">
        <v>46</v>
      </c>
      <c r="I1727" s="26"/>
      <c r="J1727" s="26">
        <v>1.0</v>
      </c>
      <c r="K1727" s="26" t="s">
        <v>6717</v>
      </c>
      <c r="L1727" s="26" t="s">
        <v>15</v>
      </c>
      <c r="M1727" s="26" t="s">
        <v>81</v>
      </c>
      <c r="N1727" s="26" t="s">
        <v>307</v>
      </c>
      <c r="O1727" s="26">
        <v>5.0</v>
      </c>
    </row>
    <row r="1728" ht="15.75" customHeight="1">
      <c r="A1728" s="26" t="s">
        <v>6718</v>
      </c>
      <c r="B1728" s="26" t="s">
        <v>6719</v>
      </c>
      <c r="C1728" s="26" t="s">
        <v>4397</v>
      </c>
      <c r="D1728" s="26" t="s">
        <v>48</v>
      </c>
      <c r="E1728" s="26" t="s">
        <v>6720</v>
      </c>
      <c r="F1728" s="26" t="s">
        <v>1727</v>
      </c>
      <c r="G1728" s="26" t="s">
        <v>284</v>
      </c>
      <c r="H1728" s="26" t="s">
        <v>46</v>
      </c>
      <c r="I1728" s="26"/>
      <c r="J1728" s="26">
        <v>0.0</v>
      </c>
      <c r="K1728" s="26" t="s">
        <v>6721</v>
      </c>
      <c r="L1728" s="26" t="s">
        <v>15</v>
      </c>
      <c r="M1728" s="26" t="s">
        <v>81</v>
      </c>
      <c r="N1728" s="26" t="s">
        <v>307</v>
      </c>
      <c r="O1728" s="26">
        <v>5.0</v>
      </c>
    </row>
    <row r="1729" ht="15.75" customHeight="1">
      <c r="A1729" s="26" t="s">
        <v>6722</v>
      </c>
      <c r="B1729" s="26" t="s">
        <v>6723</v>
      </c>
      <c r="C1729" s="26" t="s">
        <v>363</v>
      </c>
      <c r="D1729" s="26" t="s">
        <v>48</v>
      </c>
      <c r="E1729" s="26" t="s">
        <v>6724</v>
      </c>
      <c r="F1729" s="26" t="s">
        <v>984</v>
      </c>
      <c r="G1729" s="26" t="s">
        <v>265</v>
      </c>
      <c r="H1729" s="26" t="s">
        <v>34</v>
      </c>
      <c r="I1729" s="26"/>
      <c r="J1729" s="26">
        <v>1.0</v>
      </c>
      <c r="K1729" s="26" t="s">
        <v>6725</v>
      </c>
      <c r="L1729" s="26" t="s">
        <v>15</v>
      </c>
      <c r="M1729" s="26" t="s">
        <v>81</v>
      </c>
      <c r="N1729" s="26" t="s">
        <v>307</v>
      </c>
      <c r="O1729" s="26">
        <v>5.0</v>
      </c>
    </row>
    <row r="1730" ht="15.75" customHeight="1">
      <c r="A1730" s="26" t="s">
        <v>6726</v>
      </c>
      <c r="B1730" s="26" t="s">
        <v>6727</v>
      </c>
      <c r="C1730" s="26" t="s">
        <v>4397</v>
      </c>
      <c r="D1730" s="26" t="s">
        <v>48</v>
      </c>
      <c r="E1730" s="26" t="s">
        <v>6728</v>
      </c>
      <c r="F1730" s="26" t="s">
        <v>1727</v>
      </c>
      <c r="G1730" s="26" t="s">
        <v>284</v>
      </c>
      <c r="H1730" s="26" t="s">
        <v>46</v>
      </c>
      <c r="I1730" s="26"/>
      <c r="J1730" s="26">
        <v>0.0</v>
      </c>
      <c r="K1730" s="26" t="s">
        <v>6729</v>
      </c>
      <c r="L1730" s="26" t="s">
        <v>15</v>
      </c>
      <c r="M1730" s="26" t="s">
        <v>81</v>
      </c>
      <c r="N1730" s="26" t="s">
        <v>307</v>
      </c>
      <c r="O1730" s="26">
        <v>5.0</v>
      </c>
    </row>
    <row r="1731" ht="15.75" customHeight="1">
      <c r="A1731" s="26" t="s">
        <v>6730</v>
      </c>
      <c r="B1731" s="26" t="s">
        <v>6731</v>
      </c>
      <c r="C1731" s="26" t="s">
        <v>363</v>
      </c>
      <c r="D1731" s="26" t="s">
        <v>50</v>
      </c>
      <c r="E1731" s="26" t="s">
        <v>6732</v>
      </c>
      <c r="F1731" s="26" t="s">
        <v>1309</v>
      </c>
      <c r="G1731" s="26" t="s">
        <v>245</v>
      </c>
      <c r="H1731" s="26" t="s">
        <v>57</v>
      </c>
      <c r="I1731" s="26" t="s">
        <v>328</v>
      </c>
      <c r="J1731" s="26">
        <v>3.0</v>
      </c>
      <c r="K1731" s="26" t="s">
        <v>6733</v>
      </c>
      <c r="L1731" s="26" t="s">
        <v>19</v>
      </c>
      <c r="M1731" s="26" t="s">
        <v>87</v>
      </c>
      <c r="N1731" s="26" t="s">
        <v>307</v>
      </c>
      <c r="O1731" s="26">
        <v>3.0</v>
      </c>
    </row>
    <row r="1732" ht="15.75" customHeight="1">
      <c r="A1732" s="26" t="s">
        <v>6734</v>
      </c>
      <c r="B1732" s="26" t="s">
        <v>6735</v>
      </c>
      <c r="C1732" s="26" t="s">
        <v>312</v>
      </c>
      <c r="D1732" s="26" t="s">
        <v>76</v>
      </c>
      <c r="E1732" s="26" t="s">
        <v>100</v>
      </c>
      <c r="F1732" s="26" t="s">
        <v>1201</v>
      </c>
      <c r="G1732" s="26" t="s">
        <v>222</v>
      </c>
      <c r="H1732" s="26" t="s">
        <v>34</v>
      </c>
      <c r="I1732" s="26"/>
      <c r="J1732" s="26">
        <v>1.0</v>
      </c>
      <c r="K1732" s="26" t="s">
        <v>6736</v>
      </c>
      <c r="L1732" s="26" t="s">
        <v>15</v>
      </c>
      <c r="M1732" s="26" t="s">
        <v>81</v>
      </c>
      <c r="N1732" s="26" t="s">
        <v>307</v>
      </c>
      <c r="O1732" s="26">
        <v>5.0</v>
      </c>
    </row>
    <row r="1733" ht="15.75" customHeight="1">
      <c r="A1733" s="26" t="s">
        <v>6737</v>
      </c>
      <c r="B1733" s="26" t="s">
        <v>6738</v>
      </c>
      <c r="C1733" s="26" t="s">
        <v>363</v>
      </c>
      <c r="D1733" s="26" t="s">
        <v>36</v>
      </c>
      <c r="E1733" s="26" t="s">
        <v>6739</v>
      </c>
      <c r="F1733" s="26" t="s">
        <v>315</v>
      </c>
      <c r="G1733" s="26" t="s">
        <v>47</v>
      </c>
      <c r="H1733" s="26" t="s">
        <v>34</v>
      </c>
      <c r="I1733" s="26"/>
      <c r="J1733" s="26">
        <v>1.0</v>
      </c>
      <c r="K1733" s="26" t="s">
        <v>6740</v>
      </c>
      <c r="L1733" s="26" t="s">
        <v>15</v>
      </c>
      <c r="M1733" s="26" t="s">
        <v>87</v>
      </c>
      <c r="N1733" s="26" t="s">
        <v>307</v>
      </c>
      <c r="O1733" s="26">
        <v>6.0</v>
      </c>
    </row>
    <row r="1734" ht="15.75" customHeight="1">
      <c r="A1734" s="26" t="s">
        <v>6741</v>
      </c>
      <c r="B1734" s="26" t="s">
        <v>6742</v>
      </c>
      <c r="C1734" s="26" t="s">
        <v>312</v>
      </c>
      <c r="D1734" s="26" t="s">
        <v>100</v>
      </c>
      <c r="E1734" s="26" t="s">
        <v>100</v>
      </c>
      <c r="F1734" s="26" t="s">
        <v>6327</v>
      </c>
      <c r="G1734" s="26" t="s">
        <v>1442</v>
      </c>
      <c r="H1734" s="26" t="s">
        <v>34</v>
      </c>
      <c r="I1734" s="26"/>
      <c r="J1734" s="26">
        <v>1.0</v>
      </c>
      <c r="K1734" s="26" t="s">
        <v>6736</v>
      </c>
      <c r="L1734" s="26" t="s">
        <v>15</v>
      </c>
      <c r="M1734" s="26" t="s">
        <v>81</v>
      </c>
      <c r="N1734" s="26" t="s">
        <v>307</v>
      </c>
      <c r="O1734" s="26">
        <v>5.0</v>
      </c>
    </row>
    <row r="1735" ht="15.75" customHeight="1">
      <c r="A1735" s="26" t="s">
        <v>6743</v>
      </c>
      <c r="B1735" s="26" t="s">
        <v>6744</v>
      </c>
      <c r="C1735" s="26" t="s">
        <v>363</v>
      </c>
      <c r="D1735" s="26" t="s">
        <v>62</v>
      </c>
      <c r="E1735" s="26" t="s">
        <v>6745</v>
      </c>
      <c r="F1735" s="26" t="s">
        <v>1813</v>
      </c>
      <c r="G1735" s="26" t="s">
        <v>107</v>
      </c>
      <c r="H1735" s="26" t="s">
        <v>46</v>
      </c>
      <c r="I1735" s="26" t="s">
        <v>119</v>
      </c>
      <c r="J1735" s="26">
        <v>3.0</v>
      </c>
      <c r="K1735" s="26" t="s">
        <v>6746</v>
      </c>
      <c r="L1735" s="26" t="s">
        <v>15</v>
      </c>
      <c r="M1735" s="26" t="s">
        <v>81</v>
      </c>
      <c r="N1735" s="26" t="s">
        <v>307</v>
      </c>
      <c r="O1735" s="26">
        <v>0.0</v>
      </c>
    </row>
    <row r="1736" ht="15.75" customHeight="1">
      <c r="A1736" s="26" t="s">
        <v>6747</v>
      </c>
      <c r="B1736" s="26" t="s">
        <v>3724</v>
      </c>
      <c r="C1736" s="26" t="s">
        <v>322</v>
      </c>
      <c r="D1736" s="26" t="s">
        <v>62</v>
      </c>
      <c r="E1736" s="26" t="s">
        <v>6748</v>
      </c>
      <c r="F1736" s="26" t="s">
        <v>1245</v>
      </c>
      <c r="G1736" s="26" t="s">
        <v>119</v>
      </c>
      <c r="H1736" s="26" t="s">
        <v>57</v>
      </c>
      <c r="I1736" s="26"/>
      <c r="J1736" s="26">
        <v>1.0</v>
      </c>
      <c r="K1736" s="26" t="s">
        <v>6749</v>
      </c>
      <c r="L1736" s="26" t="s">
        <v>15</v>
      </c>
      <c r="M1736" s="26" t="s">
        <v>81</v>
      </c>
      <c r="N1736" s="26" t="s">
        <v>307</v>
      </c>
      <c r="O1736" s="26"/>
    </row>
    <row r="1737" ht="15.75" customHeight="1">
      <c r="A1737" s="26" t="s">
        <v>6750</v>
      </c>
      <c r="B1737" s="26" t="s">
        <v>6751</v>
      </c>
      <c r="C1737" s="26" t="s">
        <v>312</v>
      </c>
      <c r="D1737" s="26" t="s">
        <v>36</v>
      </c>
      <c r="E1737" s="26" t="s">
        <v>206</v>
      </c>
      <c r="F1737" s="26" t="s">
        <v>1657</v>
      </c>
      <c r="G1737" s="26" t="s">
        <v>101</v>
      </c>
      <c r="H1737" s="26" t="s">
        <v>46</v>
      </c>
      <c r="I1737" s="26"/>
      <c r="J1737" s="26">
        <v>1.0</v>
      </c>
      <c r="K1737" s="26" t="s">
        <v>207</v>
      </c>
      <c r="L1737" s="26" t="s">
        <v>15</v>
      </c>
      <c r="M1737" s="26" t="s">
        <v>81</v>
      </c>
      <c r="N1737" s="26" t="s">
        <v>307</v>
      </c>
      <c r="O1737" s="26">
        <v>6.0</v>
      </c>
    </row>
    <row r="1738" ht="15.75" customHeight="1">
      <c r="A1738" s="26" t="s">
        <v>6752</v>
      </c>
      <c r="B1738" s="26" t="s">
        <v>6753</v>
      </c>
      <c r="C1738" s="26" t="s">
        <v>363</v>
      </c>
      <c r="D1738" s="26" t="s">
        <v>36</v>
      </c>
      <c r="E1738" s="26" t="s">
        <v>6754</v>
      </c>
      <c r="F1738" s="26" t="s">
        <v>663</v>
      </c>
      <c r="G1738" s="26" t="s">
        <v>44</v>
      </c>
      <c r="H1738" s="26" t="s">
        <v>34</v>
      </c>
      <c r="I1738" s="26" t="s">
        <v>98</v>
      </c>
      <c r="J1738" s="26">
        <v>3.0</v>
      </c>
      <c r="K1738" s="26" t="s">
        <v>6740</v>
      </c>
      <c r="L1738" s="26" t="s">
        <v>19</v>
      </c>
      <c r="M1738" s="26" t="s">
        <v>87</v>
      </c>
      <c r="N1738" s="26" t="s">
        <v>307</v>
      </c>
      <c r="O1738" s="26">
        <v>5.0</v>
      </c>
    </row>
    <row r="1739" ht="15.75" customHeight="1">
      <c r="A1739" s="26" t="s">
        <v>6755</v>
      </c>
      <c r="B1739" s="26" t="s">
        <v>6756</v>
      </c>
      <c r="C1739" s="26" t="s">
        <v>363</v>
      </c>
      <c r="D1739" s="26" t="s">
        <v>50</v>
      </c>
      <c r="E1739" s="26" t="s">
        <v>6757</v>
      </c>
      <c r="F1739" s="26" t="s">
        <v>1309</v>
      </c>
      <c r="G1739" s="26" t="s">
        <v>245</v>
      </c>
      <c r="H1739" s="26" t="s">
        <v>57</v>
      </c>
      <c r="I1739" s="26" t="s">
        <v>328</v>
      </c>
      <c r="J1739" s="26">
        <v>3.0</v>
      </c>
      <c r="K1739" s="26" t="s">
        <v>6758</v>
      </c>
      <c r="L1739" s="26" t="s">
        <v>15</v>
      </c>
      <c r="M1739" s="26" t="s">
        <v>81</v>
      </c>
      <c r="N1739" s="26" t="s">
        <v>307</v>
      </c>
      <c r="O1739" s="26">
        <v>2.0</v>
      </c>
    </row>
    <row r="1740" ht="15.75" customHeight="1">
      <c r="A1740" s="26" t="s">
        <v>6759</v>
      </c>
      <c r="B1740" s="26" t="s">
        <v>6760</v>
      </c>
      <c r="C1740" s="26" t="s">
        <v>312</v>
      </c>
      <c r="D1740" s="26" t="s">
        <v>50</v>
      </c>
      <c r="E1740" s="26" t="s">
        <v>701</v>
      </c>
      <c r="F1740" s="26" t="s">
        <v>720</v>
      </c>
      <c r="G1740" s="26" t="s">
        <v>548</v>
      </c>
      <c r="H1740" s="26" t="s">
        <v>46</v>
      </c>
      <c r="I1740" s="26"/>
      <c r="J1740" s="26">
        <v>1.0</v>
      </c>
      <c r="K1740" s="26" t="s">
        <v>702</v>
      </c>
      <c r="L1740" s="26" t="s">
        <v>15</v>
      </c>
      <c r="M1740" s="26" t="s">
        <v>81</v>
      </c>
      <c r="N1740" s="26" t="s">
        <v>307</v>
      </c>
      <c r="O1740" s="26">
        <v>2.0</v>
      </c>
    </row>
    <row r="1741" ht="15.75" customHeight="1">
      <c r="A1741" s="26" t="s">
        <v>6761</v>
      </c>
      <c r="B1741" s="26" t="s">
        <v>6762</v>
      </c>
      <c r="C1741" s="26" t="s">
        <v>363</v>
      </c>
      <c r="D1741" s="26" t="s">
        <v>76</v>
      </c>
      <c r="E1741" s="26" t="s">
        <v>6763</v>
      </c>
      <c r="F1741" s="26" t="s">
        <v>1201</v>
      </c>
      <c r="G1741" s="26" t="s">
        <v>222</v>
      </c>
      <c r="H1741" s="26" t="s">
        <v>34</v>
      </c>
      <c r="I1741" s="26" t="s">
        <v>1243</v>
      </c>
      <c r="J1741" s="26">
        <v>2.0</v>
      </c>
      <c r="K1741" s="26" t="s">
        <v>6764</v>
      </c>
      <c r="L1741" s="26" t="s">
        <v>19</v>
      </c>
      <c r="M1741" s="26" t="s">
        <v>66</v>
      </c>
      <c r="N1741" s="26" t="s">
        <v>307</v>
      </c>
      <c r="O1741" s="26">
        <v>6.0</v>
      </c>
    </row>
    <row r="1742" ht="15.75" customHeight="1">
      <c r="A1742" s="26" t="s">
        <v>6765</v>
      </c>
      <c r="B1742" s="26" t="s">
        <v>6766</v>
      </c>
      <c r="C1742" s="26" t="s">
        <v>363</v>
      </c>
      <c r="D1742" s="26" t="s">
        <v>59</v>
      </c>
      <c r="E1742" s="26" t="s">
        <v>6767</v>
      </c>
      <c r="F1742" s="26" t="s">
        <v>2097</v>
      </c>
      <c r="G1742" s="26" t="s">
        <v>127</v>
      </c>
      <c r="H1742" s="26" t="s">
        <v>53</v>
      </c>
      <c r="I1742" s="26" t="s">
        <v>113</v>
      </c>
      <c r="J1742" s="26">
        <v>2.0</v>
      </c>
      <c r="K1742" s="26" t="s">
        <v>6768</v>
      </c>
      <c r="L1742" s="26" t="s">
        <v>23</v>
      </c>
      <c r="M1742" s="26" t="s">
        <v>94</v>
      </c>
      <c r="N1742" s="26" t="s">
        <v>307</v>
      </c>
      <c r="O1742" s="26">
        <v>4.0</v>
      </c>
    </row>
    <row r="1743" ht="15.75" customHeight="1">
      <c r="A1743" s="26" t="s">
        <v>6769</v>
      </c>
      <c r="B1743" s="26" t="s">
        <v>6770</v>
      </c>
      <c r="C1743" s="26" t="s">
        <v>363</v>
      </c>
      <c r="D1743" s="26" t="s">
        <v>36</v>
      </c>
      <c r="E1743" s="26" t="s">
        <v>6771</v>
      </c>
      <c r="F1743" s="26" t="s">
        <v>1583</v>
      </c>
      <c r="G1743" s="26" t="s">
        <v>73</v>
      </c>
      <c r="H1743" s="26" t="s">
        <v>46</v>
      </c>
      <c r="I1743" s="26" t="s">
        <v>108</v>
      </c>
      <c r="J1743" s="26">
        <v>3.0</v>
      </c>
      <c r="K1743" s="26" t="s">
        <v>491</v>
      </c>
      <c r="L1743" s="26" t="s">
        <v>29</v>
      </c>
      <c r="M1743" s="26" t="s">
        <v>95</v>
      </c>
      <c r="N1743" s="26" t="s">
        <v>307</v>
      </c>
      <c r="O1743" s="26">
        <v>8.0</v>
      </c>
    </row>
    <row r="1744" ht="15.75" customHeight="1">
      <c r="A1744" s="26" t="s">
        <v>6772</v>
      </c>
      <c r="B1744" s="26" t="s">
        <v>6773</v>
      </c>
      <c r="C1744" s="26" t="s">
        <v>363</v>
      </c>
      <c r="D1744" s="26" t="s">
        <v>50</v>
      </c>
      <c r="E1744" s="26" t="s">
        <v>6774</v>
      </c>
      <c r="F1744" s="26" t="s">
        <v>2741</v>
      </c>
      <c r="G1744" s="26" t="s">
        <v>110</v>
      </c>
      <c r="H1744" s="26" t="s">
        <v>71</v>
      </c>
      <c r="I1744" s="26"/>
      <c r="J1744" s="26">
        <v>1.0</v>
      </c>
      <c r="K1744" s="26" t="s">
        <v>491</v>
      </c>
      <c r="L1744" s="26" t="s">
        <v>29</v>
      </c>
      <c r="M1744" s="26" t="s">
        <v>95</v>
      </c>
      <c r="N1744" s="26" t="s">
        <v>307</v>
      </c>
      <c r="O1744" s="26">
        <v>8.0</v>
      </c>
    </row>
    <row r="1745" ht="15.75" customHeight="1">
      <c r="A1745" s="26" t="s">
        <v>6775</v>
      </c>
      <c r="B1745" s="26" t="s">
        <v>6776</v>
      </c>
      <c r="C1745" s="26" t="s">
        <v>363</v>
      </c>
      <c r="D1745" s="26" t="s">
        <v>50</v>
      </c>
      <c r="E1745" s="26" t="s">
        <v>6777</v>
      </c>
      <c r="F1745" s="26" t="s">
        <v>847</v>
      </c>
      <c r="G1745" s="26" t="s">
        <v>328</v>
      </c>
      <c r="H1745" s="26" t="s">
        <v>49</v>
      </c>
      <c r="I1745" s="26"/>
      <c r="J1745" s="26">
        <v>1.0</v>
      </c>
      <c r="K1745" s="26" t="s">
        <v>6778</v>
      </c>
      <c r="L1745" s="26" t="s">
        <v>15</v>
      </c>
      <c r="M1745" s="26" t="s">
        <v>81</v>
      </c>
      <c r="N1745" s="26" t="s">
        <v>307</v>
      </c>
      <c r="O1745" s="26">
        <v>7.0</v>
      </c>
    </row>
    <row r="1746" ht="15.75" customHeight="1">
      <c r="A1746" s="26" t="s">
        <v>6779</v>
      </c>
      <c r="B1746" s="26" t="s">
        <v>6780</v>
      </c>
      <c r="C1746" s="26" t="s">
        <v>363</v>
      </c>
      <c r="D1746" s="26" t="s">
        <v>50</v>
      </c>
      <c r="E1746" s="26" t="s">
        <v>6781</v>
      </c>
      <c r="F1746" s="26" t="s">
        <v>1309</v>
      </c>
      <c r="G1746" s="26" t="s">
        <v>245</v>
      </c>
      <c r="H1746" s="26" t="s">
        <v>57</v>
      </c>
      <c r="I1746" s="26" t="s">
        <v>328</v>
      </c>
      <c r="J1746" s="26">
        <v>3.0</v>
      </c>
      <c r="K1746" s="26" t="s">
        <v>6782</v>
      </c>
      <c r="L1746" s="26" t="s">
        <v>15</v>
      </c>
      <c r="M1746" s="26" t="s">
        <v>81</v>
      </c>
      <c r="N1746" s="26" t="s">
        <v>307</v>
      </c>
      <c r="O1746" s="26">
        <v>7.0</v>
      </c>
    </row>
    <row r="1747" ht="15.75" customHeight="1">
      <c r="A1747" s="26" t="s">
        <v>6783</v>
      </c>
      <c r="B1747" s="26" t="s">
        <v>6784</v>
      </c>
      <c r="C1747" s="26" t="s">
        <v>363</v>
      </c>
      <c r="D1747" s="26" t="s">
        <v>36</v>
      </c>
      <c r="E1747" s="26" t="s">
        <v>6785</v>
      </c>
      <c r="F1747" s="26" t="s">
        <v>681</v>
      </c>
      <c r="G1747" s="26" t="s">
        <v>58</v>
      </c>
      <c r="H1747" s="26" t="s">
        <v>49</v>
      </c>
      <c r="I1747" s="26" t="s">
        <v>104</v>
      </c>
      <c r="J1747" s="26">
        <v>4.0</v>
      </c>
      <c r="K1747" s="26" t="s">
        <v>6786</v>
      </c>
      <c r="L1747" s="26" t="s">
        <v>19</v>
      </c>
      <c r="M1747" s="26" t="s">
        <v>81</v>
      </c>
      <c r="N1747" s="26" t="s">
        <v>307</v>
      </c>
      <c r="O1747" s="26">
        <v>4.0</v>
      </c>
    </row>
    <row r="1748" ht="15.75" customHeight="1">
      <c r="A1748" s="26" t="s">
        <v>6787</v>
      </c>
      <c r="B1748" s="26" t="s">
        <v>6788</v>
      </c>
      <c r="C1748" s="26" t="s">
        <v>363</v>
      </c>
      <c r="D1748" s="26" t="s">
        <v>59</v>
      </c>
      <c r="E1748" s="26" t="s">
        <v>855</v>
      </c>
      <c r="F1748" s="26" t="s">
        <v>423</v>
      </c>
      <c r="G1748" s="26" t="s">
        <v>117</v>
      </c>
      <c r="H1748" s="26" t="s">
        <v>34</v>
      </c>
      <c r="I1748" s="26" t="s">
        <v>113</v>
      </c>
      <c r="J1748" s="26">
        <v>3.0</v>
      </c>
      <c r="K1748" s="26" t="s">
        <v>856</v>
      </c>
      <c r="L1748" s="26" t="s">
        <v>19</v>
      </c>
      <c r="M1748" s="26" t="s">
        <v>81</v>
      </c>
      <c r="N1748" s="26" t="s">
        <v>307</v>
      </c>
      <c r="O1748" s="26">
        <v>5.0</v>
      </c>
    </row>
    <row r="1749" ht="15.75" customHeight="1">
      <c r="A1749" s="26" t="s">
        <v>6789</v>
      </c>
      <c r="B1749" s="26" t="s">
        <v>6790</v>
      </c>
      <c r="C1749" s="26" t="s">
        <v>300</v>
      </c>
      <c r="D1749" s="26" t="s">
        <v>36</v>
      </c>
      <c r="E1749" s="26" t="s">
        <v>133</v>
      </c>
      <c r="F1749" s="26" t="s">
        <v>663</v>
      </c>
      <c r="G1749" s="26" t="s">
        <v>44</v>
      </c>
      <c r="H1749" s="26" t="s">
        <v>34</v>
      </c>
      <c r="I1749" s="26"/>
      <c r="J1749" s="26">
        <v>1.0</v>
      </c>
      <c r="K1749" s="26" t="s">
        <v>134</v>
      </c>
      <c r="L1749" s="26" t="s">
        <v>15</v>
      </c>
      <c r="M1749" s="26" t="s">
        <v>81</v>
      </c>
      <c r="N1749" s="26" t="s">
        <v>307</v>
      </c>
      <c r="O1749" s="26">
        <v>5.0</v>
      </c>
    </row>
    <row r="1750" ht="15.75" customHeight="1">
      <c r="A1750" s="26" t="s">
        <v>6791</v>
      </c>
      <c r="B1750" s="26" t="s">
        <v>6792</v>
      </c>
      <c r="C1750" s="26" t="s">
        <v>363</v>
      </c>
      <c r="D1750" s="26" t="s">
        <v>62</v>
      </c>
      <c r="E1750" s="26" t="s">
        <v>908</v>
      </c>
      <c r="F1750" s="26" t="s">
        <v>1245</v>
      </c>
      <c r="G1750" s="26" t="s">
        <v>119</v>
      </c>
      <c r="H1750" s="26" t="s">
        <v>57</v>
      </c>
      <c r="I1750" s="26"/>
      <c r="J1750" s="26">
        <v>1.0</v>
      </c>
      <c r="K1750" s="26"/>
      <c r="L1750" s="26" t="s">
        <v>25</v>
      </c>
      <c r="M1750" s="26" t="s">
        <v>97</v>
      </c>
      <c r="N1750" s="26" t="s">
        <v>307</v>
      </c>
      <c r="O1750" s="26"/>
    </row>
    <row r="1751" ht="15.75" customHeight="1">
      <c r="A1751" s="26" t="s">
        <v>6793</v>
      </c>
      <c r="B1751" s="26" t="s">
        <v>6794</v>
      </c>
      <c r="C1751" s="26" t="s">
        <v>363</v>
      </c>
      <c r="D1751" s="26" t="s">
        <v>50</v>
      </c>
      <c r="E1751" s="26" t="s">
        <v>6795</v>
      </c>
      <c r="F1751" s="26" t="s">
        <v>336</v>
      </c>
      <c r="G1751" s="26" t="s">
        <v>75</v>
      </c>
      <c r="H1751" s="26" t="s">
        <v>53</v>
      </c>
      <c r="I1751" s="26" t="s">
        <v>548</v>
      </c>
      <c r="J1751" s="26">
        <v>2.0</v>
      </c>
      <c r="K1751" s="26" t="s">
        <v>6796</v>
      </c>
      <c r="L1751" s="26" t="s">
        <v>15</v>
      </c>
      <c r="M1751" s="26" t="s">
        <v>81</v>
      </c>
      <c r="N1751" s="26" t="s">
        <v>307</v>
      </c>
      <c r="O1751" s="26">
        <v>7.0</v>
      </c>
    </row>
    <row r="1752" ht="15.75" customHeight="1">
      <c r="A1752" s="26" t="s">
        <v>6797</v>
      </c>
      <c r="B1752" s="26" t="s">
        <v>6798</v>
      </c>
      <c r="C1752" s="26" t="s">
        <v>312</v>
      </c>
      <c r="D1752" s="26" t="s">
        <v>36</v>
      </c>
      <c r="E1752" s="26" t="s">
        <v>6799</v>
      </c>
      <c r="F1752" s="26" t="s">
        <v>1292</v>
      </c>
      <c r="G1752" s="26" t="s">
        <v>65</v>
      </c>
      <c r="H1752" s="26" t="s">
        <v>34</v>
      </c>
      <c r="I1752" s="26" t="s">
        <v>92</v>
      </c>
      <c r="J1752" s="26">
        <v>2.0</v>
      </c>
      <c r="K1752" s="26" t="s">
        <v>6800</v>
      </c>
      <c r="L1752" s="26" t="s">
        <v>15</v>
      </c>
      <c r="M1752" s="26" t="s">
        <v>81</v>
      </c>
      <c r="N1752" s="26" t="s">
        <v>307</v>
      </c>
      <c r="O1752" s="26">
        <v>5.0</v>
      </c>
    </row>
    <row r="1753" ht="15.75" customHeight="1">
      <c r="A1753" s="26" t="s">
        <v>6801</v>
      </c>
      <c r="B1753" s="26" t="s">
        <v>6802</v>
      </c>
      <c r="C1753" s="26" t="s">
        <v>312</v>
      </c>
      <c r="D1753" s="26" t="s">
        <v>54</v>
      </c>
      <c r="E1753" s="26" t="s">
        <v>761</v>
      </c>
      <c r="F1753" s="26" t="s">
        <v>790</v>
      </c>
      <c r="G1753" s="26" t="s">
        <v>646</v>
      </c>
      <c r="H1753" s="26" t="s">
        <v>46</v>
      </c>
      <c r="I1753" s="26"/>
      <c r="J1753" s="26">
        <v>0.0</v>
      </c>
      <c r="K1753" s="26" t="s">
        <v>6803</v>
      </c>
      <c r="L1753" s="26" t="s">
        <v>15</v>
      </c>
      <c r="M1753" s="26" t="s">
        <v>81</v>
      </c>
      <c r="N1753" s="26" t="s">
        <v>307</v>
      </c>
      <c r="O1753" s="26">
        <v>4.0</v>
      </c>
    </row>
    <row r="1754" ht="15.75" customHeight="1">
      <c r="A1754" s="26" t="s">
        <v>6804</v>
      </c>
      <c r="B1754" s="26" t="s">
        <v>6805</v>
      </c>
      <c r="C1754" s="26" t="s">
        <v>363</v>
      </c>
      <c r="D1754" s="26" t="s">
        <v>59</v>
      </c>
      <c r="E1754" s="26" t="s">
        <v>901</v>
      </c>
      <c r="F1754" s="26" t="s">
        <v>6806</v>
      </c>
      <c r="G1754" s="26" t="s">
        <v>843</v>
      </c>
      <c r="H1754" s="26" t="s">
        <v>46</v>
      </c>
      <c r="I1754" s="26"/>
      <c r="J1754" s="26">
        <v>1.0</v>
      </c>
      <c r="K1754" s="26" t="s">
        <v>856</v>
      </c>
      <c r="L1754" s="26" t="s">
        <v>15</v>
      </c>
      <c r="M1754" s="26" t="s">
        <v>81</v>
      </c>
      <c r="N1754" s="26" t="s">
        <v>307</v>
      </c>
      <c r="O1754" s="26">
        <v>5.0</v>
      </c>
    </row>
    <row r="1755" ht="15.75" customHeight="1">
      <c r="A1755" s="26" t="s">
        <v>6807</v>
      </c>
      <c r="B1755" s="26" t="s">
        <v>6808</v>
      </c>
      <c r="C1755" s="26" t="s">
        <v>312</v>
      </c>
      <c r="D1755" s="26" t="s">
        <v>48</v>
      </c>
      <c r="E1755" s="26" t="s">
        <v>6809</v>
      </c>
      <c r="F1755" s="26" t="s">
        <v>1014</v>
      </c>
      <c r="G1755" s="26" t="s">
        <v>248</v>
      </c>
      <c r="H1755" s="26" t="s">
        <v>46</v>
      </c>
      <c r="I1755" s="26"/>
      <c r="J1755" s="26">
        <v>1.0</v>
      </c>
      <c r="K1755" s="26" t="s">
        <v>6810</v>
      </c>
      <c r="L1755" s="26" t="s">
        <v>15</v>
      </c>
      <c r="M1755" s="26" t="s">
        <v>81</v>
      </c>
      <c r="N1755" s="26" t="s">
        <v>307</v>
      </c>
      <c r="O1755" s="26">
        <v>0.0</v>
      </c>
    </row>
    <row r="1756" ht="15.75" customHeight="1">
      <c r="A1756" s="26" t="s">
        <v>6811</v>
      </c>
      <c r="B1756" s="26" t="s">
        <v>6812</v>
      </c>
      <c r="C1756" s="26" t="s">
        <v>300</v>
      </c>
      <c r="D1756" s="26" t="s">
        <v>54</v>
      </c>
      <c r="E1756" s="26" t="s">
        <v>771</v>
      </c>
      <c r="F1756" s="26" t="s">
        <v>1575</v>
      </c>
      <c r="G1756" s="26" t="s">
        <v>572</v>
      </c>
      <c r="H1756" s="26" t="s">
        <v>46</v>
      </c>
      <c r="I1756" s="26" t="s">
        <v>717</v>
      </c>
      <c r="J1756" s="26">
        <v>2.0</v>
      </c>
      <c r="K1756" s="26" t="s">
        <v>773</v>
      </c>
      <c r="L1756" s="26" t="s">
        <v>15</v>
      </c>
      <c r="M1756" s="26" t="s">
        <v>81</v>
      </c>
      <c r="N1756" s="26" t="s">
        <v>307</v>
      </c>
      <c r="O1756" s="26">
        <v>8.0</v>
      </c>
    </row>
    <row r="1757" ht="15.75" customHeight="1">
      <c r="A1757" s="26" t="s">
        <v>6813</v>
      </c>
      <c r="B1757" s="26" t="s">
        <v>6814</v>
      </c>
      <c r="C1757" s="26" t="s">
        <v>312</v>
      </c>
      <c r="D1757" s="26" t="s">
        <v>48</v>
      </c>
      <c r="E1757" s="26" t="s">
        <v>6815</v>
      </c>
      <c r="F1757" s="26" t="s">
        <v>1014</v>
      </c>
      <c r="G1757" s="26" t="s">
        <v>248</v>
      </c>
      <c r="H1757" s="26" t="s">
        <v>46</v>
      </c>
      <c r="I1757" s="26"/>
      <c r="J1757" s="26">
        <v>1.0</v>
      </c>
      <c r="K1757" s="26" t="s">
        <v>6816</v>
      </c>
      <c r="L1757" s="26" t="s">
        <v>15</v>
      </c>
      <c r="M1757" s="26" t="s">
        <v>81</v>
      </c>
      <c r="N1757" s="26" t="s">
        <v>307</v>
      </c>
      <c r="O1757" s="26">
        <v>0.0</v>
      </c>
    </row>
    <row r="1758" ht="15.75" customHeight="1">
      <c r="A1758" s="26" t="s">
        <v>6817</v>
      </c>
      <c r="B1758" s="26" t="s">
        <v>6818</v>
      </c>
      <c r="C1758" s="26" t="s">
        <v>363</v>
      </c>
      <c r="D1758" s="26" t="s">
        <v>48</v>
      </c>
      <c r="E1758" s="26" t="s">
        <v>6819</v>
      </c>
      <c r="F1758" s="26" t="s">
        <v>366</v>
      </c>
      <c r="G1758" s="26" t="s">
        <v>258</v>
      </c>
      <c r="H1758" s="26" t="s">
        <v>61</v>
      </c>
      <c r="I1758" s="26"/>
      <c r="J1758" s="26">
        <v>1.0</v>
      </c>
      <c r="K1758" s="26" t="s">
        <v>6820</v>
      </c>
      <c r="L1758" s="26" t="s">
        <v>15</v>
      </c>
      <c r="M1758" s="26" t="s">
        <v>81</v>
      </c>
      <c r="N1758" s="26" t="s">
        <v>307</v>
      </c>
      <c r="O1758" s="26">
        <v>0.0</v>
      </c>
    </row>
    <row r="1759" ht="15.75" customHeight="1">
      <c r="A1759" s="26" t="s">
        <v>6821</v>
      </c>
      <c r="B1759" s="26" t="s">
        <v>6822</v>
      </c>
      <c r="C1759" s="26" t="s">
        <v>363</v>
      </c>
      <c r="D1759" s="26" t="s">
        <v>50</v>
      </c>
      <c r="E1759" s="26" t="s">
        <v>6823</v>
      </c>
      <c r="F1759" s="26" t="s">
        <v>902</v>
      </c>
      <c r="G1759" s="26" t="s">
        <v>189</v>
      </c>
      <c r="H1759" s="26" t="s">
        <v>34</v>
      </c>
      <c r="I1759" s="26" t="s">
        <v>245</v>
      </c>
      <c r="J1759" s="26">
        <v>4.0</v>
      </c>
      <c r="K1759" s="26" t="s">
        <v>6824</v>
      </c>
      <c r="L1759" s="26" t="s">
        <v>19</v>
      </c>
      <c r="M1759" s="26" t="s">
        <v>81</v>
      </c>
      <c r="N1759" s="26" t="s">
        <v>307</v>
      </c>
      <c r="O1759" s="26">
        <v>7.0</v>
      </c>
    </row>
    <row r="1760" ht="15.75" customHeight="1">
      <c r="A1760" s="26" t="s">
        <v>6825</v>
      </c>
      <c r="B1760" s="26" t="s">
        <v>6826</v>
      </c>
      <c r="C1760" s="26" t="s">
        <v>300</v>
      </c>
      <c r="D1760" s="26" t="s">
        <v>72</v>
      </c>
      <c r="E1760" s="26" t="s">
        <v>6827</v>
      </c>
      <c r="F1760" s="26" t="s">
        <v>2422</v>
      </c>
      <c r="G1760" s="26" t="s">
        <v>90</v>
      </c>
      <c r="H1760" s="26" t="s">
        <v>34</v>
      </c>
      <c r="I1760" s="26"/>
      <c r="J1760" s="26">
        <v>1.0</v>
      </c>
      <c r="K1760" s="26" t="s">
        <v>136</v>
      </c>
      <c r="L1760" s="26" t="s">
        <v>29</v>
      </c>
      <c r="M1760" s="26" t="s">
        <v>95</v>
      </c>
      <c r="N1760" s="26" t="s">
        <v>307</v>
      </c>
      <c r="O1760" s="26">
        <v>8.0</v>
      </c>
    </row>
    <row r="1761" ht="15.75" customHeight="1">
      <c r="A1761" s="26" t="s">
        <v>6828</v>
      </c>
      <c r="B1761" s="26" t="s">
        <v>6829</v>
      </c>
      <c r="C1761" s="26" t="s">
        <v>429</v>
      </c>
      <c r="D1761" s="26" t="s">
        <v>48</v>
      </c>
      <c r="E1761" s="26" t="s">
        <v>6830</v>
      </c>
      <c r="F1761" s="26" t="s">
        <v>366</v>
      </c>
      <c r="G1761" s="26" t="s">
        <v>258</v>
      </c>
      <c r="H1761" s="26" t="s">
        <v>61</v>
      </c>
      <c r="I1761" s="26" t="s">
        <v>313</v>
      </c>
      <c r="J1761" s="26">
        <v>3.0</v>
      </c>
      <c r="K1761" s="26" t="s">
        <v>6831</v>
      </c>
      <c r="L1761" s="26" t="s">
        <v>15</v>
      </c>
      <c r="M1761" s="26" t="s">
        <v>81</v>
      </c>
      <c r="N1761" s="26" t="s">
        <v>307</v>
      </c>
      <c r="O1761" s="26">
        <v>0.0</v>
      </c>
    </row>
    <row r="1762" ht="15.75" customHeight="1">
      <c r="A1762" s="26" t="s">
        <v>6832</v>
      </c>
      <c r="B1762" s="26" t="s">
        <v>6833</v>
      </c>
      <c r="C1762" s="26" t="s">
        <v>312</v>
      </c>
      <c r="D1762" s="26" t="s">
        <v>54</v>
      </c>
      <c r="E1762" s="26" t="s">
        <v>6834</v>
      </c>
      <c r="F1762" s="26" t="s">
        <v>644</v>
      </c>
      <c r="G1762" s="26" t="s">
        <v>217</v>
      </c>
      <c r="H1762" s="26" t="s">
        <v>52</v>
      </c>
      <c r="I1762" s="26"/>
      <c r="J1762" s="26">
        <v>1.0</v>
      </c>
      <c r="K1762" s="26" t="s">
        <v>692</v>
      </c>
      <c r="L1762" s="26" t="s">
        <v>15</v>
      </c>
      <c r="M1762" s="26" t="s">
        <v>81</v>
      </c>
      <c r="N1762" s="26" t="s">
        <v>307</v>
      </c>
      <c r="O1762" s="26">
        <v>5.0</v>
      </c>
    </row>
    <row r="1763" ht="15.75" customHeight="1">
      <c r="A1763" s="26" t="s">
        <v>6835</v>
      </c>
      <c r="B1763" s="26" t="s">
        <v>6836</v>
      </c>
      <c r="C1763" s="26" t="s">
        <v>312</v>
      </c>
      <c r="D1763" s="26" t="s">
        <v>48</v>
      </c>
      <c r="E1763" s="26" t="s">
        <v>6837</v>
      </c>
      <c r="F1763" s="26" t="s">
        <v>366</v>
      </c>
      <c r="G1763" s="26" t="s">
        <v>258</v>
      </c>
      <c r="H1763" s="26" t="s">
        <v>61</v>
      </c>
      <c r="I1763" s="26" t="s">
        <v>339</v>
      </c>
      <c r="J1763" s="26">
        <v>3.0</v>
      </c>
      <c r="K1763" s="26" t="s">
        <v>6838</v>
      </c>
      <c r="L1763" s="26" t="s">
        <v>15</v>
      </c>
      <c r="M1763" s="26" t="s">
        <v>81</v>
      </c>
      <c r="N1763" s="26" t="s">
        <v>307</v>
      </c>
      <c r="O1763" s="26">
        <v>0.0</v>
      </c>
    </row>
    <row r="1764" ht="15.75" customHeight="1">
      <c r="A1764" s="26" t="s">
        <v>6839</v>
      </c>
      <c r="B1764" s="26" t="s">
        <v>6840</v>
      </c>
      <c r="C1764" s="26" t="s">
        <v>312</v>
      </c>
      <c r="D1764" s="26" t="s">
        <v>72</v>
      </c>
      <c r="E1764" s="26" t="s">
        <v>6841</v>
      </c>
      <c r="F1764" s="26" t="s">
        <v>2422</v>
      </c>
      <c r="G1764" s="26" t="s">
        <v>90</v>
      </c>
      <c r="H1764" s="26" t="s">
        <v>34</v>
      </c>
      <c r="I1764" s="26"/>
      <c r="J1764" s="26">
        <v>1.0</v>
      </c>
      <c r="K1764" s="26" t="s">
        <v>136</v>
      </c>
      <c r="L1764" s="26" t="s">
        <v>29</v>
      </c>
      <c r="M1764" s="26" t="s">
        <v>95</v>
      </c>
      <c r="N1764" s="26" t="s">
        <v>307</v>
      </c>
      <c r="O1764" s="26">
        <v>7.0</v>
      </c>
    </row>
    <row r="1765" ht="15.75" customHeight="1">
      <c r="A1765" s="26" t="s">
        <v>6842</v>
      </c>
      <c r="B1765" s="26" t="s">
        <v>6843</v>
      </c>
      <c r="C1765" s="26" t="s">
        <v>363</v>
      </c>
      <c r="D1765" s="26" t="s">
        <v>72</v>
      </c>
      <c r="E1765" s="26" t="s">
        <v>6844</v>
      </c>
      <c r="F1765" s="26" t="s">
        <v>2422</v>
      </c>
      <c r="G1765" s="26" t="s">
        <v>90</v>
      </c>
      <c r="H1765" s="26" t="s">
        <v>34</v>
      </c>
      <c r="I1765" s="26"/>
      <c r="J1765" s="26">
        <v>1.0</v>
      </c>
      <c r="K1765" s="26" t="s">
        <v>136</v>
      </c>
      <c r="L1765" s="26" t="s">
        <v>29</v>
      </c>
      <c r="M1765" s="26" t="s">
        <v>95</v>
      </c>
      <c r="N1765" s="26" t="s">
        <v>307</v>
      </c>
      <c r="O1765" s="26">
        <v>7.0</v>
      </c>
    </row>
    <row r="1766" ht="15.75" customHeight="1">
      <c r="A1766" s="26" t="s">
        <v>6845</v>
      </c>
      <c r="B1766" s="26" t="s">
        <v>6846</v>
      </c>
      <c r="C1766" s="26" t="s">
        <v>363</v>
      </c>
      <c r="D1766" s="26" t="s">
        <v>36</v>
      </c>
      <c r="E1766" s="26" t="s">
        <v>6847</v>
      </c>
      <c r="F1766" s="26" t="s">
        <v>315</v>
      </c>
      <c r="G1766" s="26" t="s">
        <v>47</v>
      </c>
      <c r="H1766" s="26" t="s">
        <v>34</v>
      </c>
      <c r="I1766" s="26" t="s">
        <v>82</v>
      </c>
      <c r="J1766" s="26">
        <v>2.0</v>
      </c>
      <c r="K1766" s="26" t="s">
        <v>6848</v>
      </c>
      <c r="L1766" s="26" t="s">
        <v>15</v>
      </c>
      <c r="M1766" s="26" t="s">
        <v>81</v>
      </c>
      <c r="N1766" s="26" t="s">
        <v>307</v>
      </c>
      <c r="O1766" s="26">
        <v>4.0</v>
      </c>
    </row>
    <row r="1767" ht="15.75" customHeight="1">
      <c r="A1767" s="26" t="s">
        <v>6849</v>
      </c>
      <c r="B1767" s="26" t="s">
        <v>6850</v>
      </c>
      <c r="C1767" s="26" t="s">
        <v>892</v>
      </c>
      <c r="D1767" s="26" t="s">
        <v>48</v>
      </c>
      <c r="E1767" s="26" t="s">
        <v>6851</v>
      </c>
      <c r="F1767" s="26" t="s">
        <v>366</v>
      </c>
      <c r="G1767" s="26" t="s">
        <v>258</v>
      </c>
      <c r="H1767" s="26" t="s">
        <v>61</v>
      </c>
      <c r="I1767" s="26"/>
      <c r="J1767" s="26">
        <v>1.0</v>
      </c>
      <c r="K1767" s="26" t="s">
        <v>6852</v>
      </c>
      <c r="L1767" s="26" t="s">
        <v>15</v>
      </c>
      <c r="M1767" s="26" t="s">
        <v>81</v>
      </c>
      <c r="N1767" s="26" t="s">
        <v>307</v>
      </c>
      <c r="O1767" s="26">
        <v>0.0</v>
      </c>
    </row>
    <row r="1768" ht="15.75" customHeight="1">
      <c r="A1768" s="26" t="s">
        <v>6853</v>
      </c>
      <c r="B1768" s="26" t="s">
        <v>6854</v>
      </c>
      <c r="C1768" s="26" t="s">
        <v>363</v>
      </c>
      <c r="D1768" s="26" t="s">
        <v>76</v>
      </c>
      <c r="E1768" s="26" t="s">
        <v>1206</v>
      </c>
      <c r="F1768" s="26" t="s">
        <v>2666</v>
      </c>
      <c r="G1768" s="26" t="s">
        <v>1205</v>
      </c>
      <c r="H1768" s="26" t="s">
        <v>49</v>
      </c>
      <c r="I1768" s="26"/>
      <c r="J1768" s="26">
        <v>1.0</v>
      </c>
      <c r="K1768" s="26" t="s">
        <v>1207</v>
      </c>
      <c r="L1768" s="26" t="s">
        <v>15</v>
      </c>
      <c r="M1768" s="26" t="s">
        <v>81</v>
      </c>
      <c r="N1768" s="26" t="s">
        <v>307</v>
      </c>
      <c r="O1768" s="26">
        <v>7.0</v>
      </c>
    </row>
    <row r="1769" ht="15.75" customHeight="1">
      <c r="A1769" s="26" t="s">
        <v>6855</v>
      </c>
      <c r="B1769" s="26" t="s">
        <v>6856</v>
      </c>
      <c r="C1769" s="26" t="s">
        <v>892</v>
      </c>
      <c r="D1769" s="26" t="s">
        <v>48</v>
      </c>
      <c r="E1769" s="26" t="s">
        <v>6857</v>
      </c>
      <c r="F1769" s="26" t="s">
        <v>973</v>
      </c>
      <c r="G1769" s="26" t="s">
        <v>299</v>
      </c>
      <c r="H1769" s="26" t="s">
        <v>34</v>
      </c>
      <c r="I1769" s="26" t="s">
        <v>248</v>
      </c>
      <c r="J1769" s="26">
        <v>3.0</v>
      </c>
      <c r="K1769" s="26" t="s">
        <v>6858</v>
      </c>
      <c r="L1769" s="26" t="s">
        <v>15</v>
      </c>
      <c r="M1769" s="26" t="s">
        <v>81</v>
      </c>
      <c r="N1769" s="26" t="s">
        <v>307</v>
      </c>
      <c r="O1769" s="26">
        <v>5.0</v>
      </c>
    </row>
    <row r="1770" ht="15.75" customHeight="1">
      <c r="A1770" s="26" t="s">
        <v>6859</v>
      </c>
      <c r="B1770" s="26" t="s">
        <v>6860</v>
      </c>
      <c r="C1770" s="26" t="s">
        <v>312</v>
      </c>
      <c r="D1770" s="26" t="s">
        <v>36</v>
      </c>
      <c r="E1770" s="26" t="s">
        <v>6861</v>
      </c>
      <c r="F1770" s="26" t="s">
        <v>663</v>
      </c>
      <c r="G1770" s="26" t="s">
        <v>44</v>
      </c>
      <c r="H1770" s="26" t="s">
        <v>34</v>
      </c>
      <c r="I1770" s="26" t="s">
        <v>101</v>
      </c>
      <c r="J1770" s="26">
        <v>2.0</v>
      </c>
      <c r="K1770" s="26" t="s">
        <v>6862</v>
      </c>
      <c r="L1770" s="26" t="s">
        <v>15</v>
      </c>
      <c r="M1770" s="26" t="s">
        <v>81</v>
      </c>
      <c r="N1770" s="26" t="s">
        <v>307</v>
      </c>
      <c r="O1770" s="26">
        <v>3.0</v>
      </c>
    </row>
    <row r="1771" ht="15.75" customHeight="1">
      <c r="A1771" s="26" t="s">
        <v>6863</v>
      </c>
      <c r="B1771" s="26" t="s">
        <v>6864</v>
      </c>
      <c r="C1771" s="26" t="s">
        <v>312</v>
      </c>
      <c r="D1771" s="26" t="s">
        <v>36</v>
      </c>
      <c r="E1771" s="26" t="s">
        <v>6865</v>
      </c>
      <c r="F1771" s="26" t="s">
        <v>663</v>
      </c>
      <c r="G1771" s="26" t="s">
        <v>44</v>
      </c>
      <c r="H1771" s="26" t="s">
        <v>34</v>
      </c>
      <c r="I1771" s="26"/>
      <c r="J1771" s="26">
        <v>1.0</v>
      </c>
      <c r="K1771" s="26" t="s">
        <v>6862</v>
      </c>
      <c r="L1771" s="26" t="s">
        <v>15</v>
      </c>
      <c r="M1771" s="26" t="s">
        <v>81</v>
      </c>
      <c r="N1771" s="26" t="s">
        <v>307</v>
      </c>
      <c r="O1771" s="26">
        <v>3.0</v>
      </c>
    </row>
    <row r="1772" ht="15.75" customHeight="1">
      <c r="A1772" s="26" t="s">
        <v>6866</v>
      </c>
      <c r="B1772" s="26" t="s">
        <v>6867</v>
      </c>
      <c r="C1772" s="26" t="s">
        <v>429</v>
      </c>
      <c r="D1772" s="26" t="s">
        <v>45</v>
      </c>
      <c r="E1772" s="26" t="s">
        <v>6868</v>
      </c>
      <c r="F1772" s="26" t="s">
        <v>799</v>
      </c>
      <c r="G1772" s="26" t="s">
        <v>130</v>
      </c>
      <c r="H1772" s="26" t="s">
        <v>34</v>
      </c>
      <c r="I1772" s="26" t="s">
        <v>166</v>
      </c>
      <c r="J1772" s="26">
        <v>3.0</v>
      </c>
      <c r="K1772" s="26" t="s">
        <v>418</v>
      </c>
      <c r="L1772" s="26" t="s">
        <v>23</v>
      </c>
      <c r="M1772" s="26" t="s">
        <v>94</v>
      </c>
      <c r="N1772" s="26" t="s">
        <v>307</v>
      </c>
      <c r="O1772" s="26">
        <v>6.0</v>
      </c>
    </row>
    <row r="1773" ht="15.75" customHeight="1">
      <c r="A1773" s="26" t="s">
        <v>6869</v>
      </c>
      <c r="B1773" s="26" t="s">
        <v>6870</v>
      </c>
      <c r="C1773" s="26" t="s">
        <v>363</v>
      </c>
      <c r="D1773" s="26" t="s">
        <v>45</v>
      </c>
      <c r="E1773" s="26" t="s">
        <v>417</v>
      </c>
      <c r="F1773" s="26" t="s">
        <v>391</v>
      </c>
      <c r="G1773" s="26" t="s">
        <v>114</v>
      </c>
      <c r="H1773" s="26" t="s">
        <v>74</v>
      </c>
      <c r="I1773" s="26"/>
      <c r="J1773" s="26">
        <v>0.0</v>
      </c>
      <c r="K1773" s="26" t="s">
        <v>418</v>
      </c>
      <c r="L1773" s="26" t="s">
        <v>23</v>
      </c>
      <c r="M1773" s="26" t="s">
        <v>94</v>
      </c>
      <c r="N1773" s="26" t="s">
        <v>307</v>
      </c>
      <c r="O1773" s="26">
        <v>6.0</v>
      </c>
    </row>
    <row r="1774" ht="15.75" customHeight="1">
      <c r="A1774" s="26" t="s">
        <v>6871</v>
      </c>
      <c r="B1774" s="26" t="s">
        <v>6872</v>
      </c>
      <c r="C1774" s="26" t="s">
        <v>363</v>
      </c>
      <c r="D1774" s="26" t="s">
        <v>59</v>
      </c>
      <c r="E1774" s="26" t="s">
        <v>6873</v>
      </c>
      <c r="F1774" s="26" t="s">
        <v>372</v>
      </c>
      <c r="G1774" s="26" t="s">
        <v>373</v>
      </c>
      <c r="H1774" s="26" t="s">
        <v>34</v>
      </c>
      <c r="I1774" s="26"/>
      <c r="J1774" s="26">
        <v>1.0</v>
      </c>
      <c r="K1774" s="26" t="s">
        <v>6874</v>
      </c>
      <c r="L1774" s="26" t="s">
        <v>15</v>
      </c>
      <c r="M1774" s="26" t="s">
        <v>81</v>
      </c>
      <c r="N1774" s="26" t="s">
        <v>307</v>
      </c>
      <c r="O1774" s="26">
        <v>5.0</v>
      </c>
    </row>
    <row r="1775" ht="15.75" customHeight="1">
      <c r="A1775" s="26" t="s">
        <v>6875</v>
      </c>
      <c r="B1775" s="26" t="s">
        <v>6876</v>
      </c>
      <c r="C1775" s="26" t="s">
        <v>312</v>
      </c>
      <c r="D1775" s="26" t="s">
        <v>50</v>
      </c>
      <c r="E1775" s="26" t="s">
        <v>6877</v>
      </c>
      <c r="F1775" s="26" t="s">
        <v>902</v>
      </c>
      <c r="G1775" s="26" t="s">
        <v>189</v>
      </c>
      <c r="H1775" s="26" t="s">
        <v>34</v>
      </c>
      <c r="I1775" s="26" t="s">
        <v>245</v>
      </c>
      <c r="J1775" s="26">
        <v>2.0</v>
      </c>
      <c r="K1775" s="26" t="s">
        <v>6878</v>
      </c>
      <c r="L1775" s="26" t="s">
        <v>15</v>
      </c>
      <c r="M1775" s="26" t="s">
        <v>81</v>
      </c>
      <c r="N1775" s="26" t="s">
        <v>307</v>
      </c>
      <c r="O1775" s="26">
        <v>5.0</v>
      </c>
    </row>
    <row r="1776" ht="15.75" customHeight="1">
      <c r="A1776" s="26" t="s">
        <v>6879</v>
      </c>
      <c r="B1776" s="26" t="s">
        <v>6880</v>
      </c>
      <c r="C1776" s="26" t="s">
        <v>300</v>
      </c>
      <c r="D1776" s="26" t="s">
        <v>48</v>
      </c>
      <c r="E1776" s="26" t="s">
        <v>6881</v>
      </c>
      <c r="F1776" s="26" t="s">
        <v>1727</v>
      </c>
      <c r="G1776" s="26" t="s">
        <v>284</v>
      </c>
      <c r="H1776" s="26" t="s">
        <v>46</v>
      </c>
      <c r="I1776" s="26"/>
      <c r="J1776" s="26">
        <v>0.0</v>
      </c>
      <c r="K1776" s="26" t="s">
        <v>6882</v>
      </c>
      <c r="L1776" s="26" t="s">
        <v>15</v>
      </c>
      <c r="M1776" s="26" t="s">
        <v>81</v>
      </c>
      <c r="N1776" s="26" t="s">
        <v>307</v>
      </c>
      <c r="O1776" s="26">
        <v>0.0</v>
      </c>
    </row>
    <row r="1777" ht="15.75" customHeight="1">
      <c r="A1777" s="26" t="s">
        <v>6883</v>
      </c>
      <c r="B1777" s="26" t="s">
        <v>6884</v>
      </c>
      <c r="C1777" s="26" t="s">
        <v>363</v>
      </c>
      <c r="D1777" s="26" t="s">
        <v>72</v>
      </c>
      <c r="E1777" s="26" t="s">
        <v>6885</v>
      </c>
      <c r="F1777" s="26" t="s">
        <v>2422</v>
      </c>
      <c r="G1777" s="26" t="s">
        <v>90</v>
      </c>
      <c r="H1777" s="26" t="s">
        <v>34</v>
      </c>
      <c r="I1777" s="26" t="s">
        <v>1184</v>
      </c>
      <c r="J1777" s="26">
        <v>2.0</v>
      </c>
      <c r="K1777" s="26" t="s">
        <v>136</v>
      </c>
      <c r="L1777" s="26" t="s">
        <v>29</v>
      </c>
      <c r="M1777" s="26" t="s">
        <v>95</v>
      </c>
      <c r="N1777" s="26" t="s">
        <v>307</v>
      </c>
      <c r="O1777" s="26">
        <v>6.0</v>
      </c>
    </row>
    <row r="1778" ht="15.75" customHeight="1">
      <c r="A1778" s="26" t="s">
        <v>6886</v>
      </c>
      <c r="B1778" s="26" t="s">
        <v>6887</v>
      </c>
      <c r="C1778" s="26" t="s">
        <v>312</v>
      </c>
      <c r="D1778" s="26" t="s">
        <v>36</v>
      </c>
      <c r="E1778" s="26" t="s">
        <v>6888</v>
      </c>
      <c r="F1778" s="26" t="s">
        <v>663</v>
      </c>
      <c r="G1778" s="26" t="s">
        <v>44</v>
      </c>
      <c r="H1778" s="26" t="s">
        <v>34</v>
      </c>
      <c r="I1778" s="26" t="s">
        <v>51</v>
      </c>
      <c r="J1778" s="26">
        <v>2.0</v>
      </c>
      <c r="K1778" s="26" t="s">
        <v>6889</v>
      </c>
      <c r="L1778" s="26" t="s">
        <v>15</v>
      </c>
      <c r="M1778" s="26" t="s">
        <v>87</v>
      </c>
      <c r="N1778" s="26" t="s">
        <v>307</v>
      </c>
      <c r="O1778" s="26">
        <v>4.0</v>
      </c>
    </row>
    <row r="1779" ht="15.75" customHeight="1">
      <c r="A1779" s="26" t="s">
        <v>6890</v>
      </c>
      <c r="B1779" s="26" t="s">
        <v>6891</v>
      </c>
      <c r="C1779" s="26" t="s">
        <v>3588</v>
      </c>
      <c r="D1779" s="26" t="s">
        <v>36</v>
      </c>
      <c r="E1779" s="26" t="s">
        <v>6892</v>
      </c>
      <c r="F1779" s="26" t="s">
        <v>5671</v>
      </c>
      <c r="G1779" s="26" t="s">
        <v>110</v>
      </c>
      <c r="H1779" s="26" t="s">
        <v>71</v>
      </c>
      <c r="I1779" s="26"/>
      <c r="J1779" s="26">
        <v>1.0</v>
      </c>
      <c r="K1779" s="26"/>
      <c r="L1779" s="26" t="s">
        <v>25</v>
      </c>
      <c r="M1779" s="26" t="s">
        <v>97</v>
      </c>
      <c r="N1779" s="26" t="s">
        <v>307</v>
      </c>
      <c r="O1779" s="26"/>
    </row>
    <row r="1780" ht="15.75" customHeight="1">
      <c r="A1780" s="26" t="s">
        <v>6893</v>
      </c>
      <c r="B1780" s="26" t="s">
        <v>6894</v>
      </c>
      <c r="C1780" s="26" t="s">
        <v>363</v>
      </c>
      <c r="D1780" s="26" t="s">
        <v>59</v>
      </c>
      <c r="E1780" s="26" t="s">
        <v>6895</v>
      </c>
      <c r="F1780" s="26" t="s">
        <v>2097</v>
      </c>
      <c r="G1780" s="26" t="s">
        <v>127</v>
      </c>
      <c r="H1780" s="26" t="s">
        <v>53</v>
      </c>
      <c r="I1780" s="26" t="s">
        <v>373</v>
      </c>
      <c r="J1780" s="26">
        <v>2.0</v>
      </c>
      <c r="K1780" s="26" t="s">
        <v>6896</v>
      </c>
      <c r="L1780" s="26" t="s">
        <v>15</v>
      </c>
      <c r="M1780" s="26" t="s">
        <v>81</v>
      </c>
      <c r="N1780" s="26" t="s">
        <v>307</v>
      </c>
      <c r="O1780" s="26">
        <v>4.0</v>
      </c>
    </row>
    <row r="1781" ht="15.75" customHeight="1">
      <c r="A1781" s="26" t="s">
        <v>6897</v>
      </c>
      <c r="B1781" s="26" t="s">
        <v>6898</v>
      </c>
      <c r="C1781" s="26" t="s">
        <v>312</v>
      </c>
      <c r="D1781" s="26" t="s">
        <v>100</v>
      </c>
      <c r="E1781" s="26" t="s">
        <v>1446</v>
      </c>
      <c r="F1781" s="26" t="s">
        <v>6327</v>
      </c>
      <c r="G1781" s="26" t="s">
        <v>1442</v>
      </c>
      <c r="H1781" s="26" t="s">
        <v>34</v>
      </c>
      <c r="I1781" s="26"/>
      <c r="J1781" s="26">
        <v>1.0</v>
      </c>
      <c r="K1781" s="26" t="s">
        <v>1447</v>
      </c>
      <c r="L1781" s="26" t="s">
        <v>23</v>
      </c>
      <c r="M1781" s="26" t="s">
        <v>94</v>
      </c>
      <c r="N1781" s="26" t="s">
        <v>307</v>
      </c>
      <c r="O1781" s="26">
        <v>0.0</v>
      </c>
    </row>
    <row r="1782" ht="15.75" customHeight="1">
      <c r="A1782" s="26" t="s">
        <v>6899</v>
      </c>
      <c r="B1782" s="26" t="s">
        <v>6900</v>
      </c>
      <c r="C1782" s="26" t="s">
        <v>3588</v>
      </c>
      <c r="D1782" s="26" t="s">
        <v>50</v>
      </c>
      <c r="E1782" s="26" t="s">
        <v>6901</v>
      </c>
      <c r="F1782" s="26" t="s">
        <v>2741</v>
      </c>
      <c r="G1782" s="26" t="s">
        <v>110</v>
      </c>
      <c r="H1782" s="26" t="s">
        <v>71</v>
      </c>
      <c r="I1782" s="26"/>
      <c r="J1782" s="26">
        <v>1.0</v>
      </c>
      <c r="K1782" s="26"/>
      <c r="L1782" s="26" t="s">
        <v>25</v>
      </c>
      <c r="M1782" s="26" t="s">
        <v>97</v>
      </c>
      <c r="N1782" s="26" t="s">
        <v>307</v>
      </c>
      <c r="O1782" s="26">
        <v>5.0</v>
      </c>
    </row>
    <row r="1783" ht="15.75" customHeight="1">
      <c r="A1783" s="26" t="s">
        <v>6902</v>
      </c>
      <c r="B1783" s="26" t="s">
        <v>6903</v>
      </c>
      <c r="C1783" s="26" t="s">
        <v>3588</v>
      </c>
      <c r="D1783" s="26" t="s">
        <v>50</v>
      </c>
      <c r="E1783" s="26" t="s">
        <v>6904</v>
      </c>
      <c r="F1783" s="26" t="s">
        <v>2741</v>
      </c>
      <c r="G1783" s="26" t="s">
        <v>110</v>
      </c>
      <c r="H1783" s="26" t="s">
        <v>71</v>
      </c>
      <c r="I1783" s="26"/>
      <c r="J1783" s="26">
        <v>1.0</v>
      </c>
      <c r="K1783" s="26"/>
      <c r="L1783" s="26" t="s">
        <v>25</v>
      </c>
      <c r="M1783" s="26" t="s">
        <v>97</v>
      </c>
      <c r="N1783" s="26" t="s">
        <v>307</v>
      </c>
      <c r="O1783" s="26">
        <v>5.0</v>
      </c>
    </row>
    <row r="1784" ht="15.75" customHeight="1">
      <c r="A1784" s="26" t="s">
        <v>6905</v>
      </c>
      <c r="B1784" s="26" t="s">
        <v>6906</v>
      </c>
      <c r="C1784" s="26" t="s">
        <v>363</v>
      </c>
      <c r="D1784" s="26" t="s">
        <v>36</v>
      </c>
      <c r="E1784" s="26" t="s">
        <v>179</v>
      </c>
      <c r="F1784" s="26" t="s">
        <v>2116</v>
      </c>
      <c r="G1784" s="26" t="s">
        <v>84</v>
      </c>
      <c r="H1784" s="26" t="s">
        <v>34</v>
      </c>
      <c r="I1784" s="26" t="s">
        <v>108</v>
      </c>
      <c r="J1784" s="26">
        <v>2.0</v>
      </c>
      <c r="K1784" s="26" t="s">
        <v>180</v>
      </c>
      <c r="L1784" s="26" t="s">
        <v>15</v>
      </c>
      <c r="M1784" s="26" t="s">
        <v>81</v>
      </c>
      <c r="N1784" s="26" t="s">
        <v>307</v>
      </c>
      <c r="O1784" s="26">
        <v>2.0</v>
      </c>
    </row>
    <row r="1785" ht="15.75" customHeight="1">
      <c r="A1785" s="26" t="s">
        <v>6907</v>
      </c>
      <c r="B1785" s="26" t="s">
        <v>6908</v>
      </c>
      <c r="C1785" s="26" t="s">
        <v>363</v>
      </c>
      <c r="D1785" s="26" t="s">
        <v>36</v>
      </c>
      <c r="E1785" s="26" t="s">
        <v>6909</v>
      </c>
      <c r="F1785" s="26" t="s">
        <v>3132</v>
      </c>
      <c r="G1785" s="26" t="s">
        <v>77</v>
      </c>
      <c r="H1785" s="26" t="s">
        <v>46</v>
      </c>
      <c r="I1785" s="26"/>
      <c r="J1785" s="26">
        <v>0.0</v>
      </c>
      <c r="K1785" s="26" t="s">
        <v>6910</v>
      </c>
      <c r="L1785" s="26" t="s">
        <v>19</v>
      </c>
      <c r="M1785" s="26" t="s">
        <v>87</v>
      </c>
      <c r="N1785" s="26" t="s">
        <v>307</v>
      </c>
      <c r="O1785" s="26">
        <v>1.0</v>
      </c>
    </row>
    <row r="1786" ht="15.75" customHeight="1">
      <c r="A1786" s="26" t="s">
        <v>6911</v>
      </c>
      <c r="B1786" s="26" t="s">
        <v>6912</v>
      </c>
      <c r="C1786" s="26" t="s">
        <v>363</v>
      </c>
      <c r="D1786" s="26" t="s">
        <v>36</v>
      </c>
      <c r="E1786" s="26" t="s">
        <v>6913</v>
      </c>
      <c r="F1786" s="26" t="s">
        <v>663</v>
      </c>
      <c r="G1786" s="26" t="s">
        <v>44</v>
      </c>
      <c r="H1786" s="26" t="s">
        <v>34</v>
      </c>
      <c r="I1786" s="26"/>
      <c r="J1786" s="26">
        <v>1.0</v>
      </c>
      <c r="K1786" s="26" t="s">
        <v>6910</v>
      </c>
      <c r="L1786" s="26" t="s">
        <v>15</v>
      </c>
      <c r="M1786" s="26" t="s">
        <v>87</v>
      </c>
      <c r="N1786" s="26" t="s">
        <v>307</v>
      </c>
      <c r="O1786" s="26">
        <v>1.0</v>
      </c>
    </row>
    <row r="1787" ht="15.75" customHeight="1">
      <c r="A1787" s="26" t="s">
        <v>6914</v>
      </c>
      <c r="B1787" s="26" t="s">
        <v>6915</v>
      </c>
      <c r="C1787" s="26" t="s">
        <v>4397</v>
      </c>
      <c r="D1787" s="26" t="s">
        <v>36</v>
      </c>
      <c r="E1787" s="26" t="s">
        <v>6916</v>
      </c>
      <c r="F1787" s="26" t="s">
        <v>681</v>
      </c>
      <c r="G1787" s="26" t="s">
        <v>58</v>
      </c>
      <c r="H1787" s="26" t="s">
        <v>49</v>
      </c>
      <c r="I1787" s="26" t="s">
        <v>104</v>
      </c>
      <c r="J1787" s="26">
        <v>2.0</v>
      </c>
      <c r="K1787" s="26" t="s">
        <v>6917</v>
      </c>
      <c r="L1787" s="26" t="s">
        <v>15</v>
      </c>
      <c r="M1787" s="26" t="s">
        <v>81</v>
      </c>
      <c r="N1787" s="26" t="s">
        <v>307</v>
      </c>
      <c r="O1787" s="26">
        <v>1.0</v>
      </c>
    </row>
    <row r="1788" ht="15.75" customHeight="1">
      <c r="A1788" s="26" t="s">
        <v>6918</v>
      </c>
      <c r="B1788" s="26" t="s">
        <v>6919</v>
      </c>
      <c r="C1788" s="26" t="s">
        <v>363</v>
      </c>
      <c r="D1788" s="26" t="s">
        <v>36</v>
      </c>
      <c r="E1788" s="26" t="s">
        <v>6920</v>
      </c>
      <c r="F1788" s="26" t="s">
        <v>681</v>
      </c>
      <c r="G1788" s="26" t="s">
        <v>58</v>
      </c>
      <c r="H1788" s="26" t="s">
        <v>49</v>
      </c>
      <c r="I1788" s="26" t="s">
        <v>92</v>
      </c>
      <c r="J1788" s="26">
        <v>3.0</v>
      </c>
      <c r="K1788" s="26" t="s">
        <v>6921</v>
      </c>
      <c r="L1788" s="26" t="s">
        <v>19</v>
      </c>
      <c r="M1788" s="26" t="s">
        <v>81</v>
      </c>
      <c r="N1788" s="26" t="s">
        <v>307</v>
      </c>
      <c r="O1788" s="26">
        <v>3.0</v>
      </c>
    </row>
    <row r="1789" ht="15.75" customHeight="1">
      <c r="A1789" s="26" t="s">
        <v>6922</v>
      </c>
      <c r="B1789" s="26" t="s">
        <v>6923</v>
      </c>
      <c r="C1789" s="26" t="s">
        <v>3588</v>
      </c>
      <c r="D1789" s="26" t="s">
        <v>100</v>
      </c>
      <c r="E1789" s="26" t="s">
        <v>1451</v>
      </c>
      <c r="F1789" s="26" t="s">
        <v>6924</v>
      </c>
      <c r="G1789" s="26" t="s">
        <v>110</v>
      </c>
      <c r="H1789" s="26" t="s">
        <v>71</v>
      </c>
      <c r="I1789" s="26"/>
      <c r="J1789" s="26">
        <v>1.0</v>
      </c>
      <c r="K1789" s="26"/>
      <c r="L1789" s="26" t="s">
        <v>25</v>
      </c>
      <c r="M1789" s="26" t="s">
        <v>97</v>
      </c>
      <c r="N1789" s="26" t="s">
        <v>307</v>
      </c>
      <c r="O1789" s="26"/>
    </row>
    <row r="1790" ht="15.75" customHeight="1">
      <c r="A1790" s="26" t="s">
        <v>6925</v>
      </c>
      <c r="B1790" s="26" t="s">
        <v>6926</v>
      </c>
      <c r="C1790" s="26" t="s">
        <v>3588</v>
      </c>
      <c r="D1790" s="26" t="s">
        <v>48</v>
      </c>
      <c r="E1790" s="26" t="s">
        <v>6927</v>
      </c>
      <c r="F1790" s="26" t="s">
        <v>3105</v>
      </c>
      <c r="G1790" s="26" t="s">
        <v>110</v>
      </c>
      <c r="H1790" s="26" t="s">
        <v>71</v>
      </c>
      <c r="I1790" s="26"/>
      <c r="J1790" s="26">
        <v>1.0</v>
      </c>
      <c r="K1790" s="26" t="s">
        <v>6928</v>
      </c>
      <c r="L1790" s="26" t="s">
        <v>29</v>
      </c>
      <c r="M1790" s="26" t="s">
        <v>95</v>
      </c>
      <c r="N1790" s="26" t="s">
        <v>307</v>
      </c>
      <c r="O1790" s="26">
        <v>1.0</v>
      </c>
    </row>
    <row r="1791" ht="15.75" customHeight="1">
      <c r="A1791" s="26" t="s">
        <v>6929</v>
      </c>
      <c r="B1791" s="26" t="s">
        <v>6930</v>
      </c>
      <c r="C1791" s="26" t="s">
        <v>363</v>
      </c>
      <c r="D1791" s="26" t="s">
        <v>48</v>
      </c>
      <c r="E1791" s="26" t="s">
        <v>6931</v>
      </c>
      <c r="F1791" s="26" t="s">
        <v>984</v>
      </c>
      <c r="G1791" s="26" t="s">
        <v>265</v>
      </c>
      <c r="H1791" s="26" t="s">
        <v>34</v>
      </c>
      <c r="I1791" s="26" t="s">
        <v>413</v>
      </c>
      <c r="J1791" s="26">
        <v>2.0</v>
      </c>
      <c r="K1791" s="26" t="s">
        <v>6932</v>
      </c>
      <c r="L1791" s="26" t="s">
        <v>15</v>
      </c>
      <c r="M1791" s="26" t="s">
        <v>81</v>
      </c>
      <c r="N1791" s="26" t="s">
        <v>307</v>
      </c>
      <c r="O1791" s="26">
        <v>5.0</v>
      </c>
    </row>
    <row r="1792" ht="15.75" customHeight="1">
      <c r="A1792" s="26" t="s">
        <v>6933</v>
      </c>
      <c r="B1792" s="26" t="s">
        <v>6934</v>
      </c>
      <c r="C1792" s="26" t="s">
        <v>322</v>
      </c>
      <c r="D1792" s="26" t="s">
        <v>48</v>
      </c>
      <c r="E1792" s="26" t="s">
        <v>6935</v>
      </c>
      <c r="F1792" s="26" t="s">
        <v>984</v>
      </c>
      <c r="G1792" s="26" t="s">
        <v>265</v>
      </c>
      <c r="H1792" s="26" t="s">
        <v>34</v>
      </c>
      <c r="I1792" s="26" t="s">
        <v>299</v>
      </c>
      <c r="J1792" s="26">
        <v>3.0</v>
      </c>
      <c r="K1792" s="26" t="s">
        <v>6936</v>
      </c>
      <c r="L1792" s="26" t="s">
        <v>15</v>
      </c>
      <c r="M1792" s="26" t="s">
        <v>81</v>
      </c>
      <c r="N1792" s="26" t="s">
        <v>307</v>
      </c>
      <c r="O1792" s="26">
        <v>5.0</v>
      </c>
    </row>
    <row r="1793" ht="15.75" customHeight="1">
      <c r="A1793" s="26" t="s">
        <v>6937</v>
      </c>
      <c r="B1793" s="26" t="s">
        <v>6938</v>
      </c>
      <c r="C1793" s="26" t="s">
        <v>363</v>
      </c>
      <c r="D1793" s="26" t="s">
        <v>59</v>
      </c>
      <c r="E1793" s="26" t="s">
        <v>6939</v>
      </c>
      <c r="F1793" s="26" t="s">
        <v>372</v>
      </c>
      <c r="G1793" s="26" t="s">
        <v>373</v>
      </c>
      <c r="H1793" s="26" t="s">
        <v>34</v>
      </c>
      <c r="I1793" s="26" t="s">
        <v>843</v>
      </c>
      <c r="J1793" s="26">
        <v>2.0</v>
      </c>
      <c r="K1793" s="26" t="s">
        <v>6921</v>
      </c>
      <c r="L1793" s="26" t="s">
        <v>15</v>
      </c>
      <c r="M1793" s="26" t="s">
        <v>81</v>
      </c>
      <c r="N1793" s="26" t="s">
        <v>307</v>
      </c>
      <c r="O1793" s="26">
        <v>2.0</v>
      </c>
    </row>
    <row r="1794" ht="15.75" customHeight="1">
      <c r="A1794" s="26" t="s">
        <v>6940</v>
      </c>
      <c r="B1794" s="26" t="s">
        <v>6941</v>
      </c>
      <c r="C1794" s="26" t="s">
        <v>363</v>
      </c>
      <c r="D1794" s="26" t="s">
        <v>36</v>
      </c>
      <c r="E1794" s="26" t="s">
        <v>6942</v>
      </c>
      <c r="F1794" s="26" t="s">
        <v>663</v>
      </c>
      <c r="G1794" s="26" t="s">
        <v>44</v>
      </c>
      <c r="H1794" s="26" t="s">
        <v>34</v>
      </c>
      <c r="I1794" s="26" t="s">
        <v>47</v>
      </c>
      <c r="J1794" s="26">
        <v>3.0</v>
      </c>
      <c r="K1794" s="26" t="s">
        <v>6910</v>
      </c>
      <c r="L1794" s="26" t="s">
        <v>19</v>
      </c>
      <c r="M1794" s="26" t="s">
        <v>87</v>
      </c>
      <c r="N1794" s="26" t="s">
        <v>307</v>
      </c>
      <c r="O1794" s="26">
        <v>0.0</v>
      </c>
    </row>
    <row r="1795" ht="15.75" customHeight="1">
      <c r="A1795" s="26" t="s">
        <v>6943</v>
      </c>
      <c r="B1795" s="26" t="s">
        <v>6944</v>
      </c>
      <c r="C1795" s="26" t="s">
        <v>312</v>
      </c>
      <c r="D1795" s="26" t="s">
        <v>54</v>
      </c>
      <c r="E1795" s="26" t="s">
        <v>791</v>
      </c>
      <c r="F1795" s="26" t="s">
        <v>326</v>
      </c>
      <c r="G1795" s="26" t="s">
        <v>327</v>
      </c>
      <c r="H1795" s="26" t="s">
        <v>49</v>
      </c>
      <c r="I1795" s="26"/>
      <c r="J1795" s="26">
        <v>1.0</v>
      </c>
      <c r="K1795" s="26" t="s">
        <v>792</v>
      </c>
      <c r="L1795" s="26" t="s">
        <v>15</v>
      </c>
      <c r="M1795" s="26" t="s">
        <v>81</v>
      </c>
      <c r="N1795" s="26" t="s">
        <v>307</v>
      </c>
      <c r="O1795" s="26">
        <v>5.0</v>
      </c>
    </row>
    <row r="1796" ht="15.75" customHeight="1">
      <c r="A1796" s="26" t="s">
        <v>6945</v>
      </c>
      <c r="B1796" s="26" t="s">
        <v>6946</v>
      </c>
      <c r="C1796" s="26" t="s">
        <v>363</v>
      </c>
      <c r="D1796" s="26" t="s">
        <v>50</v>
      </c>
      <c r="E1796" s="26" t="s">
        <v>6947</v>
      </c>
      <c r="F1796" s="26" t="s">
        <v>847</v>
      </c>
      <c r="G1796" s="26" t="s">
        <v>328</v>
      </c>
      <c r="H1796" s="26" t="s">
        <v>49</v>
      </c>
      <c r="I1796" s="26" t="s">
        <v>566</v>
      </c>
      <c r="J1796" s="26">
        <v>2.0</v>
      </c>
      <c r="K1796" s="26" t="s">
        <v>6948</v>
      </c>
      <c r="L1796" s="26" t="s">
        <v>15</v>
      </c>
      <c r="M1796" s="26" t="s">
        <v>81</v>
      </c>
      <c r="N1796" s="26" t="s">
        <v>307</v>
      </c>
      <c r="O1796" s="26">
        <v>6.0</v>
      </c>
    </row>
    <row r="1797" ht="15.75" customHeight="1">
      <c r="A1797" s="26" t="s">
        <v>6949</v>
      </c>
      <c r="B1797" s="26" t="s">
        <v>6950</v>
      </c>
      <c r="C1797" s="26" t="s">
        <v>363</v>
      </c>
      <c r="D1797" s="26" t="s">
        <v>50</v>
      </c>
      <c r="E1797" s="26" t="s">
        <v>6951</v>
      </c>
      <c r="F1797" s="26" t="s">
        <v>1309</v>
      </c>
      <c r="G1797" s="26" t="s">
        <v>245</v>
      </c>
      <c r="H1797" s="26" t="s">
        <v>57</v>
      </c>
      <c r="I1797" s="26" t="s">
        <v>328</v>
      </c>
      <c r="J1797" s="26">
        <v>3.0</v>
      </c>
      <c r="K1797" s="26" t="s">
        <v>6952</v>
      </c>
      <c r="L1797" s="26" t="s">
        <v>19</v>
      </c>
      <c r="M1797" s="26" t="s">
        <v>66</v>
      </c>
      <c r="N1797" s="26" t="s">
        <v>307</v>
      </c>
      <c r="O1797" s="26">
        <v>6.0</v>
      </c>
    </row>
    <row r="1798" ht="15.75" customHeight="1">
      <c r="A1798" s="26" t="s">
        <v>6953</v>
      </c>
      <c r="B1798" s="26" t="s">
        <v>6954</v>
      </c>
      <c r="C1798" s="26" t="s">
        <v>363</v>
      </c>
      <c r="D1798" s="26" t="s">
        <v>36</v>
      </c>
      <c r="E1798" s="26" t="s">
        <v>6955</v>
      </c>
      <c r="F1798" s="26" t="s">
        <v>663</v>
      </c>
      <c r="G1798" s="26" t="s">
        <v>44</v>
      </c>
      <c r="H1798" s="26" t="s">
        <v>34</v>
      </c>
      <c r="I1798" s="26" t="s">
        <v>51</v>
      </c>
      <c r="J1798" s="26">
        <v>3.0</v>
      </c>
      <c r="K1798" s="26" t="s">
        <v>6956</v>
      </c>
      <c r="L1798" s="26" t="s">
        <v>19</v>
      </c>
      <c r="M1798" s="26" t="s">
        <v>87</v>
      </c>
      <c r="N1798" s="26" t="s">
        <v>307</v>
      </c>
      <c r="O1798" s="26">
        <v>2.0</v>
      </c>
    </row>
    <row r="1799" ht="15.75" customHeight="1">
      <c r="A1799" s="26" t="s">
        <v>6957</v>
      </c>
      <c r="B1799" s="26" t="s">
        <v>6958</v>
      </c>
      <c r="C1799" s="26" t="s">
        <v>312</v>
      </c>
      <c r="D1799" s="26" t="s">
        <v>50</v>
      </c>
      <c r="E1799" s="26" t="s">
        <v>6959</v>
      </c>
      <c r="F1799" s="26" t="s">
        <v>1877</v>
      </c>
      <c r="G1799" s="26" t="s">
        <v>311</v>
      </c>
      <c r="H1799" s="26" t="s">
        <v>34</v>
      </c>
      <c r="I1799" s="26" t="s">
        <v>245</v>
      </c>
      <c r="J1799" s="26">
        <v>3.0</v>
      </c>
      <c r="K1799" s="26" t="s">
        <v>6960</v>
      </c>
      <c r="L1799" s="26" t="s">
        <v>15</v>
      </c>
      <c r="M1799" s="26" t="s">
        <v>81</v>
      </c>
      <c r="N1799" s="26" t="s">
        <v>307</v>
      </c>
      <c r="O1799" s="26">
        <v>6.0</v>
      </c>
    </row>
    <row r="1800" ht="15.75" customHeight="1">
      <c r="A1800" s="26" t="s">
        <v>6961</v>
      </c>
      <c r="B1800" s="26" t="s">
        <v>6962</v>
      </c>
      <c r="C1800" s="26" t="s">
        <v>300</v>
      </c>
      <c r="D1800" s="26" t="s">
        <v>72</v>
      </c>
      <c r="E1800" s="26" t="s">
        <v>6963</v>
      </c>
      <c r="F1800" s="26" t="s">
        <v>1483</v>
      </c>
      <c r="G1800" s="26" t="s">
        <v>1152</v>
      </c>
      <c r="H1800" s="26" t="s">
        <v>46</v>
      </c>
      <c r="I1800" s="26"/>
      <c r="J1800" s="26">
        <v>0.0</v>
      </c>
      <c r="K1800" s="26" t="s">
        <v>136</v>
      </c>
      <c r="L1800" s="26" t="s">
        <v>29</v>
      </c>
      <c r="M1800" s="26" t="s">
        <v>95</v>
      </c>
      <c r="N1800" s="26" t="s">
        <v>307</v>
      </c>
      <c r="O1800" s="26">
        <v>5.0</v>
      </c>
    </row>
    <row r="1801" ht="15.75" customHeight="1">
      <c r="A1801" s="26" t="s">
        <v>6964</v>
      </c>
      <c r="B1801" s="26" t="s">
        <v>6965</v>
      </c>
      <c r="C1801" s="26" t="s">
        <v>363</v>
      </c>
      <c r="D1801" s="26" t="s">
        <v>50</v>
      </c>
      <c r="E1801" s="26" t="s">
        <v>6966</v>
      </c>
      <c r="F1801" s="26" t="s">
        <v>720</v>
      </c>
      <c r="G1801" s="26" t="s">
        <v>548</v>
      </c>
      <c r="H1801" s="26" t="s">
        <v>46</v>
      </c>
      <c r="I1801" s="26"/>
      <c r="J1801" s="26">
        <v>1.0</v>
      </c>
      <c r="K1801" s="26" t="s">
        <v>6967</v>
      </c>
      <c r="L1801" s="26" t="s">
        <v>19</v>
      </c>
      <c r="M1801" s="26" t="s">
        <v>66</v>
      </c>
      <c r="N1801" s="26" t="s">
        <v>307</v>
      </c>
      <c r="O1801" s="26">
        <v>6.0</v>
      </c>
    </row>
    <row r="1802" ht="15.75" customHeight="1">
      <c r="A1802" s="26" t="s">
        <v>6968</v>
      </c>
      <c r="B1802" s="26" t="s">
        <v>6969</v>
      </c>
      <c r="C1802" s="26" t="s">
        <v>300</v>
      </c>
      <c r="D1802" s="26" t="s">
        <v>72</v>
      </c>
      <c r="E1802" s="26" t="s">
        <v>6970</v>
      </c>
      <c r="F1802" s="26" t="s">
        <v>2422</v>
      </c>
      <c r="G1802" s="26" t="s">
        <v>90</v>
      </c>
      <c r="H1802" s="26" t="s">
        <v>34</v>
      </c>
      <c r="I1802" s="26" t="s">
        <v>109</v>
      </c>
      <c r="J1802" s="26">
        <v>4.0</v>
      </c>
      <c r="K1802" s="26" t="s">
        <v>6971</v>
      </c>
      <c r="L1802" s="26" t="s">
        <v>19</v>
      </c>
      <c r="M1802" s="26" t="s">
        <v>81</v>
      </c>
      <c r="N1802" s="26" t="s">
        <v>307</v>
      </c>
      <c r="O1802" s="26">
        <v>5.0</v>
      </c>
    </row>
    <row r="1803" ht="15.75" customHeight="1">
      <c r="A1803" s="26" t="s">
        <v>6972</v>
      </c>
      <c r="B1803" s="26" t="s">
        <v>6973</v>
      </c>
      <c r="C1803" s="26" t="s">
        <v>312</v>
      </c>
      <c r="D1803" s="26" t="s">
        <v>36</v>
      </c>
      <c r="E1803" s="26" t="s">
        <v>6974</v>
      </c>
      <c r="F1803" s="26" t="s">
        <v>2116</v>
      </c>
      <c r="G1803" s="26" t="s">
        <v>84</v>
      </c>
      <c r="H1803" s="26" t="s">
        <v>34</v>
      </c>
      <c r="I1803" s="26" t="s">
        <v>65</v>
      </c>
      <c r="J1803" s="26">
        <v>5.0</v>
      </c>
      <c r="K1803" s="26" t="s">
        <v>6956</v>
      </c>
      <c r="L1803" s="26" t="s">
        <v>19</v>
      </c>
      <c r="M1803" s="26" t="s">
        <v>87</v>
      </c>
      <c r="N1803" s="26" t="s">
        <v>307</v>
      </c>
      <c r="O1803" s="26">
        <v>2.0</v>
      </c>
    </row>
    <row r="1804" ht="15.75" customHeight="1">
      <c r="A1804" s="26" t="s">
        <v>6975</v>
      </c>
      <c r="B1804" s="26" t="s">
        <v>6976</v>
      </c>
      <c r="C1804" s="26" t="s">
        <v>312</v>
      </c>
      <c r="D1804" s="26" t="s">
        <v>36</v>
      </c>
      <c r="E1804" s="26" t="s">
        <v>6974</v>
      </c>
      <c r="F1804" s="26" t="s">
        <v>2116</v>
      </c>
      <c r="G1804" s="26" t="s">
        <v>84</v>
      </c>
      <c r="H1804" s="26" t="s">
        <v>34</v>
      </c>
      <c r="I1804" s="26" t="s">
        <v>65</v>
      </c>
      <c r="J1804" s="26">
        <v>5.0</v>
      </c>
      <c r="K1804" s="26" t="s">
        <v>6956</v>
      </c>
      <c r="L1804" s="26" t="s">
        <v>19</v>
      </c>
      <c r="M1804" s="26" t="s">
        <v>87</v>
      </c>
      <c r="N1804" s="26" t="s">
        <v>307</v>
      </c>
      <c r="O1804" s="26">
        <v>2.0</v>
      </c>
    </row>
    <row r="1805" ht="15.75" customHeight="1">
      <c r="A1805" s="26" t="s">
        <v>6977</v>
      </c>
      <c r="B1805" s="26" t="s">
        <v>6978</v>
      </c>
      <c r="C1805" s="26" t="s">
        <v>312</v>
      </c>
      <c r="D1805" s="26" t="s">
        <v>72</v>
      </c>
      <c r="E1805" s="26" t="s">
        <v>1141</v>
      </c>
      <c r="F1805" s="26" t="s">
        <v>2261</v>
      </c>
      <c r="G1805" s="26" t="s">
        <v>1133</v>
      </c>
      <c r="H1805" s="26" t="s">
        <v>46</v>
      </c>
      <c r="I1805" s="26" t="s">
        <v>1184</v>
      </c>
      <c r="J1805" s="26">
        <v>2.0</v>
      </c>
      <c r="K1805" s="26" t="s">
        <v>1142</v>
      </c>
      <c r="L1805" s="26" t="s">
        <v>15</v>
      </c>
      <c r="M1805" s="26" t="s">
        <v>81</v>
      </c>
      <c r="N1805" s="26" t="s">
        <v>307</v>
      </c>
      <c r="O1805" s="26">
        <v>4.0</v>
      </c>
    </row>
    <row r="1806" ht="15.75" customHeight="1">
      <c r="A1806" s="26" t="s">
        <v>6979</v>
      </c>
      <c r="B1806" s="26" t="s">
        <v>6980</v>
      </c>
      <c r="C1806" s="26" t="s">
        <v>429</v>
      </c>
      <c r="D1806" s="26" t="s">
        <v>72</v>
      </c>
      <c r="E1806" s="26" t="s">
        <v>6981</v>
      </c>
      <c r="F1806" s="26" t="s">
        <v>2422</v>
      </c>
      <c r="G1806" s="26" t="s">
        <v>90</v>
      </c>
      <c r="H1806" s="26" t="s">
        <v>34</v>
      </c>
      <c r="I1806" s="26" t="s">
        <v>1162</v>
      </c>
      <c r="J1806" s="26">
        <v>4.0</v>
      </c>
      <c r="K1806" s="26" t="s">
        <v>6982</v>
      </c>
      <c r="L1806" s="26" t="s">
        <v>19</v>
      </c>
      <c r="M1806" s="26" t="s">
        <v>81</v>
      </c>
      <c r="N1806" s="26" t="s">
        <v>307</v>
      </c>
      <c r="O1806" s="26">
        <v>4.0</v>
      </c>
    </row>
    <row r="1807" ht="15.75" customHeight="1">
      <c r="A1807" s="26" t="s">
        <v>6983</v>
      </c>
      <c r="B1807" s="26" t="s">
        <v>6984</v>
      </c>
      <c r="C1807" s="26" t="s">
        <v>312</v>
      </c>
      <c r="D1807" s="26" t="s">
        <v>36</v>
      </c>
      <c r="E1807" s="26" t="s">
        <v>6985</v>
      </c>
      <c r="F1807" s="26" t="s">
        <v>3132</v>
      </c>
      <c r="G1807" s="26" t="s">
        <v>77</v>
      </c>
      <c r="H1807" s="26" t="s">
        <v>46</v>
      </c>
      <c r="I1807" s="26"/>
      <c r="J1807" s="26">
        <v>0.0</v>
      </c>
      <c r="K1807" s="26" t="s">
        <v>466</v>
      </c>
      <c r="L1807" s="26" t="s">
        <v>29</v>
      </c>
      <c r="M1807" s="26" t="s">
        <v>95</v>
      </c>
      <c r="N1807" s="26" t="s">
        <v>307</v>
      </c>
      <c r="O1807" s="26">
        <v>3.0</v>
      </c>
    </row>
    <row r="1808" ht="15.75" customHeight="1">
      <c r="A1808" s="26" t="s">
        <v>6986</v>
      </c>
      <c r="B1808" s="26" t="s">
        <v>6987</v>
      </c>
      <c r="C1808" s="26" t="s">
        <v>322</v>
      </c>
      <c r="D1808" s="26" t="s">
        <v>48</v>
      </c>
      <c r="E1808" s="26" t="s">
        <v>6988</v>
      </c>
      <c r="F1808" s="26" t="s">
        <v>366</v>
      </c>
      <c r="G1808" s="26" t="s">
        <v>258</v>
      </c>
      <c r="H1808" s="26" t="s">
        <v>61</v>
      </c>
      <c r="I1808" s="26" t="s">
        <v>248</v>
      </c>
      <c r="J1808" s="26">
        <v>2.0</v>
      </c>
      <c r="K1808" s="26" t="s">
        <v>6989</v>
      </c>
      <c r="L1808" s="26" t="s">
        <v>19</v>
      </c>
      <c r="M1808" s="26" t="s">
        <v>87</v>
      </c>
      <c r="N1808" s="26" t="s">
        <v>307</v>
      </c>
      <c r="O1808" s="26">
        <v>5.0</v>
      </c>
    </row>
    <row r="1809" ht="15.75" customHeight="1">
      <c r="A1809" s="26" t="s">
        <v>6990</v>
      </c>
      <c r="B1809" s="26" t="s">
        <v>6991</v>
      </c>
      <c r="C1809" s="26" t="s">
        <v>322</v>
      </c>
      <c r="D1809" s="26" t="s">
        <v>48</v>
      </c>
      <c r="E1809" s="26" t="s">
        <v>6992</v>
      </c>
      <c r="F1809" s="26" t="s">
        <v>1014</v>
      </c>
      <c r="G1809" s="26" t="s">
        <v>248</v>
      </c>
      <c r="H1809" s="26" t="s">
        <v>46</v>
      </c>
      <c r="I1809" s="26"/>
      <c r="J1809" s="26">
        <v>1.0</v>
      </c>
      <c r="K1809" s="26" t="s">
        <v>6989</v>
      </c>
      <c r="L1809" s="26" t="s">
        <v>19</v>
      </c>
      <c r="M1809" s="26" t="s">
        <v>87</v>
      </c>
      <c r="N1809" s="26" t="s">
        <v>307</v>
      </c>
      <c r="O1809" s="26">
        <v>5.0</v>
      </c>
    </row>
    <row r="1810" ht="15.75" customHeight="1">
      <c r="A1810" s="26" t="s">
        <v>6993</v>
      </c>
      <c r="B1810" s="26" t="s">
        <v>6994</v>
      </c>
      <c r="C1810" s="26" t="s">
        <v>312</v>
      </c>
      <c r="D1810" s="26" t="s">
        <v>36</v>
      </c>
      <c r="E1810" s="26" t="s">
        <v>6995</v>
      </c>
      <c r="F1810" s="26" t="s">
        <v>663</v>
      </c>
      <c r="G1810" s="26" t="s">
        <v>44</v>
      </c>
      <c r="H1810" s="26" t="s">
        <v>34</v>
      </c>
      <c r="I1810" s="26" t="s">
        <v>82</v>
      </c>
      <c r="J1810" s="26">
        <v>2.0</v>
      </c>
      <c r="K1810" s="26" t="s">
        <v>6956</v>
      </c>
      <c r="L1810" s="26" t="s">
        <v>15</v>
      </c>
      <c r="M1810" s="26" t="s">
        <v>87</v>
      </c>
      <c r="N1810" s="26" t="s">
        <v>307</v>
      </c>
      <c r="O1810" s="26">
        <v>2.0</v>
      </c>
    </row>
    <row r="1811" ht="15.75" customHeight="1">
      <c r="A1811" s="26" t="s">
        <v>6996</v>
      </c>
      <c r="B1811" s="26" t="s">
        <v>6997</v>
      </c>
      <c r="C1811" s="26" t="s">
        <v>892</v>
      </c>
      <c r="D1811" s="26" t="s">
        <v>50</v>
      </c>
      <c r="E1811" s="26" t="s">
        <v>675</v>
      </c>
      <c r="F1811" s="26" t="s">
        <v>902</v>
      </c>
      <c r="G1811" s="26" t="s">
        <v>189</v>
      </c>
      <c r="H1811" s="26" t="s">
        <v>34</v>
      </c>
      <c r="I1811" s="26"/>
      <c r="J1811" s="26">
        <v>1.0</v>
      </c>
      <c r="K1811" s="26" t="s">
        <v>673</v>
      </c>
      <c r="L1811" s="26" t="s">
        <v>15</v>
      </c>
      <c r="M1811" s="26" t="s">
        <v>81</v>
      </c>
      <c r="N1811" s="26" t="s">
        <v>307</v>
      </c>
      <c r="O1811" s="26">
        <v>6.0</v>
      </c>
    </row>
    <row r="1812" ht="15.75" customHeight="1">
      <c r="A1812" s="26" t="s">
        <v>6998</v>
      </c>
      <c r="B1812" s="26" t="s">
        <v>6999</v>
      </c>
      <c r="C1812" s="26" t="s">
        <v>363</v>
      </c>
      <c r="D1812" s="26" t="s">
        <v>76</v>
      </c>
      <c r="E1812" s="26" t="s">
        <v>1215</v>
      </c>
      <c r="F1812" s="26" t="s">
        <v>2666</v>
      </c>
      <c r="G1812" s="26" t="s">
        <v>1205</v>
      </c>
      <c r="H1812" s="26" t="s">
        <v>49</v>
      </c>
      <c r="I1812" s="26"/>
      <c r="J1812" s="26">
        <v>1.0</v>
      </c>
      <c r="K1812" s="26" t="s">
        <v>1216</v>
      </c>
      <c r="L1812" s="26" t="s">
        <v>19</v>
      </c>
      <c r="M1812" s="26" t="s">
        <v>87</v>
      </c>
      <c r="N1812" s="26" t="s">
        <v>307</v>
      </c>
      <c r="O1812" s="26">
        <v>5.0</v>
      </c>
    </row>
    <row r="1813" ht="15.75" customHeight="1">
      <c r="A1813" s="26" t="s">
        <v>7000</v>
      </c>
      <c r="B1813" s="26" t="s">
        <v>7001</v>
      </c>
      <c r="C1813" s="26" t="s">
        <v>363</v>
      </c>
      <c r="D1813" s="26" t="s">
        <v>50</v>
      </c>
      <c r="E1813" s="26" t="s">
        <v>7002</v>
      </c>
      <c r="F1813" s="26" t="s">
        <v>336</v>
      </c>
      <c r="G1813" s="26" t="s">
        <v>75</v>
      </c>
      <c r="H1813" s="26" t="s">
        <v>53</v>
      </c>
      <c r="I1813" s="26" t="s">
        <v>189</v>
      </c>
      <c r="J1813" s="26">
        <v>2.0</v>
      </c>
      <c r="K1813" s="26" t="s">
        <v>7003</v>
      </c>
      <c r="L1813" s="26" t="s">
        <v>15</v>
      </c>
      <c r="M1813" s="26" t="s">
        <v>81</v>
      </c>
      <c r="N1813" s="26" t="s">
        <v>307</v>
      </c>
      <c r="O1813" s="26">
        <v>5.0</v>
      </c>
    </row>
    <row r="1814" ht="15.75" customHeight="1">
      <c r="A1814" s="26" t="s">
        <v>7004</v>
      </c>
      <c r="B1814" s="26" t="s">
        <v>7005</v>
      </c>
      <c r="C1814" s="26" t="s">
        <v>312</v>
      </c>
      <c r="D1814" s="26" t="s">
        <v>36</v>
      </c>
      <c r="E1814" s="26" t="s">
        <v>7006</v>
      </c>
      <c r="F1814" s="26" t="s">
        <v>485</v>
      </c>
      <c r="G1814" s="26" t="s">
        <v>92</v>
      </c>
      <c r="H1814" s="26" t="s">
        <v>52</v>
      </c>
      <c r="I1814" s="26"/>
      <c r="J1814" s="26">
        <v>1.0</v>
      </c>
      <c r="K1814" s="26" t="s">
        <v>7007</v>
      </c>
      <c r="L1814" s="26" t="s">
        <v>15</v>
      </c>
      <c r="M1814" s="26" t="s">
        <v>81</v>
      </c>
      <c r="N1814" s="26" t="s">
        <v>307</v>
      </c>
      <c r="O1814" s="26">
        <v>1.0</v>
      </c>
    </row>
    <row r="1815" ht="15.75" customHeight="1">
      <c r="A1815" s="26" t="s">
        <v>7008</v>
      </c>
      <c r="B1815" s="26" t="s">
        <v>7009</v>
      </c>
      <c r="C1815" s="26" t="s">
        <v>312</v>
      </c>
      <c r="D1815" s="26" t="s">
        <v>54</v>
      </c>
      <c r="E1815" s="26" t="s">
        <v>7010</v>
      </c>
      <c r="F1815" s="26" t="s">
        <v>432</v>
      </c>
      <c r="G1815" s="26" t="s">
        <v>182</v>
      </c>
      <c r="H1815" s="26" t="s">
        <v>34</v>
      </c>
      <c r="I1815" s="26" t="s">
        <v>572</v>
      </c>
      <c r="J1815" s="26">
        <v>3.0</v>
      </c>
      <c r="K1815" s="26" t="s">
        <v>4944</v>
      </c>
      <c r="L1815" s="26" t="s">
        <v>19</v>
      </c>
      <c r="M1815" s="26" t="s">
        <v>66</v>
      </c>
      <c r="N1815" s="26" t="s">
        <v>307</v>
      </c>
      <c r="O1815" s="26">
        <v>5.0</v>
      </c>
    </row>
    <row r="1816" ht="15.75" customHeight="1">
      <c r="A1816" s="26" t="s">
        <v>7011</v>
      </c>
      <c r="B1816" s="26" t="s">
        <v>7012</v>
      </c>
      <c r="C1816" s="26" t="s">
        <v>300</v>
      </c>
      <c r="D1816" s="26" t="s">
        <v>45</v>
      </c>
      <c r="E1816" s="26" t="s">
        <v>7013</v>
      </c>
      <c r="F1816" s="26" t="s">
        <v>799</v>
      </c>
      <c r="G1816" s="26" t="s">
        <v>130</v>
      </c>
      <c r="H1816" s="26" t="s">
        <v>34</v>
      </c>
      <c r="I1816" s="26" t="s">
        <v>166</v>
      </c>
      <c r="J1816" s="26">
        <v>4.0</v>
      </c>
      <c r="K1816" s="26" t="s">
        <v>7014</v>
      </c>
      <c r="L1816" s="26" t="s">
        <v>15</v>
      </c>
      <c r="M1816" s="26" t="s">
        <v>81</v>
      </c>
      <c r="N1816" s="26" t="s">
        <v>307</v>
      </c>
      <c r="O1816" s="26">
        <v>0.0</v>
      </c>
    </row>
    <row r="1817" ht="15.75" customHeight="1">
      <c r="A1817" s="26" t="s">
        <v>7015</v>
      </c>
      <c r="B1817" s="26" t="s">
        <v>7016</v>
      </c>
      <c r="C1817" s="26" t="s">
        <v>429</v>
      </c>
      <c r="D1817" s="26" t="s">
        <v>48</v>
      </c>
      <c r="E1817" s="26" t="s">
        <v>7017</v>
      </c>
      <c r="F1817" s="26" t="s">
        <v>590</v>
      </c>
      <c r="G1817" s="26" t="s">
        <v>329</v>
      </c>
      <c r="H1817" s="26" t="s">
        <v>46</v>
      </c>
      <c r="I1817" s="26" t="s">
        <v>386</v>
      </c>
      <c r="J1817" s="26">
        <v>2.0</v>
      </c>
      <c r="K1817" s="26" t="s">
        <v>7018</v>
      </c>
      <c r="L1817" s="26" t="s">
        <v>15</v>
      </c>
      <c r="M1817" s="26" t="s">
        <v>81</v>
      </c>
      <c r="N1817" s="26" t="s">
        <v>307</v>
      </c>
      <c r="O1817" s="26">
        <v>6.0</v>
      </c>
    </row>
    <row r="1818" ht="15.75" customHeight="1">
      <c r="A1818" s="26" t="s">
        <v>7019</v>
      </c>
      <c r="B1818" s="26" t="s">
        <v>7020</v>
      </c>
      <c r="C1818" s="26" t="s">
        <v>300</v>
      </c>
      <c r="D1818" s="26" t="s">
        <v>36</v>
      </c>
      <c r="E1818" s="26" t="s">
        <v>7021</v>
      </c>
      <c r="F1818" s="26" t="s">
        <v>315</v>
      </c>
      <c r="G1818" s="26" t="s">
        <v>47</v>
      </c>
      <c r="H1818" s="26" t="s">
        <v>34</v>
      </c>
      <c r="I1818" s="26" t="s">
        <v>88</v>
      </c>
      <c r="J1818" s="26">
        <v>3.0</v>
      </c>
      <c r="K1818" s="26" t="s">
        <v>7022</v>
      </c>
      <c r="L1818" s="26" t="s">
        <v>15</v>
      </c>
      <c r="M1818" s="26" t="s">
        <v>81</v>
      </c>
      <c r="N1818" s="26" t="s">
        <v>307</v>
      </c>
      <c r="O1818" s="26">
        <v>5.0</v>
      </c>
    </row>
    <row r="1819" ht="15.75" customHeight="1">
      <c r="A1819" s="26" t="s">
        <v>7023</v>
      </c>
      <c r="B1819" s="26" t="s">
        <v>7024</v>
      </c>
      <c r="C1819" s="26" t="s">
        <v>892</v>
      </c>
      <c r="D1819" s="26" t="s">
        <v>50</v>
      </c>
      <c r="E1819" s="26" t="s">
        <v>671</v>
      </c>
      <c r="F1819" s="26" t="s">
        <v>902</v>
      </c>
      <c r="G1819" s="26" t="s">
        <v>189</v>
      </c>
      <c r="H1819" s="26" t="s">
        <v>34</v>
      </c>
      <c r="I1819" s="26"/>
      <c r="J1819" s="26">
        <v>1.0</v>
      </c>
      <c r="K1819" s="26" t="s">
        <v>673</v>
      </c>
      <c r="L1819" s="26" t="s">
        <v>15</v>
      </c>
      <c r="M1819" s="26" t="s">
        <v>81</v>
      </c>
      <c r="N1819" s="26" t="s">
        <v>307</v>
      </c>
      <c r="O1819" s="26">
        <v>4.0</v>
      </c>
    </row>
    <row r="1820" ht="15.75" customHeight="1">
      <c r="A1820" s="26" t="s">
        <v>7025</v>
      </c>
      <c r="B1820" s="26" t="s">
        <v>7026</v>
      </c>
      <c r="C1820" s="26" t="s">
        <v>312</v>
      </c>
      <c r="D1820" s="26" t="s">
        <v>36</v>
      </c>
      <c r="E1820" s="26" t="s">
        <v>7027</v>
      </c>
      <c r="F1820" s="26" t="s">
        <v>2025</v>
      </c>
      <c r="G1820" s="26" t="s">
        <v>82</v>
      </c>
      <c r="H1820" s="26" t="s">
        <v>34</v>
      </c>
      <c r="I1820" s="26"/>
      <c r="J1820" s="26">
        <v>1.0</v>
      </c>
      <c r="K1820" s="26" t="s">
        <v>7028</v>
      </c>
      <c r="L1820" s="26" t="s">
        <v>15</v>
      </c>
      <c r="M1820" s="26" t="s">
        <v>81</v>
      </c>
      <c r="N1820" s="26" t="s">
        <v>307</v>
      </c>
      <c r="O1820" s="26">
        <v>5.0</v>
      </c>
    </row>
    <row r="1821" ht="15.75" customHeight="1">
      <c r="A1821" s="26" t="s">
        <v>7029</v>
      </c>
      <c r="B1821" s="26" t="s">
        <v>7030</v>
      </c>
      <c r="C1821" s="26" t="s">
        <v>312</v>
      </c>
      <c r="D1821" s="26" t="s">
        <v>36</v>
      </c>
      <c r="E1821" s="26" t="s">
        <v>7031</v>
      </c>
      <c r="F1821" s="26" t="s">
        <v>485</v>
      </c>
      <c r="G1821" s="26" t="s">
        <v>92</v>
      </c>
      <c r="H1821" s="26" t="s">
        <v>52</v>
      </c>
      <c r="I1821" s="26"/>
      <c r="J1821" s="26">
        <v>1.0</v>
      </c>
      <c r="K1821" s="26" t="s">
        <v>7032</v>
      </c>
      <c r="L1821" s="26" t="s">
        <v>15</v>
      </c>
      <c r="M1821" s="26" t="s">
        <v>81</v>
      </c>
      <c r="N1821" s="26" t="s">
        <v>307</v>
      </c>
      <c r="O1821" s="26">
        <v>5.0</v>
      </c>
    </row>
    <row r="1822" ht="15.75" customHeight="1">
      <c r="A1822" s="26" t="s">
        <v>7033</v>
      </c>
      <c r="B1822" s="26" t="s">
        <v>7034</v>
      </c>
      <c r="C1822" s="26" t="s">
        <v>300</v>
      </c>
      <c r="D1822" s="26" t="s">
        <v>45</v>
      </c>
      <c r="E1822" s="26" t="s">
        <v>7035</v>
      </c>
      <c r="F1822" s="26" t="s">
        <v>303</v>
      </c>
      <c r="G1822" s="26" t="s">
        <v>140</v>
      </c>
      <c r="H1822" s="26" t="s">
        <v>34</v>
      </c>
      <c r="I1822" s="26" t="s">
        <v>166</v>
      </c>
      <c r="J1822" s="26">
        <v>3.0</v>
      </c>
      <c r="K1822" s="26" t="s">
        <v>7036</v>
      </c>
      <c r="L1822" s="26" t="s">
        <v>23</v>
      </c>
      <c r="M1822" s="26" t="s">
        <v>94</v>
      </c>
      <c r="N1822" s="26" t="s">
        <v>307</v>
      </c>
      <c r="O1822" s="26"/>
    </row>
    <row r="1823" ht="15.75" customHeight="1">
      <c r="A1823" s="26" t="s">
        <v>7037</v>
      </c>
      <c r="B1823" s="26" t="s">
        <v>7038</v>
      </c>
      <c r="C1823" s="26" t="s">
        <v>363</v>
      </c>
      <c r="D1823" s="26" t="s">
        <v>79</v>
      </c>
      <c r="E1823" s="26" t="s">
        <v>1288</v>
      </c>
      <c r="F1823" s="26" t="s">
        <v>2510</v>
      </c>
      <c r="G1823" s="26" t="s">
        <v>1280</v>
      </c>
      <c r="H1823" s="26" t="s">
        <v>46</v>
      </c>
      <c r="I1823" s="26"/>
      <c r="J1823" s="26">
        <v>0.0</v>
      </c>
      <c r="K1823" s="26"/>
      <c r="L1823" s="26" t="s">
        <v>25</v>
      </c>
      <c r="M1823" s="26" t="s">
        <v>97</v>
      </c>
      <c r="N1823" s="26" t="s">
        <v>7039</v>
      </c>
      <c r="O1823" s="26"/>
    </row>
    <row r="1824" ht="15.75" customHeight="1">
      <c r="A1824" s="26" t="s">
        <v>7040</v>
      </c>
      <c r="B1824" s="26" t="s">
        <v>7041</v>
      </c>
      <c r="C1824" s="26" t="s">
        <v>312</v>
      </c>
      <c r="D1824" s="26" t="s">
        <v>79</v>
      </c>
      <c r="E1824" s="26" t="s">
        <v>1296</v>
      </c>
      <c r="F1824" s="26" t="s">
        <v>2190</v>
      </c>
      <c r="G1824" s="26" t="s">
        <v>1291</v>
      </c>
      <c r="H1824" s="26" t="s">
        <v>57</v>
      </c>
      <c r="I1824" s="26"/>
      <c r="J1824" s="26">
        <v>1.0</v>
      </c>
      <c r="K1824" s="26"/>
      <c r="L1824" s="26" t="s">
        <v>25</v>
      </c>
      <c r="M1824" s="26" t="s">
        <v>97</v>
      </c>
      <c r="N1824" s="26" t="s">
        <v>7039</v>
      </c>
      <c r="O1824" s="26"/>
    </row>
    <row r="1825" ht="15.75" customHeight="1">
      <c r="A1825" s="26" t="s">
        <v>7042</v>
      </c>
      <c r="B1825" s="26" t="s">
        <v>7043</v>
      </c>
      <c r="C1825" s="26" t="s">
        <v>312</v>
      </c>
      <c r="D1825" s="26" t="s">
        <v>72</v>
      </c>
      <c r="E1825" s="26" t="s">
        <v>1151</v>
      </c>
      <c r="F1825" s="26" t="s">
        <v>1973</v>
      </c>
      <c r="G1825" s="26" t="s">
        <v>1143</v>
      </c>
      <c r="H1825" s="26" t="s">
        <v>61</v>
      </c>
      <c r="I1825" s="26"/>
      <c r="J1825" s="26">
        <v>1.0</v>
      </c>
      <c r="K1825" s="26"/>
      <c r="L1825" s="26" t="s">
        <v>25</v>
      </c>
      <c r="M1825" s="26" t="s">
        <v>97</v>
      </c>
      <c r="N1825" s="26" t="s">
        <v>7039</v>
      </c>
      <c r="O1825" s="26"/>
    </row>
    <row r="1826" ht="15.75" customHeight="1">
      <c r="A1826" s="26" t="s">
        <v>7044</v>
      </c>
      <c r="B1826" s="26" t="s">
        <v>7045</v>
      </c>
      <c r="C1826" s="26" t="s">
        <v>429</v>
      </c>
      <c r="D1826" s="26" t="s">
        <v>54</v>
      </c>
      <c r="E1826" s="26" t="s">
        <v>7046</v>
      </c>
      <c r="F1826" s="26" t="s">
        <v>347</v>
      </c>
      <c r="G1826" s="26" t="s">
        <v>99</v>
      </c>
      <c r="H1826" s="26" t="s">
        <v>49</v>
      </c>
      <c r="I1826" s="26" t="s">
        <v>572</v>
      </c>
      <c r="J1826" s="26">
        <v>2.0</v>
      </c>
      <c r="K1826" s="26"/>
      <c r="L1826" s="26" t="s">
        <v>25</v>
      </c>
      <c r="M1826" s="26" t="s">
        <v>97</v>
      </c>
      <c r="N1826" s="26" t="s">
        <v>7039</v>
      </c>
      <c r="O1826" s="26"/>
    </row>
    <row r="1827" ht="15.75" customHeight="1">
      <c r="A1827" s="26" t="s">
        <v>7047</v>
      </c>
      <c r="B1827" s="26" t="s">
        <v>7048</v>
      </c>
      <c r="C1827" s="26" t="s">
        <v>363</v>
      </c>
      <c r="D1827" s="26" t="s">
        <v>36</v>
      </c>
      <c r="E1827" s="26" t="s">
        <v>237</v>
      </c>
      <c r="F1827" s="26" t="s">
        <v>1660</v>
      </c>
      <c r="G1827" s="26" t="s">
        <v>112</v>
      </c>
      <c r="H1827" s="26" t="s">
        <v>53</v>
      </c>
      <c r="I1827" s="26" t="s">
        <v>106</v>
      </c>
      <c r="J1827" s="26">
        <v>3.0</v>
      </c>
      <c r="K1827" s="26" t="s">
        <v>238</v>
      </c>
      <c r="L1827" s="26" t="s">
        <v>15</v>
      </c>
      <c r="M1827" s="26" t="s">
        <v>81</v>
      </c>
      <c r="N1827" s="26" t="s">
        <v>307</v>
      </c>
      <c r="O1827" s="26">
        <v>3.0</v>
      </c>
    </row>
    <row r="1828" ht="15.75" customHeight="1">
      <c r="A1828" s="26" t="s">
        <v>7049</v>
      </c>
      <c r="B1828" s="26" t="s">
        <v>7050</v>
      </c>
      <c r="C1828" s="26" t="s">
        <v>429</v>
      </c>
      <c r="D1828" s="26" t="s">
        <v>72</v>
      </c>
      <c r="E1828" s="26" t="s">
        <v>7051</v>
      </c>
      <c r="F1828" s="26" t="s">
        <v>1277</v>
      </c>
      <c r="G1828" s="26" t="s">
        <v>1162</v>
      </c>
      <c r="H1828" s="26" t="s">
        <v>46</v>
      </c>
      <c r="I1828" s="26"/>
      <c r="J1828" s="26">
        <v>1.0</v>
      </c>
      <c r="K1828" s="26"/>
      <c r="L1828" s="26" t="s">
        <v>25</v>
      </c>
      <c r="M1828" s="26" t="s">
        <v>97</v>
      </c>
      <c r="N1828" s="26" t="s">
        <v>7039</v>
      </c>
      <c r="O1828" s="26"/>
    </row>
    <row r="1829" ht="15.75" customHeight="1">
      <c r="A1829" s="26" t="s">
        <v>7052</v>
      </c>
      <c r="B1829" s="26" t="s">
        <v>7053</v>
      </c>
      <c r="C1829" s="26" t="s">
        <v>363</v>
      </c>
      <c r="D1829" s="26" t="s">
        <v>72</v>
      </c>
      <c r="E1829" s="26" t="s">
        <v>7054</v>
      </c>
      <c r="F1829" s="26" t="s">
        <v>2422</v>
      </c>
      <c r="G1829" s="26" t="s">
        <v>90</v>
      </c>
      <c r="H1829" s="26" t="s">
        <v>34</v>
      </c>
      <c r="I1829" s="26" t="s">
        <v>109</v>
      </c>
      <c r="J1829" s="26">
        <v>4.0</v>
      </c>
      <c r="K1829" s="26"/>
      <c r="L1829" s="26" t="s">
        <v>25</v>
      </c>
      <c r="M1829" s="26" t="s">
        <v>97</v>
      </c>
      <c r="N1829" s="26" t="s">
        <v>7039</v>
      </c>
      <c r="O1829" s="26"/>
    </row>
    <row r="1830" ht="15.75" customHeight="1">
      <c r="A1830" s="26" t="s">
        <v>7055</v>
      </c>
      <c r="B1830" s="26" t="s">
        <v>7056</v>
      </c>
      <c r="C1830" s="26" t="s">
        <v>312</v>
      </c>
      <c r="D1830" s="26" t="s">
        <v>72</v>
      </c>
      <c r="E1830" s="26" t="s">
        <v>7057</v>
      </c>
      <c r="F1830" s="26" t="s">
        <v>1973</v>
      </c>
      <c r="G1830" s="26" t="s">
        <v>1143</v>
      </c>
      <c r="H1830" s="26" t="s">
        <v>61</v>
      </c>
      <c r="I1830" s="26"/>
      <c r="J1830" s="26">
        <v>1.0</v>
      </c>
      <c r="K1830" s="26"/>
      <c r="L1830" s="26" t="s">
        <v>25</v>
      </c>
      <c r="M1830" s="26" t="s">
        <v>97</v>
      </c>
      <c r="N1830" s="26" t="s">
        <v>7039</v>
      </c>
      <c r="O1830" s="26"/>
    </row>
    <row r="1831" ht="15.75" customHeight="1">
      <c r="A1831" s="26" t="s">
        <v>7058</v>
      </c>
      <c r="B1831" s="26" t="s">
        <v>7059</v>
      </c>
      <c r="C1831" s="26" t="s">
        <v>363</v>
      </c>
      <c r="D1831" s="26" t="s">
        <v>59</v>
      </c>
      <c r="E1831" s="26" t="s">
        <v>7060</v>
      </c>
      <c r="F1831" s="26" t="s">
        <v>423</v>
      </c>
      <c r="G1831" s="26" t="s">
        <v>117</v>
      </c>
      <c r="H1831" s="26" t="s">
        <v>34</v>
      </c>
      <c r="I1831" s="26" t="s">
        <v>373</v>
      </c>
      <c r="J1831" s="26">
        <v>3.0</v>
      </c>
      <c r="K1831" s="26" t="s">
        <v>7061</v>
      </c>
      <c r="L1831" s="26" t="s">
        <v>15</v>
      </c>
      <c r="M1831" s="26" t="s">
        <v>81</v>
      </c>
      <c r="N1831" s="26" t="s">
        <v>307</v>
      </c>
      <c r="O1831" s="26">
        <v>3.0</v>
      </c>
    </row>
    <row r="1832" ht="15.75" customHeight="1">
      <c r="A1832" s="26" t="s">
        <v>7062</v>
      </c>
      <c r="B1832" s="26" t="s">
        <v>7063</v>
      </c>
      <c r="C1832" s="26" t="s">
        <v>312</v>
      </c>
      <c r="D1832" s="26" t="s">
        <v>54</v>
      </c>
      <c r="E1832" s="26" t="s">
        <v>7064</v>
      </c>
      <c r="F1832" s="26" t="s">
        <v>644</v>
      </c>
      <c r="G1832" s="26" t="s">
        <v>217</v>
      </c>
      <c r="H1832" s="26" t="s">
        <v>52</v>
      </c>
      <c r="I1832" s="26" t="s">
        <v>717</v>
      </c>
      <c r="J1832" s="26">
        <v>2.0</v>
      </c>
      <c r="K1832" s="26"/>
      <c r="L1832" s="26" t="s">
        <v>25</v>
      </c>
      <c r="M1832" s="26" t="s">
        <v>97</v>
      </c>
      <c r="N1832" s="26" t="s">
        <v>7039</v>
      </c>
      <c r="O1832" s="26"/>
    </row>
    <row r="1833" ht="15.75" customHeight="1">
      <c r="A1833" s="26" t="s">
        <v>7065</v>
      </c>
      <c r="B1833" s="26" t="s">
        <v>7066</v>
      </c>
      <c r="C1833" s="26" t="s">
        <v>429</v>
      </c>
      <c r="D1833" s="26" t="s">
        <v>36</v>
      </c>
      <c r="E1833" s="26" t="s">
        <v>218</v>
      </c>
      <c r="F1833" s="26" t="s">
        <v>1698</v>
      </c>
      <c r="G1833" s="26" t="s">
        <v>106</v>
      </c>
      <c r="H1833" s="26" t="s">
        <v>57</v>
      </c>
      <c r="I1833" s="26" t="s">
        <v>120</v>
      </c>
      <c r="J1833" s="26">
        <v>2.0</v>
      </c>
      <c r="K1833" s="26" t="s">
        <v>219</v>
      </c>
      <c r="L1833" s="26" t="s">
        <v>15</v>
      </c>
      <c r="M1833" s="26" t="s">
        <v>81</v>
      </c>
      <c r="N1833" s="26" t="s">
        <v>307</v>
      </c>
      <c r="O1833" s="26">
        <v>3.0</v>
      </c>
    </row>
    <row r="1834" ht="15.75" customHeight="1">
      <c r="A1834" s="26" t="s">
        <v>7067</v>
      </c>
      <c r="B1834" s="26" t="s">
        <v>7068</v>
      </c>
      <c r="C1834" s="26" t="s">
        <v>429</v>
      </c>
      <c r="D1834" s="26" t="s">
        <v>36</v>
      </c>
      <c r="E1834" s="26" t="s">
        <v>7069</v>
      </c>
      <c r="F1834" s="26" t="s">
        <v>315</v>
      </c>
      <c r="G1834" s="26" t="s">
        <v>47</v>
      </c>
      <c r="H1834" s="26" t="s">
        <v>34</v>
      </c>
      <c r="I1834" s="26" t="s">
        <v>101</v>
      </c>
      <c r="J1834" s="26">
        <v>2.0</v>
      </c>
      <c r="K1834" s="26" t="s">
        <v>138</v>
      </c>
      <c r="L1834" s="26" t="s">
        <v>15</v>
      </c>
      <c r="M1834" s="26" t="s">
        <v>87</v>
      </c>
      <c r="N1834" s="26" t="s">
        <v>307</v>
      </c>
      <c r="O1834" s="26">
        <v>2.0</v>
      </c>
    </row>
    <row r="1835" ht="15.75" customHeight="1">
      <c r="A1835" s="26" t="s">
        <v>7070</v>
      </c>
      <c r="B1835" s="26" t="s">
        <v>7071</v>
      </c>
      <c r="C1835" s="26" t="s">
        <v>322</v>
      </c>
      <c r="D1835" s="26" t="s">
        <v>54</v>
      </c>
      <c r="E1835" s="26" t="s">
        <v>783</v>
      </c>
      <c r="F1835" s="26" t="s">
        <v>326</v>
      </c>
      <c r="G1835" s="26" t="s">
        <v>327</v>
      </c>
      <c r="H1835" s="26" t="s">
        <v>49</v>
      </c>
      <c r="I1835" s="26"/>
      <c r="J1835" s="26">
        <v>1.0</v>
      </c>
      <c r="K1835" s="26"/>
      <c r="L1835" s="26" t="s">
        <v>25</v>
      </c>
      <c r="M1835" s="26" t="s">
        <v>97</v>
      </c>
      <c r="N1835" s="26" t="s">
        <v>7039</v>
      </c>
      <c r="O1835" s="26"/>
    </row>
    <row r="1836" ht="15.75" customHeight="1">
      <c r="A1836" s="26" t="s">
        <v>7072</v>
      </c>
      <c r="B1836" s="26" t="s">
        <v>7073</v>
      </c>
      <c r="C1836" s="26" t="s">
        <v>3588</v>
      </c>
      <c r="D1836" s="26" t="s">
        <v>54</v>
      </c>
      <c r="E1836" s="26" t="s">
        <v>7074</v>
      </c>
      <c r="F1836" s="26" t="s">
        <v>432</v>
      </c>
      <c r="G1836" s="26" t="s">
        <v>182</v>
      </c>
      <c r="H1836" s="26" t="s">
        <v>34</v>
      </c>
      <c r="I1836" s="26" t="s">
        <v>520</v>
      </c>
      <c r="J1836" s="26">
        <v>3.0</v>
      </c>
      <c r="K1836" s="26"/>
      <c r="L1836" s="26" t="s">
        <v>25</v>
      </c>
      <c r="M1836" s="26" t="s">
        <v>97</v>
      </c>
      <c r="N1836" s="26" t="s">
        <v>7039</v>
      </c>
      <c r="O1836" s="26"/>
    </row>
    <row r="1837" ht="15.75" customHeight="1">
      <c r="A1837" s="26" t="s">
        <v>7075</v>
      </c>
      <c r="B1837" s="26" t="s">
        <v>7076</v>
      </c>
      <c r="C1837" s="26" t="s">
        <v>300</v>
      </c>
      <c r="D1837" s="26" t="s">
        <v>45</v>
      </c>
      <c r="E1837" s="26" t="s">
        <v>7077</v>
      </c>
      <c r="F1837" s="26" t="s">
        <v>768</v>
      </c>
      <c r="G1837" s="26" t="s">
        <v>183</v>
      </c>
      <c r="H1837" s="26" t="s">
        <v>46</v>
      </c>
      <c r="I1837" s="26"/>
      <c r="J1837" s="26">
        <v>0.0</v>
      </c>
      <c r="K1837" s="26" t="s">
        <v>7036</v>
      </c>
      <c r="L1837" s="26" t="s">
        <v>23</v>
      </c>
      <c r="M1837" s="26" t="s">
        <v>94</v>
      </c>
      <c r="N1837" s="26" t="s">
        <v>307</v>
      </c>
      <c r="O1837" s="26"/>
    </row>
    <row r="1838" ht="15.75" customHeight="1">
      <c r="A1838" s="26" t="s">
        <v>7078</v>
      </c>
      <c r="B1838" s="26" t="s">
        <v>7079</v>
      </c>
      <c r="C1838" s="26" t="s">
        <v>363</v>
      </c>
      <c r="D1838" s="26" t="s">
        <v>45</v>
      </c>
      <c r="E1838" s="26" t="s">
        <v>7080</v>
      </c>
      <c r="F1838" s="26" t="s">
        <v>799</v>
      </c>
      <c r="G1838" s="26" t="s">
        <v>130</v>
      </c>
      <c r="H1838" s="26" t="s">
        <v>34</v>
      </c>
      <c r="I1838" s="26" t="s">
        <v>143</v>
      </c>
      <c r="J1838" s="26">
        <v>3.0</v>
      </c>
      <c r="K1838" s="26" t="s">
        <v>7014</v>
      </c>
      <c r="L1838" s="26" t="s">
        <v>15</v>
      </c>
      <c r="M1838" s="26" t="s">
        <v>81</v>
      </c>
      <c r="N1838" s="26" t="s">
        <v>7039</v>
      </c>
      <c r="O1838" s="26"/>
    </row>
    <row r="1839" ht="15.75" customHeight="1">
      <c r="A1839" s="26" t="s">
        <v>7081</v>
      </c>
      <c r="B1839" s="26" t="s">
        <v>7082</v>
      </c>
      <c r="C1839" s="26" t="s">
        <v>363</v>
      </c>
      <c r="D1839" s="26" t="s">
        <v>36</v>
      </c>
      <c r="E1839" s="26" t="s">
        <v>149</v>
      </c>
      <c r="F1839" s="26" t="s">
        <v>681</v>
      </c>
      <c r="G1839" s="26" t="s">
        <v>58</v>
      </c>
      <c r="H1839" s="26" t="s">
        <v>49</v>
      </c>
      <c r="I1839" s="26" t="s">
        <v>104</v>
      </c>
      <c r="J1839" s="26">
        <v>2.0</v>
      </c>
      <c r="K1839" s="26" t="s">
        <v>150</v>
      </c>
      <c r="L1839" s="26" t="s">
        <v>15</v>
      </c>
      <c r="M1839" s="26" t="s">
        <v>81</v>
      </c>
      <c r="N1839" s="26" t="s">
        <v>307</v>
      </c>
      <c r="O1839" s="26">
        <v>1.0</v>
      </c>
    </row>
    <row r="1840" ht="15.75" customHeight="1">
      <c r="A1840" s="26" t="s">
        <v>7083</v>
      </c>
      <c r="B1840" s="26" t="s">
        <v>7084</v>
      </c>
      <c r="C1840" s="26" t="s">
        <v>892</v>
      </c>
      <c r="D1840" s="26" t="s">
        <v>45</v>
      </c>
      <c r="E1840" s="26" t="s">
        <v>7085</v>
      </c>
      <c r="F1840" s="26" t="s">
        <v>799</v>
      </c>
      <c r="G1840" s="26" t="s">
        <v>130</v>
      </c>
      <c r="H1840" s="26" t="s">
        <v>34</v>
      </c>
      <c r="I1840" s="26" t="s">
        <v>140</v>
      </c>
      <c r="J1840" s="26">
        <v>5.0</v>
      </c>
      <c r="K1840" s="26" t="s">
        <v>7086</v>
      </c>
      <c r="L1840" s="26" t="s">
        <v>15</v>
      </c>
      <c r="M1840" s="26" t="s">
        <v>81</v>
      </c>
      <c r="N1840" s="26" t="s">
        <v>307</v>
      </c>
      <c r="O1840" s="26">
        <v>2.0</v>
      </c>
    </row>
    <row r="1841" ht="15.75" customHeight="1">
      <c r="A1841" s="26" t="s">
        <v>7087</v>
      </c>
      <c r="B1841" s="26" t="s">
        <v>7088</v>
      </c>
      <c r="C1841" s="26" t="s">
        <v>429</v>
      </c>
      <c r="D1841" s="26" t="s">
        <v>50</v>
      </c>
      <c r="E1841" s="26" t="s">
        <v>7089</v>
      </c>
      <c r="F1841" s="26" t="s">
        <v>1309</v>
      </c>
      <c r="G1841" s="26" t="s">
        <v>245</v>
      </c>
      <c r="H1841" s="26" t="s">
        <v>57</v>
      </c>
      <c r="I1841" s="26" t="s">
        <v>566</v>
      </c>
      <c r="J1841" s="26">
        <v>2.0</v>
      </c>
      <c r="K1841" s="26" t="s">
        <v>7090</v>
      </c>
      <c r="L1841" s="26" t="s">
        <v>15</v>
      </c>
      <c r="M1841" s="26" t="s">
        <v>81</v>
      </c>
      <c r="N1841" s="26" t="s">
        <v>307</v>
      </c>
      <c r="O1841" s="26">
        <v>2.0</v>
      </c>
    </row>
    <row r="1842" ht="15.75" customHeight="1">
      <c r="A1842" s="26" t="s">
        <v>7091</v>
      </c>
      <c r="B1842" s="26" t="s">
        <v>7092</v>
      </c>
      <c r="C1842" s="26" t="s">
        <v>429</v>
      </c>
      <c r="D1842" s="26" t="s">
        <v>48</v>
      </c>
      <c r="E1842" s="26" t="s">
        <v>7093</v>
      </c>
      <c r="F1842" s="26" t="s">
        <v>1727</v>
      </c>
      <c r="G1842" s="26" t="s">
        <v>284</v>
      </c>
      <c r="H1842" s="26" t="s">
        <v>46</v>
      </c>
      <c r="I1842" s="26"/>
      <c r="J1842" s="26">
        <v>0.0</v>
      </c>
      <c r="K1842" s="26" t="s">
        <v>7094</v>
      </c>
      <c r="L1842" s="26" t="s">
        <v>15</v>
      </c>
      <c r="M1842" s="26" t="s">
        <v>81</v>
      </c>
      <c r="N1842" s="26" t="s">
        <v>307</v>
      </c>
      <c r="O1842" s="26">
        <v>2.0</v>
      </c>
    </row>
    <row r="1843" ht="15.75" customHeight="1">
      <c r="A1843" s="26" t="s">
        <v>7095</v>
      </c>
      <c r="B1843" s="26" t="s">
        <v>7096</v>
      </c>
      <c r="C1843" s="26" t="s">
        <v>312</v>
      </c>
      <c r="D1843" s="26" t="s">
        <v>48</v>
      </c>
      <c r="E1843" s="26" t="s">
        <v>7097</v>
      </c>
      <c r="F1843" s="26" t="s">
        <v>984</v>
      </c>
      <c r="G1843" s="26" t="s">
        <v>265</v>
      </c>
      <c r="H1843" s="26" t="s">
        <v>34</v>
      </c>
      <c r="I1843" s="26" t="s">
        <v>258</v>
      </c>
      <c r="J1843" s="26">
        <v>5.0</v>
      </c>
      <c r="K1843" s="26"/>
      <c r="L1843" s="26" t="s">
        <v>25</v>
      </c>
      <c r="M1843" s="26" t="s">
        <v>97</v>
      </c>
      <c r="N1843" s="26" t="s">
        <v>7039</v>
      </c>
      <c r="O1843" s="26"/>
    </row>
    <row r="1844" ht="15.75" customHeight="1">
      <c r="A1844" s="26" t="s">
        <v>7098</v>
      </c>
      <c r="B1844" s="26" t="s">
        <v>7099</v>
      </c>
      <c r="C1844" s="26" t="s">
        <v>312</v>
      </c>
      <c r="D1844" s="26" t="s">
        <v>59</v>
      </c>
      <c r="E1844" s="26" t="s">
        <v>7100</v>
      </c>
      <c r="F1844" s="26" t="s">
        <v>423</v>
      </c>
      <c r="G1844" s="26" t="s">
        <v>117</v>
      </c>
      <c r="H1844" s="26" t="s">
        <v>34</v>
      </c>
      <c r="I1844" s="26"/>
      <c r="J1844" s="26">
        <v>1.0</v>
      </c>
      <c r="K1844" s="26"/>
      <c r="L1844" s="26" t="s">
        <v>25</v>
      </c>
      <c r="M1844" s="26" t="s">
        <v>97</v>
      </c>
      <c r="N1844" s="26" t="s">
        <v>7039</v>
      </c>
      <c r="O1844" s="26"/>
    </row>
    <row r="1845" ht="15.75" customHeight="1">
      <c r="A1845" s="26" t="s">
        <v>7101</v>
      </c>
      <c r="B1845" s="26" t="s">
        <v>7102</v>
      </c>
      <c r="C1845" s="26" t="s">
        <v>322</v>
      </c>
      <c r="D1845" s="26" t="s">
        <v>72</v>
      </c>
      <c r="E1845" s="26" t="s">
        <v>7103</v>
      </c>
      <c r="F1845" s="26" t="s">
        <v>1394</v>
      </c>
      <c r="G1845" s="26" t="s">
        <v>109</v>
      </c>
      <c r="H1845" s="26" t="s">
        <v>61</v>
      </c>
      <c r="I1845" s="26" t="s">
        <v>3308</v>
      </c>
      <c r="J1845" s="26">
        <v>2.0</v>
      </c>
      <c r="K1845" s="26"/>
      <c r="L1845" s="26" t="s">
        <v>25</v>
      </c>
      <c r="M1845" s="26" t="s">
        <v>97</v>
      </c>
      <c r="N1845" s="26" t="s">
        <v>7039</v>
      </c>
      <c r="O1845" s="26"/>
    </row>
    <row r="1846" ht="15.75" customHeight="1">
      <c r="A1846" s="26" t="s">
        <v>7104</v>
      </c>
      <c r="B1846" s="26" t="s">
        <v>7105</v>
      </c>
      <c r="C1846" s="26" t="s">
        <v>312</v>
      </c>
      <c r="D1846" s="26" t="s">
        <v>54</v>
      </c>
      <c r="E1846" s="26" t="s">
        <v>776</v>
      </c>
      <c r="F1846" s="26" t="s">
        <v>1575</v>
      </c>
      <c r="G1846" s="26" t="s">
        <v>572</v>
      </c>
      <c r="H1846" s="26" t="s">
        <v>46</v>
      </c>
      <c r="I1846" s="26" t="s">
        <v>217</v>
      </c>
      <c r="J1846" s="26">
        <v>2.0</v>
      </c>
      <c r="K1846" s="26"/>
      <c r="L1846" s="26" t="s">
        <v>25</v>
      </c>
      <c r="M1846" s="26" t="s">
        <v>97</v>
      </c>
      <c r="N1846" s="26" t="s">
        <v>7039</v>
      </c>
      <c r="O1846" s="26"/>
    </row>
    <row r="1847" ht="15.75" customHeight="1">
      <c r="A1847" s="26" t="s">
        <v>7106</v>
      </c>
      <c r="B1847" s="26" t="s">
        <v>7107</v>
      </c>
      <c r="C1847" s="26" t="s">
        <v>300</v>
      </c>
      <c r="D1847" s="26" t="s">
        <v>45</v>
      </c>
      <c r="E1847" s="26" t="s">
        <v>374</v>
      </c>
      <c r="F1847" s="26" t="s">
        <v>937</v>
      </c>
      <c r="G1847" s="26" t="s">
        <v>204</v>
      </c>
      <c r="H1847" s="26" t="s">
        <v>49</v>
      </c>
      <c r="I1847" s="26"/>
      <c r="J1847" s="26">
        <v>1.0</v>
      </c>
      <c r="K1847" s="26" t="s">
        <v>375</v>
      </c>
      <c r="L1847" s="26" t="s">
        <v>15</v>
      </c>
      <c r="M1847" s="26" t="s">
        <v>81</v>
      </c>
      <c r="N1847" s="26" t="s">
        <v>307</v>
      </c>
      <c r="O1847" s="26">
        <v>1.0</v>
      </c>
    </row>
    <row r="1848" ht="15.75" customHeight="1">
      <c r="A1848" s="26" t="s">
        <v>7108</v>
      </c>
      <c r="B1848" s="26" t="s">
        <v>7109</v>
      </c>
      <c r="C1848" s="26" t="s">
        <v>312</v>
      </c>
      <c r="D1848" s="26" t="s">
        <v>100</v>
      </c>
      <c r="E1848" s="26" t="s">
        <v>1443</v>
      </c>
      <c r="F1848" s="26" t="s">
        <v>6327</v>
      </c>
      <c r="G1848" s="26" t="s">
        <v>1442</v>
      </c>
      <c r="H1848" s="26" t="s">
        <v>34</v>
      </c>
      <c r="I1848" s="26"/>
      <c r="J1848" s="26">
        <v>1.0</v>
      </c>
      <c r="K1848" s="26"/>
      <c r="L1848" s="26" t="s">
        <v>25</v>
      </c>
      <c r="M1848" s="26" t="s">
        <v>97</v>
      </c>
      <c r="N1848" s="26" t="s">
        <v>7039</v>
      </c>
      <c r="O1848" s="26"/>
    </row>
    <row r="1849" ht="15.75" customHeight="1">
      <c r="A1849" s="26" t="s">
        <v>7110</v>
      </c>
      <c r="B1849" s="26" t="s">
        <v>7111</v>
      </c>
      <c r="C1849" s="26" t="s">
        <v>363</v>
      </c>
      <c r="D1849" s="26" t="s">
        <v>36</v>
      </c>
      <c r="E1849" s="26" t="s">
        <v>7112</v>
      </c>
      <c r="F1849" s="26" t="s">
        <v>2025</v>
      </c>
      <c r="G1849" s="26" t="s">
        <v>82</v>
      </c>
      <c r="H1849" s="26" t="s">
        <v>34</v>
      </c>
      <c r="I1849" s="26"/>
      <c r="J1849" s="26">
        <v>1.0</v>
      </c>
      <c r="K1849" s="26" t="s">
        <v>7113</v>
      </c>
      <c r="L1849" s="26" t="s">
        <v>15</v>
      </c>
      <c r="M1849" s="26" t="s">
        <v>81</v>
      </c>
      <c r="N1849" s="26" t="s">
        <v>307</v>
      </c>
      <c r="O1849" s="26">
        <v>1.0</v>
      </c>
    </row>
    <row r="1850" ht="15.75" customHeight="1">
      <c r="A1850" s="26" t="s">
        <v>7114</v>
      </c>
      <c r="B1850" s="26" t="s">
        <v>7115</v>
      </c>
      <c r="C1850" s="26" t="s">
        <v>363</v>
      </c>
      <c r="D1850" s="26" t="s">
        <v>72</v>
      </c>
      <c r="E1850" s="26" t="s">
        <v>7116</v>
      </c>
      <c r="F1850" s="26" t="s">
        <v>2422</v>
      </c>
      <c r="G1850" s="26" t="s">
        <v>90</v>
      </c>
      <c r="H1850" s="26" t="s">
        <v>34</v>
      </c>
      <c r="I1850" s="26"/>
      <c r="J1850" s="26">
        <v>1.0</v>
      </c>
      <c r="K1850" s="26" t="s">
        <v>244</v>
      </c>
      <c r="L1850" s="26" t="s">
        <v>29</v>
      </c>
      <c r="M1850" s="26" t="s">
        <v>95</v>
      </c>
      <c r="N1850" s="26" t="s">
        <v>307</v>
      </c>
      <c r="O1850" s="26"/>
    </row>
    <row r="1851" ht="15.75" customHeight="1">
      <c r="A1851" s="26" t="s">
        <v>7117</v>
      </c>
      <c r="B1851" s="26" t="s">
        <v>7118</v>
      </c>
      <c r="C1851" s="26" t="s">
        <v>363</v>
      </c>
      <c r="D1851" s="26" t="s">
        <v>59</v>
      </c>
      <c r="E1851" s="26" t="s">
        <v>7119</v>
      </c>
      <c r="F1851" s="26" t="s">
        <v>2097</v>
      </c>
      <c r="G1851" s="26" t="s">
        <v>127</v>
      </c>
      <c r="H1851" s="26" t="s">
        <v>53</v>
      </c>
      <c r="I1851" s="26" t="s">
        <v>113</v>
      </c>
      <c r="J1851" s="26">
        <v>2.0</v>
      </c>
      <c r="K1851" s="26"/>
      <c r="L1851" s="26" t="s">
        <v>25</v>
      </c>
      <c r="M1851" s="26" t="s">
        <v>97</v>
      </c>
      <c r="N1851" s="26" t="s">
        <v>7039</v>
      </c>
      <c r="O1851" s="26"/>
    </row>
    <row r="1852" ht="15.75" customHeight="1">
      <c r="A1852" s="26" t="s">
        <v>7120</v>
      </c>
      <c r="B1852" s="26" t="s">
        <v>7121</v>
      </c>
      <c r="C1852" s="26" t="s">
        <v>363</v>
      </c>
      <c r="D1852" s="26" t="s">
        <v>50</v>
      </c>
      <c r="E1852" s="26" t="s">
        <v>7122</v>
      </c>
      <c r="F1852" s="26" t="s">
        <v>1309</v>
      </c>
      <c r="G1852" s="26" t="s">
        <v>245</v>
      </c>
      <c r="H1852" s="26" t="s">
        <v>57</v>
      </c>
      <c r="I1852" s="26" t="s">
        <v>328</v>
      </c>
      <c r="J1852" s="26">
        <v>3.0</v>
      </c>
      <c r="K1852" s="26"/>
      <c r="L1852" s="26" t="s">
        <v>25</v>
      </c>
      <c r="M1852" s="26" t="s">
        <v>97</v>
      </c>
      <c r="N1852" s="26" t="s">
        <v>7039</v>
      </c>
      <c r="O1852" s="26"/>
    </row>
    <row r="1853" ht="15.75" customHeight="1">
      <c r="A1853" s="26" t="s">
        <v>7123</v>
      </c>
      <c r="B1853" s="26" t="s">
        <v>7115</v>
      </c>
      <c r="C1853" s="26" t="s">
        <v>363</v>
      </c>
      <c r="D1853" s="26" t="s">
        <v>72</v>
      </c>
      <c r="E1853" s="26" t="s">
        <v>7124</v>
      </c>
      <c r="F1853" s="26" t="s">
        <v>2422</v>
      </c>
      <c r="G1853" s="26" t="s">
        <v>90</v>
      </c>
      <c r="H1853" s="26" t="s">
        <v>34</v>
      </c>
      <c r="I1853" s="26"/>
      <c r="J1853" s="26">
        <v>1.0</v>
      </c>
      <c r="K1853" s="26" t="s">
        <v>244</v>
      </c>
      <c r="L1853" s="26" t="s">
        <v>29</v>
      </c>
      <c r="M1853" s="26" t="s">
        <v>95</v>
      </c>
      <c r="N1853" s="26" t="s">
        <v>307</v>
      </c>
      <c r="O1853" s="26"/>
    </row>
    <row r="1854" ht="15.75" customHeight="1">
      <c r="A1854" s="26" t="s">
        <v>7125</v>
      </c>
      <c r="B1854" s="26" t="s">
        <v>7126</v>
      </c>
      <c r="C1854" s="26" t="s">
        <v>363</v>
      </c>
      <c r="D1854" s="26" t="s">
        <v>48</v>
      </c>
      <c r="E1854" s="26" t="s">
        <v>7127</v>
      </c>
      <c r="F1854" s="26" t="s">
        <v>984</v>
      </c>
      <c r="G1854" s="26" t="s">
        <v>265</v>
      </c>
      <c r="H1854" s="26" t="s">
        <v>34</v>
      </c>
      <c r="I1854" s="26" t="s">
        <v>248</v>
      </c>
      <c r="J1854" s="26">
        <v>6.0</v>
      </c>
      <c r="K1854" s="26"/>
      <c r="L1854" s="26" t="s">
        <v>25</v>
      </c>
      <c r="M1854" s="26" t="s">
        <v>97</v>
      </c>
      <c r="N1854" s="26" t="s">
        <v>7039</v>
      </c>
      <c r="O1854" s="26"/>
    </row>
    <row r="1855" ht="15.75" customHeight="1">
      <c r="A1855" s="26" t="s">
        <v>7128</v>
      </c>
      <c r="B1855" s="26" t="s">
        <v>7115</v>
      </c>
      <c r="C1855" s="26" t="s">
        <v>312</v>
      </c>
      <c r="D1855" s="26" t="s">
        <v>72</v>
      </c>
      <c r="E1855" s="26" t="s">
        <v>1122</v>
      </c>
      <c r="F1855" s="26" t="s">
        <v>2422</v>
      </c>
      <c r="G1855" s="26" t="s">
        <v>90</v>
      </c>
      <c r="H1855" s="26" t="s">
        <v>34</v>
      </c>
      <c r="I1855" s="26"/>
      <c r="J1855" s="26">
        <v>1.0</v>
      </c>
      <c r="K1855" s="26" t="s">
        <v>244</v>
      </c>
      <c r="L1855" s="26" t="s">
        <v>29</v>
      </c>
      <c r="M1855" s="26" t="s">
        <v>95</v>
      </c>
      <c r="N1855" s="26" t="s">
        <v>307</v>
      </c>
      <c r="O1855" s="26"/>
    </row>
    <row r="1856" ht="15.75" customHeight="1">
      <c r="A1856" s="26" t="s">
        <v>7129</v>
      </c>
      <c r="B1856" s="26" t="s">
        <v>7130</v>
      </c>
      <c r="C1856" s="26" t="s">
        <v>312</v>
      </c>
      <c r="D1856" s="26" t="s">
        <v>72</v>
      </c>
      <c r="E1856" s="26" t="s">
        <v>7131</v>
      </c>
      <c r="F1856" s="26" t="s">
        <v>2422</v>
      </c>
      <c r="G1856" s="26" t="s">
        <v>90</v>
      </c>
      <c r="H1856" s="26" t="s">
        <v>34</v>
      </c>
      <c r="I1856" s="26"/>
      <c r="J1856" s="26">
        <v>1.0</v>
      </c>
      <c r="K1856" s="26" t="s">
        <v>244</v>
      </c>
      <c r="L1856" s="26" t="s">
        <v>29</v>
      </c>
      <c r="M1856" s="26" t="s">
        <v>95</v>
      </c>
      <c r="N1856" s="26" t="s">
        <v>307</v>
      </c>
      <c r="O1856" s="26"/>
    </row>
    <row r="1857" ht="15.75" customHeight="1">
      <c r="A1857" s="26" t="s">
        <v>7132</v>
      </c>
      <c r="B1857" s="26" t="s">
        <v>7133</v>
      </c>
      <c r="C1857" s="26" t="s">
        <v>312</v>
      </c>
      <c r="D1857" s="26" t="s">
        <v>72</v>
      </c>
      <c r="E1857" s="26" t="s">
        <v>7134</v>
      </c>
      <c r="F1857" s="26" t="s">
        <v>2422</v>
      </c>
      <c r="G1857" s="26" t="s">
        <v>90</v>
      </c>
      <c r="H1857" s="26" t="s">
        <v>34</v>
      </c>
      <c r="I1857" s="26"/>
      <c r="J1857" s="26">
        <v>1.0</v>
      </c>
      <c r="K1857" s="26" t="s">
        <v>244</v>
      </c>
      <c r="L1857" s="26" t="s">
        <v>29</v>
      </c>
      <c r="M1857" s="26" t="s">
        <v>95</v>
      </c>
      <c r="N1857" s="26" t="s">
        <v>307</v>
      </c>
      <c r="O1857" s="26"/>
    </row>
    <row r="1858" ht="15.75" customHeight="1">
      <c r="A1858" s="26" t="s">
        <v>7135</v>
      </c>
      <c r="B1858" s="26" t="s">
        <v>7136</v>
      </c>
      <c r="C1858" s="26" t="s">
        <v>363</v>
      </c>
      <c r="D1858" s="26" t="s">
        <v>36</v>
      </c>
      <c r="E1858" s="26" t="s">
        <v>7137</v>
      </c>
      <c r="F1858" s="26" t="s">
        <v>3132</v>
      </c>
      <c r="G1858" s="26" t="s">
        <v>77</v>
      </c>
      <c r="H1858" s="26" t="s">
        <v>46</v>
      </c>
      <c r="I1858" s="26"/>
      <c r="J1858" s="26">
        <v>0.0</v>
      </c>
      <c r="K1858" s="26" t="s">
        <v>138</v>
      </c>
      <c r="L1858" s="26" t="s">
        <v>19</v>
      </c>
      <c r="M1858" s="26" t="s">
        <v>87</v>
      </c>
      <c r="N1858" s="26" t="s">
        <v>307</v>
      </c>
      <c r="O1858" s="26">
        <v>1.0</v>
      </c>
    </row>
    <row r="1859" ht="15.75" customHeight="1">
      <c r="A1859" s="26" t="s">
        <v>7138</v>
      </c>
      <c r="B1859" s="26" t="s">
        <v>7139</v>
      </c>
      <c r="C1859" s="26" t="s">
        <v>363</v>
      </c>
      <c r="D1859" s="26" t="s">
        <v>36</v>
      </c>
      <c r="E1859" s="26" t="s">
        <v>7140</v>
      </c>
      <c r="F1859" s="26" t="s">
        <v>760</v>
      </c>
      <c r="G1859" s="26" t="s">
        <v>51</v>
      </c>
      <c r="H1859" s="26" t="s">
        <v>52</v>
      </c>
      <c r="I1859" s="26"/>
      <c r="J1859" s="26">
        <v>1.0</v>
      </c>
      <c r="K1859" s="26" t="s">
        <v>7141</v>
      </c>
      <c r="L1859" s="26" t="s">
        <v>15</v>
      </c>
      <c r="M1859" s="26" t="s">
        <v>81</v>
      </c>
      <c r="N1859" s="26" t="s">
        <v>307</v>
      </c>
      <c r="O1859" s="26">
        <v>1.0</v>
      </c>
    </row>
    <row r="1860" ht="15.75" customHeight="1">
      <c r="A1860" s="26" t="s">
        <v>7142</v>
      </c>
      <c r="B1860" s="26" t="s">
        <v>7143</v>
      </c>
      <c r="C1860" s="26" t="s">
        <v>312</v>
      </c>
      <c r="D1860" s="26" t="s">
        <v>36</v>
      </c>
      <c r="E1860" s="26" t="s">
        <v>7144</v>
      </c>
      <c r="F1860" s="26" t="s">
        <v>760</v>
      </c>
      <c r="G1860" s="26" t="s">
        <v>51</v>
      </c>
      <c r="H1860" s="26" t="s">
        <v>52</v>
      </c>
      <c r="I1860" s="26" t="s">
        <v>82</v>
      </c>
      <c r="J1860" s="26">
        <v>2.0</v>
      </c>
      <c r="K1860" s="26" t="s">
        <v>7141</v>
      </c>
      <c r="L1860" s="26" t="s">
        <v>15</v>
      </c>
      <c r="M1860" s="26" t="s">
        <v>81</v>
      </c>
      <c r="N1860" s="26" t="s">
        <v>307</v>
      </c>
      <c r="O1860" s="26">
        <v>1.0</v>
      </c>
    </row>
    <row r="1861" ht="15.75" customHeight="1">
      <c r="A1861" s="26" t="s">
        <v>7145</v>
      </c>
      <c r="B1861" s="26" t="s">
        <v>7146</v>
      </c>
      <c r="C1861" s="26" t="s">
        <v>363</v>
      </c>
      <c r="D1861" s="26" t="s">
        <v>36</v>
      </c>
      <c r="E1861" s="26" t="s">
        <v>7147</v>
      </c>
      <c r="F1861" s="26" t="s">
        <v>681</v>
      </c>
      <c r="G1861" s="26" t="s">
        <v>58</v>
      </c>
      <c r="H1861" s="26" t="s">
        <v>49</v>
      </c>
      <c r="I1861" s="26" t="s">
        <v>106</v>
      </c>
      <c r="J1861" s="26">
        <v>2.0</v>
      </c>
      <c r="K1861" s="26" t="s">
        <v>7148</v>
      </c>
      <c r="L1861" s="26" t="s">
        <v>15</v>
      </c>
      <c r="M1861" s="26" t="s">
        <v>81</v>
      </c>
      <c r="N1861" s="26" t="s">
        <v>307</v>
      </c>
      <c r="O1861" s="26">
        <v>1.0</v>
      </c>
    </row>
    <row r="1862" ht="15.75" customHeight="1">
      <c r="A1862" s="26" t="s">
        <v>7149</v>
      </c>
      <c r="B1862" s="26" t="s">
        <v>7150</v>
      </c>
      <c r="C1862" s="26" t="s">
        <v>363</v>
      </c>
      <c r="D1862" s="26" t="s">
        <v>36</v>
      </c>
      <c r="E1862" s="26" t="s">
        <v>7151</v>
      </c>
      <c r="F1862" s="26" t="s">
        <v>7152</v>
      </c>
      <c r="G1862" s="26" t="s">
        <v>121</v>
      </c>
      <c r="H1862" s="26" t="s">
        <v>34</v>
      </c>
      <c r="I1862" s="26"/>
      <c r="J1862" s="26">
        <v>1.0</v>
      </c>
      <c r="K1862" s="26" t="s">
        <v>254</v>
      </c>
      <c r="L1862" s="26" t="s">
        <v>15</v>
      </c>
      <c r="M1862" s="26" t="s">
        <v>81</v>
      </c>
      <c r="N1862" s="26" t="s">
        <v>307</v>
      </c>
      <c r="O1862" s="26">
        <v>1.0</v>
      </c>
    </row>
    <row r="1863" ht="15.75" customHeight="1">
      <c r="A1863" s="26" t="s">
        <v>7153</v>
      </c>
      <c r="B1863" s="26" t="s">
        <v>7154</v>
      </c>
      <c r="C1863" s="26" t="s">
        <v>363</v>
      </c>
      <c r="D1863" s="26" t="s">
        <v>36</v>
      </c>
      <c r="E1863" s="26" t="s">
        <v>7155</v>
      </c>
      <c r="F1863" s="26" t="s">
        <v>760</v>
      </c>
      <c r="G1863" s="26" t="s">
        <v>51</v>
      </c>
      <c r="H1863" s="26" t="s">
        <v>52</v>
      </c>
      <c r="I1863" s="26"/>
      <c r="J1863" s="26">
        <v>1.0</v>
      </c>
      <c r="K1863" s="26" t="s">
        <v>7141</v>
      </c>
      <c r="L1863" s="26" t="s">
        <v>15</v>
      </c>
      <c r="M1863" s="26" t="s">
        <v>81</v>
      </c>
      <c r="N1863" s="26" t="s">
        <v>307</v>
      </c>
      <c r="O1863" s="26">
        <v>1.0</v>
      </c>
    </row>
    <row r="1864" ht="15.75" customHeight="1">
      <c r="A1864" s="26" t="s">
        <v>7156</v>
      </c>
      <c r="B1864" s="26" t="s">
        <v>7157</v>
      </c>
      <c r="C1864" s="26" t="s">
        <v>429</v>
      </c>
      <c r="D1864" s="26" t="s">
        <v>48</v>
      </c>
      <c r="E1864" s="26" t="s">
        <v>7158</v>
      </c>
      <c r="F1864" s="26" t="s">
        <v>834</v>
      </c>
      <c r="G1864" s="26" t="s">
        <v>267</v>
      </c>
      <c r="H1864" s="26" t="s">
        <v>34</v>
      </c>
      <c r="I1864" s="26"/>
      <c r="J1864" s="26">
        <v>1.0</v>
      </c>
      <c r="K1864" s="26"/>
      <c r="L1864" s="26" t="s">
        <v>25</v>
      </c>
      <c r="M1864" s="26" t="s">
        <v>97</v>
      </c>
      <c r="N1864" s="26" t="s">
        <v>7039</v>
      </c>
      <c r="O1864" s="26"/>
    </row>
    <row r="1865" ht="15.75" customHeight="1">
      <c r="A1865" s="26" t="s">
        <v>7159</v>
      </c>
      <c r="B1865" s="26" t="s">
        <v>7160</v>
      </c>
      <c r="C1865" s="26" t="s">
        <v>312</v>
      </c>
      <c r="D1865" s="26" t="s">
        <v>59</v>
      </c>
      <c r="E1865" s="26" t="s">
        <v>7161</v>
      </c>
      <c r="F1865" s="26" t="s">
        <v>372</v>
      </c>
      <c r="G1865" s="26" t="s">
        <v>373</v>
      </c>
      <c r="H1865" s="26" t="s">
        <v>34</v>
      </c>
      <c r="I1865" s="26" t="s">
        <v>843</v>
      </c>
      <c r="J1865" s="26">
        <v>2.0</v>
      </c>
      <c r="K1865" s="26" t="s">
        <v>7162</v>
      </c>
      <c r="L1865" s="26" t="s">
        <v>15</v>
      </c>
      <c r="M1865" s="26" t="s">
        <v>81</v>
      </c>
      <c r="N1865" s="26" t="s">
        <v>307</v>
      </c>
      <c r="O1865" s="26">
        <v>0.0</v>
      </c>
    </row>
    <row r="1866" ht="15.75" customHeight="1">
      <c r="A1866" s="26" t="s">
        <v>7163</v>
      </c>
      <c r="B1866" s="26" t="s">
        <v>7164</v>
      </c>
      <c r="C1866" s="26" t="s">
        <v>363</v>
      </c>
      <c r="D1866" s="26" t="s">
        <v>36</v>
      </c>
      <c r="E1866" s="26" t="s">
        <v>7165</v>
      </c>
      <c r="F1866" s="26" t="s">
        <v>760</v>
      </c>
      <c r="G1866" s="26" t="s">
        <v>51</v>
      </c>
      <c r="H1866" s="26" t="s">
        <v>52</v>
      </c>
      <c r="I1866" s="26"/>
      <c r="J1866" s="26">
        <v>1.0</v>
      </c>
      <c r="K1866" s="26"/>
      <c r="L1866" s="26" t="s">
        <v>25</v>
      </c>
      <c r="M1866" s="26" t="s">
        <v>97</v>
      </c>
      <c r="N1866" s="26" t="s">
        <v>7039</v>
      </c>
      <c r="O1866" s="26"/>
    </row>
    <row r="1867" ht="15.75" customHeight="1">
      <c r="A1867" s="26" t="s">
        <v>7166</v>
      </c>
      <c r="B1867" s="26" t="s">
        <v>7167</v>
      </c>
      <c r="C1867" s="26" t="s">
        <v>363</v>
      </c>
      <c r="D1867" s="26" t="s">
        <v>36</v>
      </c>
      <c r="E1867" s="26" t="s">
        <v>7168</v>
      </c>
      <c r="F1867" s="26" t="s">
        <v>1292</v>
      </c>
      <c r="G1867" s="26" t="s">
        <v>65</v>
      </c>
      <c r="H1867" s="26" t="s">
        <v>34</v>
      </c>
      <c r="I1867" s="26" t="s">
        <v>104</v>
      </c>
      <c r="J1867" s="26">
        <v>2.0</v>
      </c>
      <c r="K1867" s="26" t="s">
        <v>238</v>
      </c>
      <c r="L1867" s="26" t="s">
        <v>15</v>
      </c>
      <c r="M1867" s="26" t="s">
        <v>81</v>
      </c>
      <c r="N1867" s="26" t="s">
        <v>307</v>
      </c>
      <c r="O1867" s="26">
        <v>0.0</v>
      </c>
    </row>
    <row r="1868" ht="15.75" customHeight="1">
      <c r="A1868" s="26" t="s">
        <v>7169</v>
      </c>
      <c r="B1868" s="26" t="s">
        <v>7170</v>
      </c>
      <c r="C1868" s="26" t="s">
        <v>312</v>
      </c>
      <c r="D1868" s="26" t="s">
        <v>36</v>
      </c>
      <c r="E1868" s="26" t="s">
        <v>137</v>
      </c>
      <c r="F1868" s="26" t="s">
        <v>315</v>
      </c>
      <c r="G1868" s="26" t="s">
        <v>47</v>
      </c>
      <c r="H1868" s="26" t="s">
        <v>34</v>
      </c>
      <c r="I1868" s="26"/>
      <c r="J1868" s="26">
        <v>1.0</v>
      </c>
      <c r="K1868" s="26" t="s">
        <v>138</v>
      </c>
      <c r="L1868" s="26" t="s">
        <v>15</v>
      </c>
      <c r="M1868" s="26" t="s">
        <v>87</v>
      </c>
      <c r="N1868" s="26" t="s">
        <v>307</v>
      </c>
      <c r="O1868" s="26">
        <v>0.0</v>
      </c>
    </row>
    <row r="1869" ht="15.75" customHeight="1">
      <c r="A1869" s="26" t="s">
        <v>7171</v>
      </c>
      <c r="B1869" s="26" t="s">
        <v>7172</v>
      </c>
      <c r="C1869" s="26" t="s">
        <v>312</v>
      </c>
      <c r="D1869" s="26" t="s">
        <v>36</v>
      </c>
      <c r="E1869" s="26" t="s">
        <v>7173</v>
      </c>
      <c r="F1869" s="26" t="s">
        <v>315</v>
      </c>
      <c r="G1869" s="26" t="s">
        <v>47</v>
      </c>
      <c r="H1869" s="26" t="s">
        <v>34</v>
      </c>
      <c r="I1869" s="26" t="s">
        <v>82</v>
      </c>
      <c r="J1869" s="26">
        <v>2.0</v>
      </c>
      <c r="K1869" s="26" t="s">
        <v>138</v>
      </c>
      <c r="L1869" s="26" t="s">
        <v>15</v>
      </c>
      <c r="M1869" s="26" t="s">
        <v>87</v>
      </c>
      <c r="N1869" s="26" t="s">
        <v>307</v>
      </c>
      <c r="O1869" s="26">
        <v>0.0</v>
      </c>
    </row>
    <row r="1870" ht="15.75" customHeight="1">
      <c r="A1870" s="26" t="s">
        <v>7174</v>
      </c>
      <c r="B1870" s="26" t="s">
        <v>7175</v>
      </c>
      <c r="C1870" s="26" t="s">
        <v>363</v>
      </c>
      <c r="D1870" s="26" t="s">
        <v>85</v>
      </c>
      <c r="E1870" s="26" t="s">
        <v>1363</v>
      </c>
      <c r="F1870" s="26" t="s">
        <v>599</v>
      </c>
      <c r="G1870" s="26" t="s">
        <v>600</v>
      </c>
      <c r="H1870" s="26" t="s">
        <v>46</v>
      </c>
      <c r="I1870" s="26" t="s">
        <v>1369</v>
      </c>
      <c r="J1870" s="26">
        <v>2.0</v>
      </c>
      <c r="K1870" s="26"/>
      <c r="L1870" s="26" t="s">
        <v>25</v>
      </c>
      <c r="M1870" s="26" t="s">
        <v>97</v>
      </c>
      <c r="N1870" s="26" t="s">
        <v>7039</v>
      </c>
      <c r="O1870" s="26"/>
    </row>
    <row r="1871" ht="15.75" customHeight="1">
      <c r="A1871" s="26" t="s">
        <v>7176</v>
      </c>
      <c r="B1871" s="26" t="s">
        <v>7177</v>
      </c>
      <c r="C1871" s="26" t="s">
        <v>429</v>
      </c>
      <c r="D1871" s="26" t="s">
        <v>36</v>
      </c>
      <c r="E1871" s="26" t="s">
        <v>7178</v>
      </c>
      <c r="F1871" s="26" t="s">
        <v>2381</v>
      </c>
      <c r="G1871" s="26" t="s">
        <v>88</v>
      </c>
      <c r="H1871" s="26" t="s">
        <v>46</v>
      </c>
      <c r="I1871" s="26" t="s">
        <v>73</v>
      </c>
      <c r="J1871" s="26">
        <v>2.0</v>
      </c>
      <c r="K1871" s="26"/>
      <c r="L1871" s="26" t="s">
        <v>25</v>
      </c>
      <c r="M1871" s="26" t="s">
        <v>97</v>
      </c>
      <c r="N1871" s="26" t="s">
        <v>7039</v>
      </c>
      <c r="O1871" s="26"/>
    </row>
    <row r="1872" ht="15.75" customHeight="1">
      <c r="A1872" s="26" t="s">
        <v>7179</v>
      </c>
      <c r="B1872" s="26" t="s">
        <v>7180</v>
      </c>
      <c r="C1872" s="26" t="s">
        <v>312</v>
      </c>
      <c r="D1872" s="26" t="s">
        <v>85</v>
      </c>
      <c r="E1872" s="26" t="s">
        <v>7181</v>
      </c>
      <c r="F1872" s="26" t="s">
        <v>599</v>
      </c>
      <c r="G1872" s="26" t="s">
        <v>600</v>
      </c>
      <c r="H1872" s="26" t="s">
        <v>46</v>
      </c>
      <c r="I1872" s="26" t="s">
        <v>1369</v>
      </c>
      <c r="J1872" s="26">
        <v>3.0</v>
      </c>
      <c r="K1872" s="26"/>
      <c r="L1872" s="26" t="s">
        <v>25</v>
      </c>
      <c r="M1872" s="26" t="s">
        <v>97</v>
      </c>
      <c r="N1872" s="26" t="s">
        <v>7039</v>
      </c>
      <c r="O1872" s="26"/>
    </row>
    <row r="1873" ht="15.75" customHeight="1">
      <c r="A1873" s="26" t="s">
        <v>7182</v>
      </c>
      <c r="B1873" s="26" t="s">
        <v>7183</v>
      </c>
      <c r="C1873" s="26" t="s">
        <v>312</v>
      </c>
      <c r="D1873" s="26" t="s">
        <v>54</v>
      </c>
      <c r="E1873" s="26" t="s">
        <v>7184</v>
      </c>
      <c r="F1873" s="26" t="s">
        <v>790</v>
      </c>
      <c r="G1873" s="26" t="s">
        <v>646</v>
      </c>
      <c r="H1873" s="26" t="s">
        <v>46</v>
      </c>
      <c r="I1873" s="26"/>
      <c r="J1873" s="26">
        <v>0.0</v>
      </c>
      <c r="K1873" s="26"/>
      <c r="L1873" s="26" t="s">
        <v>25</v>
      </c>
      <c r="M1873" s="26" t="s">
        <v>97</v>
      </c>
      <c r="N1873" s="26" t="s">
        <v>7039</v>
      </c>
      <c r="O1873" s="26"/>
    </row>
    <row r="1874" ht="15.75" customHeight="1">
      <c r="A1874" s="26" t="s">
        <v>7185</v>
      </c>
      <c r="B1874" s="26" t="s">
        <v>7186</v>
      </c>
      <c r="C1874" s="26" t="s">
        <v>312</v>
      </c>
      <c r="D1874" s="26" t="s">
        <v>50</v>
      </c>
      <c r="E1874" s="26" t="s">
        <v>7187</v>
      </c>
      <c r="F1874" s="26" t="s">
        <v>336</v>
      </c>
      <c r="G1874" s="26" t="s">
        <v>75</v>
      </c>
      <c r="H1874" s="26" t="s">
        <v>53</v>
      </c>
      <c r="I1874" s="26" t="s">
        <v>189</v>
      </c>
      <c r="J1874" s="26">
        <v>4.0</v>
      </c>
      <c r="K1874" s="26"/>
      <c r="L1874" s="26" t="s">
        <v>25</v>
      </c>
      <c r="M1874" s="26" t="s">
        <v>97</v>
      </c>
      <c r="N1874" s="26" t="s">
        <v>7039</v>
      </c>
      <c r="O1874" s="26"/>
    </row>
    <row r="1875" ht="15.75" customHeight="1">
      <c r="A1875" s="26" t="s">
        <v>7188</v>
      </c>
      <c r="B1875" s="26" t="s">
        <v>7189</v>
      </c>
      <c r="C1875" s="26" t="s">
        <v>429</v>
      </c>
      <c r="D1875" s="26" t="s">
        <v>36</v>
      </c>
      <c r="E1875" s="26" t="s">
        <v>7190</v>
      </c>
      <c r="F1875" s="26" t="s">
        <v>663</v>
      </c>
      <c r="G1875" s="26" t="s">
        <v>44</v>
      </c>
      <c r="H1875" s="26" t="s">
        <v>34</v>
      </c>
      <c r="I1875" s="26" t="s">
        <v>98</v>
      </c>
      <c r="J1875" s="26">
        <v>2.0</v>
      </c>
      <c r="K1875" s="26"/>
      <c r="L1875" s="26" t="s">
        <v>25</v>
      </c>
      <c r="M1875" s="26" t="s">
        <v>97</v>
      </c>
      <c r="N1875" s="26" t="s">
        <v>7039</v>
      </c>
      <c r="O1875" s="26"/>
    </row>
    <row r="1876" ht="15.75" customHeight="1">
      <c r="A1876" s="26" t="s">
        <v>7191</v>
      </c>
      <c r="B1876" s="26" t="s">
        <v>7192</v>
      </c>
      <c r="C1876" s="26" t="s">
        <v>312</v>
      </c>
      <c r="D1876" s="26" t="s">
        <v>48</v>
      </c>
      <c r="E1876" s="26" t="s">
        <v>7193</v>
      </c>
      <c r="F1876" s="26" t="s">
        <v>1819</v>
      </c>
      <c r="G1876" s="26" t="s">
        <v>386</v>
      </c>
      <c r="H1876" s="26" t="s">
        <v>46</v>
      </c>
      <c r="I1876" s="26"/>
      <c r="J1876" s="26">
        <v>1.0</v>
      </c>
      <c r="K1876" s="26"/>
      <c r="L1876" s="26" t="s">
        <v>25</v>
      </c>
      <c r="M1876" s="26" t="s">
        <v>97</v>
      </c>
      <c r="N1876" s="26" t="s">
        <v>7039</v>
      </c>
      <c r="O1876" s="26"/>
    </row>
    <row r="1877" ht="15.75" customHeight="1">
      <c r="A1877" s="26" t="s">
        <v>7194</v>
      </c>
      <c r="B1877" s="26" t="s">
        <v>7195</v>
      </c>
      <c r="C1877" s="26" t="s">
        <v>429</v>
      </c>
      <c r="D1877" s="26" t="s">
        <v>48</v>
      </c>
      <c r="E1877" s="26" t="s">
        <v>7196</v>
      </c>
      <c r="F1877" s="26" t="s">
        <v>1014</v>
      </c>
      <c r="G1877" s="26" t="s">
        <v>248</v>
      </c>
      <c r="H1877" s="26" t="s">
        <v>46</v>
      </c>
      <c r="I1877" s="26"/>
      <c r="J1877" s="26">
        <v>1.0</v>
      </c>
      <c r="K1877" s="26"/>
      <c r="L1877" s="26" t="s">
        <v>25</v>
      </c>
      <c r="M1877" s="26" t="s">
        <v>97</v>
      </c>
      <c r="N1877" s="26" t="s">
        <v>7039</v>
      </c>
      <c r="O1877" s="26"/>
    </row>
    <row r="1878" ht="15.75" customHeight="1">
      <c r="A1878" s="26" t="s">
        <v>7197</v>
      </c>
      <c r="B1878" s="26" t="s">
        <v>7198</v>
      </c>
      <c r="C1878" s="26" t="s">
        <v>363</v>
      </c>
      <c r="D1878" s="26" t="s">
        <v>50</v>
      </c>
      <c r="E1878" s="26" t="s">
        <v>7199</v>
      </c>
      <c r="F1878" s="26" t="s">
        <v>336</v>
      </c>
      <c r="G1878" s="26" t="s">
        <v>75</v>
      </c>
      <c r="H1878" s="26" t="s">
        <v>53</v>
      </c>
      <c r="I1878" s="26"/>
      <c r="J1878" s="26">
        <v>1.0</v>
      </c>
      <c r="K1878" s="26"/>
      <c r="L1878" s="26" t="s">
        <v>25</v>
      </c>
      <c r="M1878" s="26" t="s">
        <v>97</v>
      </c>
      <c r="N1878" s="26" t="s">
        <v>7039</v>
      </c>
      <c r="O1878" s="26"/>
    </row>
    <row r="1879" ht="15.75" customHeight="1">
      <c r="A1879" s="26" t="s">
        <v>7200</v>
      </c>
      <c r="B1879" s="26" t="s">
        <v>7201</v>
      </c>
      <c r="C1879" s="26" t="s">
        <v>312</v>
      </c>
      <c r="D1879" s="26" t="s">
        <v>48</v>
      </c>
      <c r="E1879" s="26" t="s">
        <v>431</v>
      </c>
      <c r="F1879" s="26" t="s">
        <v>1014</v>
      </c>
      <c r="G1879" s="26" t="s">
        <v>248</v>
      </c>
      <c r="H1879" s="26" t="s">
        <v>46</v>
      </c>
      <c r="I1879" s="26"/>
      <c r="J1879" s="26">
        <v>1.0</v>
      </c>
      <c r="K1879" s="26"/>
      <c r="L1879" s="26" t="s">
        <v>25</v>
      </c>
      <c r="M1879" s="26" t="s">
        <v>97</v>
      </c>
      <c r="N1879" s="26" t="s">
        <v>7039</v>
      </c>
      <c r="O1879" s="26"/>
    </row>
  </sheetData>
  <autoFilter ref="$A$1:$O$1879"/>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2026-09-02T17:20:17Z</dcterms:created>
  <dc:creator>openpyxl</dc:creator>
</cp:coreProperties>
</file>

<file path=docProps/custom.xml><?xml version="1.0" encoding="utf-8"?>
<Properties xmlns="http://schemas.openxmlformats.org/officeDocument/2006/custom-properties" xmlns:vt="http://schemas.openxmlformats.org/officeDocument/2006/docPropsVTypes"/>
</file>